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esktop\Aurora\"/>
    </mc:Choice>
  </mc:AlternateContent>
  <xr:revisionPtr revIDLastSave="0" documentId="13_ncr:1_{6E169440-ACD8-4F22-8F85-E2212D99CDD1}" xr6:coauthVersionLast="47" xr6:coauthVersionMax="47" xr10:uidLastSave="{00000000-0000-0000-0000-000000000000}"/>
  <bookViews>
    <workbookView xWindow="1185" yWindow="525" windowWidth="18180" windowHeight="10095" tabRatio="789" activeTab="3" xr2:uid="{00000000-000D-0000-FFFF-FFFF00000000}"/>
  </bookViews>
  <sheets>
    <sheet name="PROPIETARIOS" sheetId="1" r:id="rId1"/>
    <sheet name="Hoja3" sheetId="12" r:id="rId2"/>
    <sheet name="EGRESOS" sheetId="2" r:id="rId3"/>
    <sheet name="Hoja1" sheetId="10" r:id="rId4"/>
    <sheet name="RECIBO" sheetId="3" r:id="rId5"/>
    <sheet name="Hoja6" sheetId="6" r:id="rId6"/>
    <sheet name="Hoja2" sheetId="14" r:id="rId7"/>
    <sheet name="Hoja7" sheetId="7" r:id="rId8"/>
    <sheet name="CONVERSION" sheetId="13" r:id="rId9"/>
    <sheet name="INICIO" sheetId="8" r:id="rId10"/>
    <sheet name="GASTOS" sheetId="9" r:id="rId11"/>
  </sheets>
  <functionGroups builtInGroupCount="19"/>
  <definedNames>
    <definedName name="_xleta.AND" hidden="1" xlm="1">#NAME?</definedName>
    <definedName name="_xleta.IFERROR" hidden="1" xlm="1">#NAME?</definedName>
    <definedName name="_xleta.YEAR" hidden="1" xlm="1">#NAME?</definedName>
    <definedName name="_xlnm.Print_Area" localSheetId="3">Hoja1!$C$1:$C$37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81" i="10" l="1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T83" i="10"/>
  <c r="AT81" i="10"/>
  <c r="AT80" i="10"/>
  <c r="AT79" i="10"/>
  <c r="AT78" i="10"/>
  <c r="AT77" i="10"/>
  <c r="AT76" i="10"/>
  <c r="AT75" i="10"/>
  <c r="AT74" i="10"/>
  <c r="AT73" i="10"/>
  <c r="AT72" i="10"/>
  <c r="AT71" i="10"/>
  <c r="AT70" i="10"/>
  <c r="AT69" i="10"/>
  <c r="AT68" i="10"/>
  <c r="AT67" i="10"/>
  <c r="AT66" i="10"/>
  <c r="AT65" i="10"/>
  <c r="AT64" i="10"/>
  <c r="AT63" i="10"/>
  <c r="AT62" i="10"/>
  <c r="AT61" i="10"/>
  <c r="AT60" i="10"/>
  <c r="AT59" i="10"/>
  <c r="AT58" i="10"/>
  <c r="AT57" i="10"/>
  <c r="AT56" i="10"/>
  <c r="AT55" i="10"/>
  <c r="AT54" i="10"/>
  <c r="AT53" i="10"/>
  <c r="AT52" i="10"/>
  <c r="AT51" i="10"/>
  <c r="AT50" i="10"/>
  <c r="AT49" i="10"/>
  <c r="AT48" i="10"/>
  <c r="AT47" i="10"/>
  <c r="H88" i="2"/>
  <c r="C95" i="2"/>
  <c r="C47" i="1"/>
  <c r="FN40" i="6"/>
  <c r="FN39" i="6"/>
  <c r="FL38" i="6"/>
  <c r="FM38" i="6" s="1"/>
  <c r="FL37" i="6"/>
  <c r="FM37" i="6" s="1"/>
  <c r="FL36" i="6"/>
  <c r="FM36" i="6" s="1"/>
  <c r="FL35" i="6"/>
  <c r="FM35" i="6" s="1"/>
  <c r="FL34" i="6"/>
  <c r="FM34" i="6" s="1"/>
  <c r="FL33" i="6"/>
  <c r="FM33" i="6" s="1"/>
  <c r="FL32" i="6"/>
  <c r="FM32" i="6" s="1"/>
  <c r="FL31" i="6"/>
  <c r="FM31" i="6" s="1"/>
  <c r="FL30" i="6"/>
  <c r="FM30" i="6" s="1"/>
  <c r="FL29" i="6"/>
  <c r="FM29" i="6" s="1"/>
  <c r="FL28" i="6"/>
  <c r="FM28" i="6" s="1"/>
  <c r="FL27" i="6"/>
  <c r="FM27" i="6" s="1"/>
  <c r="FL26" i="6"/>
  <c r="FM26" i="6" s="1"/>
  <c r="FL25" i="6"/>
  <c r="FM25" i="6" s="1"/>
  <c r="FL24" i="6"/>
  <c r="FM24" i="6" s="1"/>
  <c r="FL23" i="6"/>
  <c r="FM23" i="6" s="1"/>
  <c r="FL22" i="6"/>
  <c r="FM22" i="6" s="1"/>
  <c r="FL21" i="6"/>
  <c r="FM21" i="6" s="1"/>
  <c r="FL20" i="6"/>
  <c r="FM20" i="6" s="1"/>
  <c r="FL19" i="6"/>
  <c r="FM19" i="6" s="1"/>
  <c r="FL18" i="6"/>
  <c r="FM18" i="6" s="1"/>
  <c r="FL17" i="6"/>
  <c r="FM17" i="6" s="1"/>
  <c r="FL16" i="6"/>
  <c r="FM16" i="6" s="1"/>
  <c r="FL15" i="6"/>
  <c r="FM15" i="6" s="1"/>
  <c r="FL14" i="6"/>
  <c r="FM14" i="6" s="1"/>
  <c r="FL13" i="6"/>
  <c r="FM13" i="6" s="1"/>
  <c r="FL12" i="6"/>
  <c r="FM12" i="6" s="1"/>
  <c r="FL11" i="6"/>
  <c r="FM11" i="6" s="1"/>
  <c r="FL10" i="6"/>
  <c r="FM10" i="6" s="1"/>
  <c r="FL9" i="6"/>
  <c r="FM9" i="6" s="1"/>
  <c r="FL8" i="6"/>
  <c r="FM8" i="6" s="1"/>
  <c r="FL7" i="6"/>
  <c r="FM7" i="6" s="1"/>
  <c r="FL6" i="6"/>
  <c r="FM6" i="6" s="1"/>
  <c r="FL5" i="6"/>
  <c r="FM5" i="6" s="1"/>
  <c r="FL4" i="6"/>
  <c r="FM4" i="6" s="1"/>
  <c r="F3" i="13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47" i="10"/>
  <c r="FJ40" i="6"/>
  <c r="AS83" i="10" s="1"/>
  <c r="FJ39" i="6"/>
  <c r="FH15" i="6"/>
  <c r="FI15" i="6" s="1"/>
  <c r="FH14" i="6"/>
  <c r="FI14" i="6" s="1"/>
  <c r="FH13" i="6"/>
  <c r="FI13" i="6" s="1"/>
  <c r="FH12" i="6"/>
  <c r="FI12" i="6" s="1"/>
  <c r="FH11" i="6"/>
  <c r="FI11" i="6" s="1"/>
  <c r="FH10" i="6"/>
  <c r="FI10" i="6" s="1"/>
  <c r="FH9" i="6"/>
  <c r="FI9" i="6" s="1"/>
  <c r="FH8" i="6"/>
  <c r="FI8" i="6" s="1"/>
  <c r="FH7" i="6"/>
  <c r="FI7" i="6" s="1"/>
  <c r="FH6" i="6"/>
  <c r="FI6" i="6" s="1"/>
  <c r="FH5" i="6"/>
  <c r="FI5" i="6" s="1"/>
  <c r="FH4" i="6"/>
  <c r="FI4" i="6" s="1"/>
  <c r="FH38" i="6"/>
  <c r="FI38" i="6" s="1"/>
  <c r="FH37" i="6"/>
  <c r="FI37" i="6" s="1"/>
  <c r="FH36" i="6"/>
  <c r="FI36" i="6" s="1"/>
  <c r="FH35" i="6"/>
  <c r="FI35" i="6" s="1"/>
  <c r="FH34" i="6"/>
  <c r="FI34" i="6" s="1"/>
  <c r="FH33" i="6"/>
  <c r="FI33" i="6" s="1"/>
  <c r="FH32" i="6"/>
  <c r="FI32" i="6" s="1"/>
  <c r="FH31" i="6"/>
  <c r="FI31" i="6" s="1"/>
  <c r="FH30" i="6"/>
  <c r="FI30" i="6" s="1"/>
  <c r="FH29" i="6"/>
  <c r="FI29" i="6" s="1"/>
  <c r="FH28" i="6"/>
  <c r="FI28" i="6" s="1"/>
  <c r="FH27" i="6"/>
  <c r="FI27" i="6" s="1"/>
  <c r="FH26" i="6"/>
  <c r="FI26" i="6" s="1"/>
  <c r="FH25" i="6"/>
  <c r="FI25" i="6" s="1"/>
  <c r="FH24" i="6"/>
  <c r="FI24" i="6" s="1"/>
  <c r="FH23" i="6"/>
  <c r="FI23" i="6" s="1"/>
  <c r="FH22" i="6"/>
  <c r="FI22" i="6" s="1"/>
  <c r="FH21" i="6"/>
  <c r="FI21" i="6" s="1"/>
  <c r="FH20" i="6"/>
  <c r="FI20" i="6" s="1"/>
  <c r="FH19" i="6"/>
  <c r="FI19" i="6" s="1"/>
  <c r="FH18" i="6"/>
  <c r="FI18" i="6" s="1"/>
  <c r="FH17" i="6"/>
  <c r="FI17" i="6" s="1"/>
  <c r="FH16" i="6"/>
  <c r="FI16" i="6" s="1"/>
  <c r="AR81" i="10"/>
  <c r="AR80" i="10"/>
  <c r="AR79" i="10"/>
  <c r="AR78" i="10"/>
  <c r="AR77" i="10"/>
  <c r="AR76" i="10"/>
  <c r="AR75" i="10"/>
  <c r="AR74" i="10"/>
  <c r="AR73" i="10"/>
  <c r="AR72" i="10"/>
  <c r="AR71" i="10"/>
  <c r="AR70" i="10"/>
  <c r="AR69" i="10"/>
  <c r="AR68" i="10"/>
  <c r="AR67" i="10"/>
  <c r="AR66" i="10"/>
  <c r="AR65" i="10"/>
  <c r="AR64" i="10"/>
  <c r="AR63" i="10"/>
  <c r="AR62" i="10"/>
  <c r="AR61" i="10"/>
  <c r="AR60" i="10"/>
  <c r="AR59" i="10"/>
  <c r="AR58" i="10"/>
  <c r="AR57" i="10"/>
  <c r="AR56" i="10"/>
  <c r="AR55" i="10"/>
  <c r="AR54" i="10"/>
  <c r="AR53" i="10"/>
  <c r="AR52" i="10"/>
  <c r="AR51" i="10"/>
  <c r="AR50" i="10"/>
  <c r="AR49" i="10"/>
  <c r="AR48" i="10"/>
  <c r="AR47" i="10"/>
  <c r="FF40" i="6"/>
  <c r="AR83" i="10" s="1"/>
  <c r="FF39" i="6"/>
  <c r="FD38" i="6"/>
  <c r="FE38" i="6" s="1"/>
  <c r="FD37" i="6"/>
  <c r="FE37" i="6" s="1"/>
  <c r="FD36" i="6"/>
  <c r="FE36" i="6" s="1"/>
  <c r="FD35" i="6"/>
  <c r="FE35" i="6" s="1"/>
  <c r="FD34" i="6"/>
  <c r="FE34" i="6" s="1"/>
  <c r="FD33" i="6"/>
  <c r="FE33" i="6" s="1"/>
  <c r="FD32" i="6"/>
  <c r="FE32" i="6" s="1"/>
  <c r="FD31" i="6"/>
  <c r="FE31" i="6" s="1"/>
  <c r="FD30" i="6"/>
  <c r="FE30" i="6" s="1"/>
  <c r="FD29" i="6"/>
  <c r="FE29" i="6" s="1"/>
  <c r="FD28" i="6"/>
  <c r="FE28" i="6" s="1"/>
  <c r="FD27" i="6"/>
  <c r="FE27" i="6" s="1"/>
  <c r="FD26" i="6"/>
  <c r="FE26" i="6" s="1"/>
  <c r="FD25" i="6"/>
  <c r="FE25" i="6" s="1"/>
  <c r="FD24" i="6"/>
  <c r="FE24" i="6" s="1"/>
  <c r="FD23" i="6"/>
  <c r="FE23" i="6" s="1"/>
  <c r="FD22" i="6"/>
  <c r="FE22" i="6" s="1"/>
  <c r="FD21" i="6"/>
  <c r="FE21" i="6" s="1"/>
  <c r="FD20" i="6"/>
  <c r="FE20" i="6" s="1"/>
  <c r="FD19" i="6"/>
  <c r="FE19" i="6" s="1"/>
  <c r="FD18" i="6"/>
  <c r="FE18" i="6" s="1"/>
  <c r="FD17" i="6"/>
  <c r="FE17" i="6" s="1"/>
  <c r="FD16" i="6"/>
  <c r="FE16" i="6" s="1"/>
  <c r="FD15" i="6"/>
  <c r="FE15" i="6" s="1"/>
  <c r="FD14" i="6"/>
  <c r="FE14" i="6" s="1"/>
  <c r="FD13" i="6"/>
  <c r="FE13" i="6" s="1"/>
  <c r="FD12" i="6"/>
  <c r="FE12" i="6" s="1"/>
  <c r="FD11" i="6"/>
  <c r="FE11" i="6" s="1"/>
  <c r="FD10" i="6"/>
  <c r="FE10" i="6" s="1"/>
  <c r="FD9" i="6"/>
  <c r="FE9" i="6" s="1"/>
  <c r="FD8" i="6"/>
  <c r="FE8" i="6" s="1"/>
  <c r="FD7" i="6"/>
  <c r="FE7" i="6" s="1"/>
  <c r="FD6" i="6"/>
  <c r="FE6" i="6" s="1"/>
  <c r="FD5" i="6"/>
  <c r="FE5" i="6" s="1"/>
  <c r="FD4" i="6"/>
  <c r="FE4" i="6" s="1"/>
  <c r="AH53" i="7"/>
  <c r="AG53" i="7"/>
  <c r="Y53" i="7"/>
  <c r="X53" i="7"/>
  <c r="AQ81" i="10"/>
  <c r="AQ80" i="10"/>
  <c r="AQ79" i="10"/>
  <c r="AQ78" i="10"/>
  <c r="AQ77" i="10"/>
  <c r="AQ76" i="10"/>
  <c r="AQ75" i="10"/>
  <c r="AQ74" i="10"/>
  <c r="AQ73" i="10"/>
  <c r="AQ72" i="10"/>
  <c r="AQ71" i="10"/>
  <c r="AQ70" i="10"/>
  <c r="AQ69" i="10"/>
  <c r="AQ68" i="10"/>
  <c r="AQ67" i="10"/>
  <c r="AQ66" i="10"/>
  <c r="AQ65" i="10"/>
  <c r="AQ64" i="10"/>
  <c r="AQ63" i="10"/>
  <c r="AQ62" i="10"/>
  <c r="AQ61" i="10"/>
  <c r="AQ60" i="10"/>
  <c r="AQ59" i="10"/>
  <c r="AQ58" i="10"/>
  <c r="AQ57" i="10"/>
  <c r="AQ56" i="10"/>
  <c r="AQ55" i="10"/>
  <c r="AQ54" i="10"/>
  <c r="AQ53" i="10"/>
  <c r="AQ52" i="10"/>
  <c r="AQ51" i="10"/>
  <c r="AQ50" i="10"/>
  <c r="AQ49" i="10"/>
  <c r="AQ48" i="10"/>
  <c r="AQ47" i="10"/>
  <c r="FB40" i="6"/>
  <c r="AQ83" i="10" s="1"/>
  <c r="FB39" i="6"/>
  <c r="AD15" i="3"/>
  <c r="BM15" i="3" s="1"/>
  <c r="AD2" i="3"/>
  <c r="BM2" i="3" s="1"/>
  <c r="EZ38" i="6"/>
  <c r="FA38" i="6" s="1"/>
  <c r="EZ37" i="6"/>
  <c r="FA37" i="6" s="1"/>
  <c r="EZ36" i="6"/>
  <c r="FA36" i="6" s="1"/>
  <c r="EZ35" i="6"/>
  <c r="FA35" i="6" s="1"/>
  <c r="EZ34" i="6"/>
  <c r="FA34" i="6" s="1"/>
  <c r="EZ33" i="6"/>
  <c r="FA33" i="6" s="1"/>
  <c r="EZ32" i="6"/>
  <c r="FA32" i="6" s="1"/>
  <c r="EZ31" i="6"/>
  <c r="FA31" i="6" s="1"/>
  <c r="EZ30" i="6"/>
  <c r="FA30" i="6" s="1"/>
  <c r="EZ29" i="6"/>
  <c r="FA29" i="6" s="1"/>
  <c r="EZ28" i="6"/>
  <c r="FA28" i="6" s="1"/>
  <c r="EZ27" i="6"/>
  <c r="FA27" i="6" s="1"/>
  <c r="EZ26" i="6"/>
  <c r="FA26" i="6" s="1"/>
  <c r="EZ25" i="6"/>
  <c r="FA25" i="6" s="1"/>
  <c r="EZ24" i="6"/>
  <c r="FA24" i="6" s="1"/>
  <c r="EZ23" i="6"/>
  <c r="FA23" i="6" s="1"/>
  <c r="EZ22" i="6"/>
  <c r="FA22" i="6" s="1"/>
  <c r="EZ21" i="6"/>
  <c r="FA21" i="6" s="1"/>
  <c r="EZ20" i="6"/>
  <c r="FA20" i="6" s="1"/>
  <c r="EZ19" i="6"/>
  <c r="FA19" i="6" s="1"/>
  <c r="EZ18" i="6"/>
  <c r="FA18" i="6" s="1"/>
  <c r="EZ17" i="6"/>
  <c r="FA17" i="6" s="1"/>
  <c r="EZ16" i="6"/>
  <c r="FA16" i="6" s="1"/>
  <c r="EZ15" i="6"/>
  <c r="FA15" i="6" s="1"/>
  <c r="EZ14" i="6"/>
  <c r="FA14" i="6" s="1"/>
  <c r="EZ13" i="6"/>
  <c r="FA13" i="6" s="1"/>
  <c r="EZ12" i="6"/>
  <c r="FA12" i="6" s="1"/>
  <c r="EZ11" i="6"/>
  <c r="FA11" i="6" s="1"/>
  <c r="EZ10" i="6"/>
  <c r="FA10" i="6" s="1"/>
  <c r="EZ9" i="6"/>
  <c r="FA9" i="6" s="1"/>
  <c r="EZ8" i="6"/>
  <c r="FA8" i="6" s="1"/>
  <c r="EZ7" i="6"/>
  <c r="FA7" i="6" s="1"/>
  <c r="EZ6" i="6"/>
  <c r="FA6" i="6" s="1"/>
  <c r="EZ5" i="6"/>
  <c r="FA5" i="6" s="1"/>
  <c r="EZ4" i="6"/>
  <c r="FA4" i="6" s="1"/>
  <c r="AP48" i="10"/>
  <c r="AP49" i="10"/>
  <c r="AP50" i="10"/>
  <c r="AP51" i="10"/>
  <c r="AP52" i="10"/>
  <c r="AP53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0" i="10"/>
  <c r="AP71" i="10"/>
  <c r="AP72" i="10"/>
  <c r="AP73" i="10"/>
  <c r="AP74" i="10"/>
  <c r="AP75" i="10"/>
  <c r="AP76" i="10"/>
  <c r="AP77" i="10"/>
  <c r="AP78" i="10"/>
  <c r="AP79" i="10"/>
  <c r="AP80" i="10"/>
  <c r="AP81" i="10"/>
  <c r="AP47" i="10"/>
  <c r="EX40" i="6"/>
  <c r="AP83" i="10" s="1"/>
  <c r="EX39" i="6"/>
  <c r="EV38" i="6"/>
  <c r="EW38" i="6" s="1"/>
  <c r="EV37" i="6"/>
  <c r="EW37" i="6" s="1"/>
  <c r="EV36" i="6"/>
  <c r="EV35" i="6"/>
  <c r="EW35" i="6" s="1"/>
  <c r="EV34" i="6"/>
  <c r="EW34" i="6" s="1"/>
  <c r="EV33" i="6"/>
  <c r="EW33" i="6" s="1"/>
  <c r="EV32" i="6"/>
  <c r="EW32" i="6" s="1"/>
  <c r="EV31" i="6"/>
  <c r="EW31" i="6" s="1"/>
  <c r="EV30" i="6"/>
  <c r="EW30" i="6" s="1"/>
  <c r="EV29" i="6"/>
  <c r="EW29" i="6" s="1"/>
  <c r="EV28" i="6"/>
  <c r="EW28" i="6" s="1"/>
  <c r="EV27" i="6"/>
  <c r="EW27" i="6" s="1"/>
  <c r="EV26" i="6"/>
  <c r="EW26" i="6" s="1"/>
  <c r="EV25" i="6"/>
  <c r="EW25" i="6" s="1"/>
  <c r="EV24" i="6"/>
  <c r="EW24" i="6" s="1"/>
  <c r="EV23" i="6"/>
  <c r="EW23" i="6" s="1"/>
  <c r="EV22" i="6"/>
  <c r="EW22" i="6" s="1"/>
  <c r="EV21" i="6"/>
  <c r="EW21" i="6" s="1"/>
  <c r="EV20" i="6"/>
  <c r="EW20" i="6" s="1"/>
  <c r="EV19" i="6"/>
  <c r="EW19" i="6" s="1"/>
  <c r="EV18" i="6"/>
  <c r="EW18" i="6" s="1"/>
  <c r="EV17" i="6"/>
  <c r="EW17" i="6" s="1"/>
  <c r="EV16" i="6"/>
  <c r="EW16" i="6" s="1"/>
  <c r="EV15" i="6"/>
  <c r="EW15" i="6" s="1"/>
  <c r="EV14" i="6"/>
  <c r="EW14" i="6" s="1"/>
  <c r="EV13" i="6"/>
  <c r="EW13" i="6" s="1"/>
  <c r="EV12" i="6"/>
  <c r="EW12" i="6" s="1"/>
  <c r="EV11" i="6"/>
  <c r="EW11" i="6" s="1"/>
  <c r="EV10" i="6"/>
  <c r="EW10" i="6" s="1"/>
  <c r="EV9" i="6"/>
  <c r="EW9" i="6" s="1"/>
  <c r="EV8" i="6"/>
  <c r="EW8" i="6" s="1"/>
  <c r="EV7" i="6"/>
  <c r="EW7" i="6" s="1"/>
  <c r="EV6" i="6"/>
  <c r="EW6" i="6" s="1"/>
  <c r="EV5" i="6"/>
  <c r="EW5" i="6" s="1"/>
  <c r="EV4" i="6"/>
  <c r="EW4" i="6" s="1"/>
  <c r="ER4" i="6"/>
  <c r="ES4" i="6" s="1"/>
  <c r="ET40" i="6"/>
  <c r="AO83" i="10" s="1"/>
  <c r="ET39" i="6"/>
  <c r="AO48" i="10"/>
  <c r="AO49" i="10"/>
  <c r="AO50" i="10"/>
  <c r="AO51" i="10"/>
  <c r="AO52" i="10"/>
  <c r="AO53" i="10"/>
  <c r="AO54" i="10"/>
  <c r="AO55" i="10"/>
  <c r="AO56" i="10"/>
  <c r="AO57" i="10"/>
  <c r="AO58" i="10"/>
  <c r="AO59" i="10"/>
  <c r="AO60" i="10"/>
  <c r="AO61" i="10"/>
  <c r="AO62" i="10"/>
  <c r="AO63" i="10"/>
  <c r="AO64" i="10"/>
  <c r="AO65" i="10"/>
  <c r="AO66" i="10"/>
  <c r="AO67" i="10"/>
  <c r="AO68" i="10"/>
  <c r="AO69" i="10"/>
  <c r="AO70" i="10"/>
  <c r="AO71" i="10"/>
  <c r="AO72" i="10"/>
  <c r="AO73" i="10"/>
  <c r="AO74" i="10"/>
  <c r="AO75" i="10"/>
  <c r="AO76" i="10"/>
  <c r="AO77" i="10"/>
  <c r="AO78" i="10"/>
  <c r="AO79" i="10"/>
  <c r="AO80" i="10"/>
  <c r="AO81" i="10"/>
  <c r="AO47" i="10"/>
  <c r="ER5" i="6"/>
  <c r="ES5" i="6" s="1"/>
  <c r="ER6" i="6"/>
  <c r="ES6" i="6" s="1"/>
  <c r="ER7" i="6"/>
  <c r="ES7" i="6" s="1"/>
  <c r="ER8" i="6"/>
  <c r="ES8" i="6" s="1"/>
  <c r="ER9" i="6"/>
  <c r="ES9" i="6" s="1"/>
  <c r="ER10" i="6"/>
  <c r="ES10" i="6" s="1"/>
  <c r="ER11" i="6"/>
  <c r="ES11" i="6" s="1"/>
  <c r="ER12" i="6"/>
  <c r="ES12" i="6" s="1"/>
  <c r="ER13" i="6"/>
  <c r="ES13" i="6" s="1"/>
  <c r="ER14" i="6"/>
  <c r="ES14" i="6" s="1"/>
  <c r="ER15" i="6"/>
  <c r="ES15" i="6" s="1"/>
  <c r="ER16" i="6"/>
  <c r="ES16" i="6" s="1"/>
  <c r="ER17" i="6"/>
  <c r="ES17" i="6" s="1"/>
  <c r="ER18" i="6"/>
  <c r="ES18" i="6" s="1"/>
  <c r="ER19" i="6"/>
  <c r="ES19" i="6" s="1"/>
  <c r="ER20" i="6"/>
  <c r="ES20" i="6" s="1"/>
  <c r="ER21" i="6"/>
  <c r="ES21" i="6" s="1"/>
  <c r="ER22" i="6"/>
  <c r="ES22" i="6" s="1"/>
  <c r="ER23" i="6"/>
  <c r="ES23" i="6" s="1"/>
  <c r="ER24" i="6"/>
  <c r="ES24" i="6" s="1"/>
  <c r="ER25" i="6"/>
  <c r="ES25" i="6" s="1"/>
  <c r="ER26" i="6"/>
  <c r="ES26" i="6" s="1"/>
  <c r="ER27" i="6"/>
  <c r="ES27" i="6" s="1"/>
  <c r="ER28" i="6"/>
  <c r="ES28" i="6" s="1"/>
  <c r="ER29" i="6"/>
  <c r="ES29" i="6" s="1"/>
  <c r="ER30" i="6"/>
  <c r="ES30" i="6" s="1"/>
  <c r="ER31" i="6"/>
  <c r="ES31" i="6" s="1"/>
  <c r="ER32" i="6"/>
  <c r="ES32" i="6" s="1"/>
  <c r="ER33" i="6"/>
  <c r="ES33" i="6" s="1"/>
  <c r="ER34" i="6"/>
  <c r="ES34" i="6" s="1"/>
  <c r="ER35" i="6"/>
  <c r="ES35" i="6" s="1"/>
  <c r="ER36" i="6"/>
  <c r="ES36" i="6" s="1"/>
  <c r="ER37" i="6"/>
  <c r="ES37" i="6" s="1"/>
  <c r="ER38" i="6"/>
  <c r="ES38" i="6" s="1"/>
  <c r="E77" i="9"/>
  <c r="D77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50" i="9"/>
  <c r="AN48" i="10"/>
  <c r="AN49" i="10"/>
  <c r="AN50" i="10"/>
  <c r="AN51" i="10"/>
  <c r="AN52" i="10"/>
  <c r="AN53" i="10"/>
  <c r="AN54" i="10"/>
  <c r="AN55" i="10"/>
  <c r="AN56" i="10"/>
  <c r="AN57" i="10"/>
  <c r="AN58" i="10"/>
  <c r="AN59" i="10"/>
  <c r="AN60" i="10"/>
  <c r="AN61" i="10"/>
  <c r="AN62" i="10"/>
  <c r="AN63" i="10"/>
  <c r="AN64" i="10"/>
  <c r="AN65" i="10"/>
  <c r="AN66" i="10"/>
  <c r="AN67" i="10"/>
  <c r="AN68" i="10"/>
  <c r="AN69" i="10"/>
  <c r="AN70" i="10"/>
  <c r="AN71" i="10"/>
  <c r="AN72" i="10"/>
  <c r="AN73" i="10"/>
  <c r="AN74" i="10"/>
  <c r="AN75" i="10"/>
  <c r="AN76" i="10"/>
  <c r="AN77" i="10"/>
  <c r="AN78" i="10"/>
  <c r="AN79" i="10"/>
  <c r="AN80" i="10"/>
  <c r="AN81" i="10"/>
  <c r="AN47" i="10"/>
  <c r="EP40" i="6"/>
  <c r="AN83" i="10" s="1"/>
  <c r="EP39" i="6"/>
  <c r="C6" i="2"/>
  <c r="EN5" i="6"/>
  <c r="EO5" i="6" s="1"/>
  <c r="EN6" i="6"/>
  <c r="EO6" i="6" s="1"/>
  <c r="EN7" i="6"/>
  <c r="EO7" i="6" s="1"/>
  <c r="EN8" i="6"/>
  <c r="EO8" i="6" s="1"/>
  <c r="EN9" i="6"/>
  <c r="EO9" i="6" s="1"/>
  <c r="EN10" i="6"/>
  <c r="EO10" i="6" s="1"/>
  <c r="EN11" i="6"/>
  <c r="EO11" i="6" s="1"/>
  <c r="EN12" i="6"/>
  <c r="EO12" i="6" s="1"/>
  <c r="EN13" i="6"/>
  <c r="EO13" i="6" s="1"/>
  <c r="EN14" i="6"/>
  <c r="EO14" i="6" s="1"/>
  <c r="EN15" i="6"/>
  <c r="EO15" i="6" s="1"/>
  <c r="EN16" i="6"/>
  <c r="EO16" i="6" s="1"/>
  <c r="EN17" i="6"/>
  <c r="EO17" i="6" s="1"/>
  <c r="EN18" i="6"/>
  <c r="EO18" i="6" s="1"/>
  <c r="EN19" i="6"/>
  <c r="EO19" i="6" s="1"/>
  <c r="EN20" i="6"/>
  <c r="EO20" i="6" s="1"/>
  <c r="EN21" i="6"/>
  <c r="EO21" i="6" s="1"/>
  <c r="EN22" i="6"/>
  <c r="EO22" i="6" s="1"/>
  <c r="EN23" i="6"/>
  <c r="EO23" i="6" s="1"/>
  <c r="EN24" i="6"/>
  <c r="EO24" i="6" s="1"/>
  <c r="EN25" i="6"/>
  <c r="EO25" i="6" s="1"/>
  <c r="EN26" i="6"/>
  <c r="EO26" i="6" s="1"/>
  <c r="EN27" i="6"/>
  <c r="EO27" i="6" s="1"/>
  <c r="EN28" i="6"/>
  <c r="EO28" i="6" s="1"/>
  <c r="EN29" i="6"/>
  <c r="EO29" i="6" s="1"/>
  <c r="EN30" i="6"/>
  <c r="EO30" i="6" s="1"/>
  <c r="EN31" i="6"/>
  <c r="EO31" i="6" s="1"/>
  <c r="EN32" i="6"/>
  <c r="EO32" i="6" s="1"/>
  <c r="EN33" i="6"/>
  <c r="EO33" i="6" s="1"/>
  <c r="EN34" i="6"/>
  <c r="EO34" i="6" s="1"/>
  <c r="EN35" i="6"/>
  <c r="EO35" i="6" s="1"/>
  <c r="EN36" i="6"/>
  <c r="EO36" i="6" s="1"/>
  <c r="EN37" i="6"/>
  <c r="EO37" i="6" s="1"/>
  <c r="EN38" i="6"/>
  <c r="EO38" i="6" s="1"/>
  <c r="EN4" i="6"/>
  <c r="EO4" i="6" s="1"/>
  <c r="AM81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47" i="10"/>
  <c r="EL40" i="6"/>
  <c r="AM83" i="10" s="1"/>
  <c r="EL39" i="6"/>
  <c r="EJ38" i="6"/>
  <c r="EK38" i="6" s="1"/>
  <c r="EJ37" i="6"/>
  <c r="EK37" i="6" s="1"/>
  <c r="EJ36" i="6"/>
  <c r="EK36" i="6" s="1"/>
  <c r="EJ35" i="6"/>
  <c r="EK35" i="6" s="1"/>
  <c r="EJ34" i="6"/>
  <c r="EK34" i="6" s="1"/>
  <c r="EJ33" i="6"/>
  <c r="EK33" i="6" s="1"/>
  <c r="EJ32" i="6"/>
  <c r="EK32" i="6" s="1"/>
  <c r="EJ31" i="6"/>
  <c r="EK31" i="6" s="1"/>
  <c r="EJ30" i="6"/>
  <c r="EK30" i="6" s="1"/>
  <c r="EJ29" i="6"/>
  <c r="EK29" i="6" s="1"/>
  <c r="EJ28" i="6"/>
  <c r="EK28" i="6" s="1"/>
  <c r="EJ27" i="6"/>
  <c r="EK27" i="6" s="1"/>
  <c r="EJ26" i="6"/>
  <c r="EK26" i="6" s="1"/>
  <c r="EJ25" i="6"/>
  <c r="EK25" i="6" s="1"/>
  <c r="EJ24" i="6"/>
  <c r="EK24" i="6" s="1"/>
  <c r="EJ23" i="6"/>
  <c r="EK23" i="6" s="1"/>
  <c r="EJ22" i="6"/>
  <c r="EK22" i="6" s="1"/>
  <c r="EJ21" i="6"/>
  <c r="EK21" i="6" s="1"/>
  <c r="EJ20" i="6"/>
  <c r="EK20" i="6" s="1"/>
  <c r="EJ19" i="6"/>
  <c r="EK19" i="6" s="1"/>
  <c r="EJ18" i="6"/>
  <c r="EK18" i="6" s="1"/>
  <c r="EJ17" i="6"/>
  <c r="EK17" i="6" s="1"/>
  <c r="EJ16" i="6"/>
  <c r="EK16" i="6" s="1"/>
  <c r="EJ15" i="6"/>
  <c r="EK15" i="6" s="1"/>
  <c r="EJ14" i="6"/>
  <c r="EK14" i="6" s="1"/>
  <c r="EJ13" i="6"/>
  <c r="EK13" i="6" s="1"/>
  <c r="EJ12" i="6"/>
  <c r="EK12" i="6" s="1"/>
  <c r="EJ11" i="6"/>
  <c r="EK11" i="6" s="1"/>
  <c r="EJ10" i="6"/>
  <c r="EK10" i="6" s="1"/>
  <c r="EJ9" i="6"/>
  <c r="EK9" i="6" s="1"/>
  <c r="EJ8" i="6"/>
  <c r="EK8" i="6" s="1"/>
  <c r="EJ7" i="6"/>
  <c r="EK7" i="6" s="1"/>
  <c r="EJ6" i="6"/>
  <c r="EK6" i="6" s="1"/>
  <c r="EJ5" i="6"/>
  <c r="EK5" i="6" s="1"/>
  <c r="EJ4" i="6"/>
  <c r="EK4" i="6" s="1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" i="13"/>
  <c r="B4" i="13"/>
  <c r="B5" i="13"/>
  <c r="B6" i="13"/>
  <c r="B7" i="13"/>
  <c r="B2" i="13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AL70" i="10"/>
  <c r="AL71" i="10"/>
  <c r="AL72" i="10"/>
  <c r="AL73" i="10"/>
  <c r="AL74" i="10"/>
  <c r="AL75" i="10"/>
  <c r="AL76" i="10"/>
  <c r="AL77" i="10"/>
  <c r="AL78" i="10"/>
  <c r="AL79" i="10"/>
  <c r="AL80" i="10"/>
  <c r="AL81" i="10"/>
  <c r="AL47" i="10"/>
  <c r="ED37" i="6"/>
  <c r="EF37" i="6" s="1"/>
  <c r="EG37" i="6" s="1"/>
  <c r="GF1" i="6"/>
  <c r="EF38" i="6"/>
  <c r="EG38" i="6" s="1"/>
  <c r="EF36" i="6"/>
  <c r="EG36" i="6" s="1"/>
  <c r="EF35" i="6"/>
  <c r="EG35" i="6" s="1"/>
  <c r="EF34" i="6"/>
  <c r="EG34" i="6" s="1"/>
  <c r="EF33" i="6"/>
  <c r="EG33" i="6" s="1"/>
  <c r="EF32" i="6"/>
  <c r="EG32" i="6" s="1"/>
  <c r="EF31" i="6"/>
  <c r="EG31" i="6" s="1"/>
  <c r="EF30" i="6"/>
  <c r="EG30" i="6" s="1"/>
  <c r="EF29" i="6"/>
  <c r="EG29" i="6" s="1"/>
  <c r="EF28" i="6"/>
  <c r="EG28" i="6" s="1"/>
  <c r="EF27" i="6"/>
  <c r="EG27" i="6" s="1"/>
  <c r="EF26" i="6"/>
  <c r="EG26" i="6" s="1"/>
  <c r="EF25" i="6"/>
  <c r="EG25" i="6" s="1"/>
  <c r="EF24" i="6"/>
  <c r="EG24" i="6" s="1"/>
  <c r="EF23" i="6"/>
  <c r="EG23" i="6" s="1"/>
  <c r="EF22" i="6"/>
  <c r="EG22" i="6" s="1"/>
  <c r="EF21" i="6"/>
  <c r="EG21" i="6" s="1"/>
  <c r="EF20" i="6"/>
  <c r="EG20" i="6" s="1"/>
  <c r="EF19" i="6"/>
  <c r="EG19" i="6" s="1"/>
  <c r="EF18" i="6"/>
  <c r="EG18" i="6" s="1"/>
  <c r="EF17" i="6"/>
  <c r="EG17" i="6" s="1"/>
  <c r="EF16" i="6"/>
  <c r="EG16" i="6" s="1"/>
  <c r="EF15" i="6"/>
  <c r="EG15" i="6" s="1"/>
  <c r="EF14" i="6"/>
  <c r="EG14" i="6" s="1"/>
  <c r="EF13" i="6"/>
  <c r="EG13" i="6" s="1"/>
  <c r="EF12" i="6"/>
  <c r="EG12" i="6" s="1"/>
  <c r="EF11" i="6"/>
  <c r="EG11" i="6" s="1"/>
  <c r="EF10" i="6"/>
  <c r="EG10" i="6" s="1"/>
  <c r="EF9" i="6"/>
  <c r="EG9" i="6" s="1"/>
  <c r="EF8" i="6"/>
  <c r="EG8" i="6" s="1"/>
  <c r="EF7" i="6"/>
  <c r="EG7" i="6" s="1"/>
  <c r="EF6" i="6"/>
  <c r="EG6" i="6" s="1"/>
  <c r="EF5" i="6"/>
  <c r="EG5" i="6" s="1"/>
  <c r="EF4" i="6"/>
  <c r="EG4" i="6" s="1"/>
  <c r="EH40" i="6"/>
  <c r="AL83" i="10" s="1"/>
  <c r="EH39" i="6"/>
  <c r="AK48" i="10"/>
  <c r="AK49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K79" i="10"/>
  <c r="AK80" i="10"/>
  <c r="AK81" i="10"/>
  <c r="AK47" i="10"/>
  <c r="ED40" i="6"/>
  <c r="AK83" i="10" s="1"/>
  <c r="DZ36" i="6"/>
  <c r="EB36" i="6" s="1"/>
  <c r="EC36" i="6" s="1"/>
  <c r="EB5" i="6"/>
  <c r="EC5" i="6" s="1"/>
  <c r="EB6" i="6"/>
  <c r="EC6" i="6" s="1"/>
  <c r="EB7" i="6"/>
  <c r="EC7" i="6" s="1"/>
  <c r="EB8" i="6"/>
  <c r="EC8" i="6" s="1"/>
  <c r="EB9" i="6"/>
  <c r="EC9" i="6" s="1"/>
  <c r="EB10" i="6"/>
  <c r="EC10" i="6" s="1"/>
  <c r="EB11" i="6"/>
  <c r="EC11" i="6" s="1"/>
  <c r="EB12" i="6"/>
  <c r="EC12" i="6" s="1"/>
  <c r="EB13" i="6"/>
  <c r="EC13" i="6" s="1"/>
  <c r="EB14" i="6"/>
  <c r="EC14" i="6" s="1"/>
  <c r="EB15" i="6"/>
  <c r="EC15" i="6" s="1"/>
  <c r="EB16" i="6"/>
  <c r="EC16" i="6" s="1"/>
  <c r="EB17" i="6"/>
  <c r="EC17" i="6" s="1"/>
  <c r="EB18" i="6"/>
  <c r="EC18" i="6" s="1"/>
  <c r="EB19" i="6"/>
  <c r="EC19" i="6" s="1"/>
  <c r="EB20" i="6"/>
  <c r="EC20" i="6" s="1"/>
  <c r="EB21" i="6"/>
  <c r="EC21" i="6" s="1"/>
  <c r="EB22" i="6"/>
  <c r="EC22" i="6" s="1"/>
  <c r="EB23" i="6"/>
  <c r="EC23" i="6" s="1"/>
  <c r="EB24" i="6"/>
  <c r="EC24" i="6" s="1"/>
  <c r="EB25" i="6"/>
  <c r="EC25" i="6" s="1"/>
  <c r="EB26" i="6"/>
  <c r="EC26" i="6" s="1"/>
  <c r="EB27" i="6"/>
  <c r="EC27" i="6" s="1"/>
  <c r="EB28" i="6"/>
  <c r="EC28" i="6" s="1"/>
  <c r="EB29" i="6"/>
  <c r="EC29" i="6" s="1"/>
  <c r="EB30" i="6"/>
  <c r="EC30" i="6" s="1"/>
  <c r="EB31" i="6"/>
  <c r="EC31" i="6" s="1"/>
  <c r="EB32" i="6"/>
  <c r="EC32" i="6" s="1"/>
  <c r="EB33" i="6"/>
  <c r="EC33" i="6" s="1"/>
  <c r="EB34" i="6"/>
  <c r="EC34" i="6" s="1"/>
  <c r="EB35" i="6"/>
  <c r="EC35" i="6" s="1"/>
  <c r="EB37" i="6"/>
  <c r="EC37" i="6" s="1"/>
  <c r="EB38" i="6"/>
  <c r="EC38" i="6" s="1"/>
  <c r="EB4" i="6"/>
  <c r="EC4" i="6" s="1"/>
  <c r="CB30" i="6"/>
  <c r="EW36" i="6" l="1"/>
  <c r="AH55" i="7"/>
  <c r="Y55" i="7"/>
  <c r="F77" i="9"/>
  <c r="F78" i="9" s="1"/>
  <c r="ED39" i="6"/>
  <c r="FR45" i="6"/>
  <c r="AJ48" i="10"/>
  <c r="AJ49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2" i="10"/>
  <c r="AJ63" i="10"/>
  <c r="AJ64" i="10"/>
  <c r="AJ65" i="10"/>
  <c r="AJ66" i="10"/>
  <c r="AJ67" i="10"/>
  <c r="AJ68" i="10"/>
  <c r="AJ69" i="10"/>
  <c r="AJ70" i="10"/>
  <c r="AJ71" i="10"/>
  <c r="AJ72" i="10"/>
  <c r="AJ73" i="10"/>
  <c r="AJ74" i="10"/>
  <c r="AJ75" i="10"/>
  <c r="AJ76" i="10"/>
  <c r="AJ77" i="10"/>
  <c r="AJ78" i="10"/>
  <c r="AJ79" i="10"/>
  <c r="AJ80" i="10"/>
  <c r="AJ81" i="10"/>
  <c r="AJ47" i="10"/>
  <c r="DX5" i="6" l="1"/>
  <c r="DY5" i="6" s="1"/>
  <c r="DX6" i="6"/>
  <c r="DY6" i="6" s="1"/>
  <c r="DX7" i="6"/>
  <c r="DY7" i="6" s="1"/>
  <c r="DX8" i="6"/>
  <c r="DY8" i="6" s="1"/>
  <c r="DX9" i="6"/>
  <c r="DY9" i="6" s="1"/>
  <c r="DX10" i="6"/>
  <c r="DY10" i="6" s="1"/>
  <c r="DX11" i="6"/>
  <c r="DY11" i="6" s="1"/>
  <c r="DX12" i="6"/>
  <c r="DY12" i="6" s="1"/>
  <c r="DX13" i="6"/>
  <c r="DY13" i="6" s="1"/>
  <c r="DX14" i="6"/>
  <c r="DY14" i="6" s="1"/>
  <c r="DX15" i="6"/>
  <c r="DY15" i="6" s="1"/>
  <c r="DX16" i="6"/>
  <c r="DY16" i="6" s="1"/>
  <c r="DX17" i="6"/>
  <c r="DY17" i="6" s="1"/>
  <c r="DX18" i="6"/>
  <c r="DY18" i="6" s="1"/>
  <c r="DX19" i="6"/>
  <c r="DY19" i="6" s="1"/>
  <c r="DX20" i="6"/>
  <c r="DY20" i="6" s="1"/>
  <c r="DX21" i="6"/>
  <c r="DY21" i="6" s="1"/>
  <c r="DX22" i="6"/>
  <c r="DY22" i="6" s="1"/>
  <c r="DX23" i="6"/>
  <c r="DY23" i="6" s="1"/>
  <c r="DX24" i="6"/>
  <c r="DY24" i="6" s="1"/>
  <c r="DX25" i="6"/>
  <c r="DY25" i="6" s="1"/>
  <c r="DX26" i="6"/>
  <c r="DY26" i="6" s="1"/>
  <c r="DX27" i="6"/>
  <c r="DY27" i="6" s="1"/>
  <c r="DX28" i="6"/>
  <c r="DY28" i="6" s="1"/>
  <c r="DX29" i="6"/>
  <c r="DY29" i="6" s="1"/>
  <c r="DX30" i="6"/>
  <c r="DY30" i="6" s="1"/>
  <c r="DX31" i="6"/>
  <c r="DY31" i="6" s="1"/>
  <c r="DX32" i="6"/>
  <c r="DY32" i="6" s="1"/>
  <c r="DX33" i="6"/>
  <c r="DY33" i="6" s="1"/>
  <c r="DX34" i="6"/>
  <c r="DY34" i="6" s="1"/>
  <c r="DX35" i="6"/>
  <c r="DY35" i="6" s="1"/>
  <c r="DX36" i="6"/>
  <c r="DY36" i="6" s="1"/>
  <c r="DX37" i="6"/>
  <c r="DY37" i="6" s="1"/>
  <c r="DX38" i="6"/>
  <c r="DY38" i="6" s="1"/>
  <c r="DX4" i="6"/>
  <c r="DY4" i="6" s="1"/>
  <c r="DZ40" i="6"/>
  <c r="AJ83" i="10" s="1"/>
  <c r="DZ39" i="6"/>
  <c r="AD21" i="3"/>
  <c r="BM21" i="3" s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4" i="1"/>
  <c r="DV40" i="6"/>
  <c r="AI83" i="10" s="1"/>
  <c r="DV39" i="6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47" i="10"/>
  <c r="DT5" i="6"/>
  <c r="DU5" i="6" s="1"/>
  <c r="DT6" i="6"/>
  <c r="DU6" i="6" s="1"/>
  <c r="DT7" i="6"/>
  <c r="DU7" i="6" s="1"/>
  <c r="DT8" i="6"/>
  <c r="DU8" i="6" s="1"/>
  <c r="DT9" i="6"/>
  <c r="DU9" i="6" s="1"/>
  <c r="DT10" i="6"/>
  <c r="DU10" i="6" s="1"/>
  <c r="DT11" i="6"/>
  <c r="DU11" i="6" s="1"/>
  <c r="DT12" i="6"/>
  <c r="DU12" i="6" s="1"/>
  <c r="DT13" i="6"/>
  <c r="DU13" i="6" s="1"/>
  <c r="DT14" i="6"/>
  <c r="DU14" i="6" s="1"/>
  <c r="DT15" i="6"/>
  <c r="DU15" i="6" s="1"/>
  <c r="DT16" i="6"/>
  <c r="DU16" i="6" s="1"/>
  <c r="DT17" i="6"/>
  <c r="DU17" i="6" s="1"/>
  <c r="DT18" i="6"/>
  <c r="DU18" i="6" s="1"/>
  <c r="DT19" i="6"/>
  <c r="DU19" i="6" s="1"/>
  <c r="DT20" i="6"/>
  <c r="DU20" i="6" s="1"/>
  <c r="DT21" i="6"/>
  <c r="DU21" i="6" s="1"/>
  <c r="DT22" i="6"/>
  <c r="DU22" i="6" s="1"/>
  <c r="DT23" i="6"/>
  <c r="DU23" i="6" s="1"/>
  <c r="DT24" i="6"/>
  <c r="DU24" i="6" s="1"/>
  <c r="DT25" i="6"/>
  <c r="DU25" i="6" s="1"/>
  <c r="DT26" i="6"/>
  <c r="DU26" i="6" s="1"/>
  <c r="DT27" i="6"/>
  <c r="DU27" i="6" s="1"/>
  <c r="DT28" i="6"/>
  <c r="DU28" i="6" s="1"/>
  <c r="DT29" i="6"/>
  <c r="DU29" i="6" s="1"/>
  <c r="DT30" i="6"/>
  <c r="DU30" i="6" s="1"/>
  <c r="DT31" i="6"/>
  <c r="DU31" i="6" s="1"/>
  <c r="DT32" i="6"/>
  <c r="DU32" i="6" s="1"/>
  <c r="DT33" i="6"/>
  <c r="DU33" i="6" s="1"/>
  <c r="DT34" i="6"/>
  <c r="DU34" i="6" s="1"/>
  <c r="DT35" i="6"/>
  <c r="DU35" i="6" s="1"/>
  <c r="DT36" i="6"/>
  <c r="DU36" i="6" s="1"/>
  <c r="DT37" i="6"/>
  <c r="DU37" i="6" s="1"/>
  <c r="DT38" i="6"/>
  <c r="DU38" i="6" s="1"/>
  <c r="DT4" i="6"/>
  <c r="DU4" i="6" s="1"/>
  <c r="AH48" i="10" l="1"/>
  <c r="AH49" i="10"/>
  <c r="AH50" i="10"/>
  <c r="AH51" i="10"/>
  <c r="AH52" i="10"/>
  <c r="AH53" i="10"/>
  <c r="AH54" i="10"/>
  <c r="AH55" i="10"/>
  <c r="AH56" i="10"/>
  <c r="AH57" i="10"/>
  <c r="AH58" i="10"/>
  <c r="AH59" i="10"/>
  <c r="AH60" i="10"/>
  <c r="AH61" i="10"/>
  <c r="AH62" i="10"/>
  <c r="AH63" i="10"/>
  <c r="AH64" i="10"/>
  <c r="AH65" i="10"/>
  <c r="AH66" i="10"/>
  <c r="AH67" i="10"/>
  <c r="AH68" i="10"/>
  <c r="AH69" i="10"/>
  <c r="AH70" i="10"/>
  <c r="AH71" i="10"/>
  <c r="AH72" i="10"/>
  <c r="AH73" i="10"/>
  <c r="AH74" i="10"/>
  <c r="AH75" i="10"/>
  <c r="AH76" i="10"/>
  <c r="AH77" i="10"/>
  <c r="AH78" i="10"/>
  <c r="AH79" i="10"/>
  <c r="AH80" i="10"/>
  <c r="AH81" i="10"/>
  <c r="AH47" i="10"/>
  <c r="DR40" i="6"/>
  <c r="AH83" i="10" s="1"/>
  <c r="DR39" i="6"/>
  <c r="DP38" i="6"/>
  <c r="DQ38" i="6" s="1"/>
  <c r="DP37" i="6"/>
  <c r="DQ37" i="6" s="1"/>
  <c r="DP36" i="6"/>
  <c r="DQ36" i="6" s="1"/>
  <c r="DP35" i="6"/>
  <c r="DQ35" i="6" s="1"/>
  <c r="DP34" i="6"/>
  <c r="DQ34" i="6" s="1"/>
  <c r="DP33" i="6"/>
  <c r="DQ33" i="6" s="1"/>
  <c r="DP32" i="6"/>
  <c r="DQ32" i="6" s="1"/>
  <c r="DP31" i="6"/>
  <c r="DQ31" i="6" s="1"/>
  <c r="DP30" i="6"/>
  <c r="DQ30" i="6" s="1"/>
  <c r="DP29" i="6"/>
  <c r="DQ29" i="6" s="1"/>
  <c r="DP28" i="6"/>
  <c r="DQ28" i="6" s="1"/>
  <c r="DP27" i="6"/>
  <c r="DQ27" i="6" s="1"/>
  <c r="DP26" i="6"/>
  <c r="DQ26" i="6" s="1"/>
  <c r="DP25" i="6"/>
  <c r="DQ25" i="6" s="1"/>
  <c r="DP24" i="6"/>
  <c r="DQ24" i="6" s="1"/>
  <c r="DP23" i="6"/>
  <c r="DQ23" i="6" s="1"/>
  <c r="DP22" i="6"/>
  <c r="DQ22" i="6" s="1"/>
  <c r="DP21" i="6"/>
  <c r="DQ21" i="6" s="1"/>
  <c r="DP20" i="6"/>
  <c r="DQ20" i="6" s="1"/>
  <c r="DP19" i="6"/>
  <c r="DQ19" i="6" s="1"/>
  <c r="DP18" i="6"/>
  <c r="DQ18" i="6" s="1"/>
  <c r="DP17" i="6"/>
  <c r="DQ17" i="6" s="1"/>
  <c r="DP16" i="6"/>
  <c r="DQ16" i="6" s="1"/>
  <c r="DP15" i="6"/>
  <c r="DQ15" i="6" s="1"/>
  <c r="DP14" i="6"/>
  <c r="DQ14" i="6" s="1"/>
  <c r="DP13" i="6"/>
  <c r="DQ13" i="6" s="1"/>
  <c r="DP12" i="6"/>
  <c r="DQ12" i="6" s="1"/>
  <c r="DP11" i="6"/>
  <c r="DQ11" i="6" s="1"/>
  <c r="DP10" i="6"/>
  <c r="DQ10" i="6" s="1"/>
  <c r="DP9" i="6"/>
  <c r="DQ9" i="6" s="1"/>
  <c r="DP8" i="6"/>
  <c r="DQ8" i="6" s="1"/>
  <c r="DP7" i="6"/>
  <c r="DQ7" i="6" s="1"/>
  <c r="DP6" i="6"/>
  <c r="DQ6" i="6" s="1"/>
  <c r="DP5" i="6"/>
  <c r="DQ5" i="6" s="1"/>
  <c r="DP4" i="6"/>
  <c r="DQ4" i="6" s="1"/>
  <c r="AG48" i="10" l="1"/>
  <c r="AG49" i="10"/>
  <c r="AG50" i="10"/>
  <c r="AG51" i="10"/>
  <c r="AG52" i="10"/>
  <c r="AG53" i="10"/>
  <c r="AG54" i="10"/>
  <c r="AG55" i="10"/>
  <c r="AG56" i="10"/>
  <c r="AG57" i="10"/>
  <c r="AG58" i="10"/>
  <c r="AG59" i="10"/>
  <c r="AG60" i="10"/>
  <c r="AG61" i="10"/>
  <c r="AG62" i="10"/>
  <c r="AG63" i="10"/>
  <c r="AG64" i="10"/>
  <c r="AG65" i="10"/>
  <c r="AG66" i="10"/>
  <c r="AG67" i="10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47" i="10"/>
  <c r="DN40" i="6"/>
  <c r="AG83" i="10" s="1"/>
  <c r="DN39" i="6"/>
  <c r="DL5" i="6"/>
  <c r="DM5" i="6" s="1"/>
  <c r="DL6" i="6"/>
  <c r="DM6" i="6" s="1"/>
  <c r="DL7" i="6"/>
  <c r="DM7" i="6" s="1"/>
  <c r="DL8" i="6"/>
  <c r="DM8" i="6" s="1"/>
  <c r="DL9" i="6"/>
  <c r="DM9" i="6" s="1"/>
  <c r="DL10" i="6"/>
  <c r="DM10" i="6" s="1"/>
  <c r="DL11" i="6"/>
  <c r="DM11" i="6" s="1"/>
  <c r="DL12" i="6"/>
  <c r="DM12" i="6" s="1"/>
  <c r="DL13" i="6"/>
  <c r="DM13" i="6" s="1"/>
  <c r="DL14" i="6"/>
  <c r="DM14" i="6" s="1"/>
  <c r="DL15" i="6"/>
  <c r="DM15" i="6" s="1"/>
  <c r="DL16" i="6"/>
  <c r="DM16" i="6" s="1"/>
  <c r="DL17" i="6"/>
  <c r="DM17" i="6" s="1"/>
  <c r="DL18" i="6"/>
  <c r="DM18" i="6" s="1"/>
  <c r="DL19" i="6"/>
  <c r="DM19" i="6" s="1"/>
  <c r="DL20" i="6"/>
  <c r="DM20" i="6" s="1"/>
  <c r="DL21" i="6"/>
  <c r="DM21" i="6" s="1"/>
  <c r="DL22" i="6"/>
  <c r="DM22" i="6" s="1"/>
  <c r="DL23" i="6"/>
  <c r="DM23" i="6" s="1"/>
  <c r="DL24" i="6"/>
  <c r="DM24" i="6" s="1"/>
  <c r="DL25" i="6"/>
  <c r="DM25" i="6" s="1"/>
  <c r="DL26" i="6"/>
  <c r="DM26" i="6" s="1"/>
  <c r="DL27" i="6"/>
  <c r="DM27" i="6" s="1"/>
  <c r="DL28" i="6"/>
  <c r="DM28" i="6" s="1"/>
  <c r="DL29" i="6"/>
  <c r="DM29" i="6" s="1"/>
  <c r="DL30" i="6"/>
  <c r="DM30" i="6" s="1"/>
  <c r="DL31" i="6"/>
  <c r="DM31" i="6" s="1"/>
  <c r="DL32" i="6"/>
  <c r="DM32" i="6" s="1"/>
  <c r="DL33" i="6"/>
  <c r="DM33" i="6" s="1"/>
  <c r="DL34" i="6"/>
  <c r="DM34" i="6" s="1"/>
  <c r="DL35" i="6"/>
  <c r="DM35" i="6" s="1"/>
  <c r="DL36" i="6"/>
  <c r="DM36" i="6" s="1"/>
  <c r="DL37" i="6"/>
  <c r="DM37" i="6" s="1"/>
  <c r="DL38" i="6"/>
  <c r="DM38" i="6" s="1"/>
  <c r="DL4" i="6"/>
  <c r="DM4" i="6" s="1"/>
  <c r="AF81" i="10" l="1"/>
  <c r="AF80" i="10"/>
  <c r="AF79" i="10"/>
  <c r="AF78" i="10"/>
  <c r="AF77" i="10"/>
  <c r="AF76" i="10"/>
  <c r="AF75" i="10"/>
  <c r="AF74" i="10"/>
  <c r="AF73" i="10"/>
  <c r="AF72" i="10"/>
  <c r="AF71" i="10"/>
  <c r="AF70" i="10"/>
  <c r="AF69" i="10"/>
  <c r="AF68" i="10"/>
  <c r="AF67" i="10"/>
  <c r="AF66" i="10"/>
  <c r="AF65" i="10"/>
  <c r="AF64" i="10"/>
  <c r="AF63" i="10"/>
  <c r="AF62" i="10"/>
  <c r="AF61" i="10"/>
  <c r="AF60" i="10"/>
  <c r="AF59" i="10"/>
  <c r="AF58" i="10"/>
  <c r="AF57" i="10"/>
  <c r="AF56" i="10"/>
  <c r="AF55" i="10"/>
  <c r="AF54" i="10"/>
  <c r="AF53" i="10"/>
  <c r="AF52" i="10"/>
  <c r="AF51" i="10"/>
  <c r="AF50" i="10"/>
  <c r="AF49" i="10"/>
  <c r="AF48" i="10"/>
  <c r="AF47" i="10"/>
  <c r="DJ40" i="6"/>
  <c r="AF83" i="10" s="1"/>
  <c r="DJ39" i="6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47" i="10"/>
  <c r="DH38" i="6"/>
  <c r="DI38" i="6" s="1"/>
  <c r="DH37" i="6"/>
  <c r="DI37" i="6" s="1"/>
  <c r="DH36" i="6"/>
  <c r="DI36" i="6" s="1"/>
  <c r="DH35" i="6"/>
  <c r="DI35" i="6" s="1"/>
  <c r="DH34" i="6"/>
  <c r="DI34" i="6" s="1"/>
  <c r="DH33" i="6"/>
  <c r="DI33" i="6" s="1"/>
  <c r="DH32" i="6"/>
  <c r="DI32" i="6" s="1"/>
  <c r="DH31" i="6"/>
  <c r="DI31" i="6" s="1"/>
  <c r="DH30" i="6"/>
  <c r="DI30" i="6" s="1"/>
  <c r="DH29" i="6"/>
  <c r="DI29" i="6" s="1"/>
  <c r="DH28" i="6"/>
  <c r="DI28" i="6" s="1"/>
  <c r="DH27" i="6"/>
  <c r="DI27" i="6" s="1"/>
  <c r="DH26" i="6"/>
  <c r="DI26" i="6" s="1"/>
  <c r="DH25" i="6"/>
  <c r="DI25" i="6" s="1"/>
  <c r="DH24" i="6"/>
  <c r="DI24" i="6" s="1"/>
  <c r="DH23" i="6"/>
  <c r="DI23" i="6" s="1"/>
  <c r="DH22" i="6"/>
  <c r="DI22" i="6" s="1"/>
  <c r="DH21" i="6"/>
  <c r="DI21" i="6" s="1"/>
  <c r="DH20" i="6"/>
  <c r="DI20" i="6" s="1"/>
  <c r="DH19" i="6"/>
  <c r="DI19" i="6" s="1"/>
  <c r="DH18" i="6"/>
  <c r="DI18" i="6" s="1"/>
  <c r="DH17" i="6"/>
  <c r="DI17" i="6" s="1"/>
  <c r="DH16" i="6"/>
  <c r="DI16" i="6" s="1"/>
  <c r="DH15" i="6"/>
  <c r="DI15" i="6" s="1"/>
  <c r="DH14" i="6"/>
  <c r="DI14" i="6" s="1"/>
  <c r="DH13" i="6"/>
  <c r="DI13" i="6" s="1"/>
  <c r="DH12" i="6"/>
  <c r="DI12" i="6" s="1"/>
  <c r="DH11" i="6"/>
  <c r="DI11" i="6" s="1"/>
  <c r="DH10" i="6"/>
  <c r="DI10" i="6" s="1"/>
  <c r="DH9" i="6"/>
  <c r="DI9" i="6" s="1"/>
  <c r="DH8" i="6"/>
  <c r="DI8" i="6" s="1"/>
  <c r="DH7" i="6"/>
  <c r="DI7" i="6" s="1"/>
  <c r="DH6" i="6"/>
  <c r="DI6" i="6" s="1"/>
  <c r="DH5" i="6"/>
  <c r="DI5" i="6" s="1"/>
  <c r="DH4" i="6"/>
  <c r="DI4" i="6" s="1"/>
  <c r="DD38" i="6"/>
  <c r="DE38" i="6" s="1"/>
  <c r="DD37" i="6"/>
  <c r="DE37" i="6" s="1"/>
  <c r="DD36" i="6"/>
  <c r="DE36" i="6" s="1"/>
  <c r="DD35" i="6"/>
  <c r="DE35" i="6" s="1"/>
  <c r="DD34" i="6"/>
  <c r="DE34" i="6" s="1"/>
  <c r="DD33" i="6"/>
  <c r="DE33" i="6" s="1"/>
  <c r="DD32" i="6"/>
  <c r="DE32" i="6" s="1"/>
  <c r="DD31" i="6"/>
  <c r="DE31" i="6" s="1"/>
  <c r="DD30" i="6"/>
  <c r="DE30" i="6" s="1"/>
  <c r="DD29" i="6"/>
  <c r="DE29" i="6" s="1"/>
  <c r="DD28" i="6"/>
  <c r="DE28" i="6" s="1"/>
  <c r="DD27" i="6"/>
  <c r="DE27" i="6" s="1"/>
  <c r="DD26" i="6"/>
  <c r="DE26" i="6" s="1"/>
  <c r="DD25" i="6"/>
  <c r="DE25" i="6" s="1"/>
  <c r="DD24" i="6"/>
  <c r="DE24" i="6" s="1"/>
  <c r="DD23" i="6"/>
  <c r="DE23" i="6" s="1"/>
  <c r="DD22" i="6"/>
  <c r="DE22" i="6" s="1"/>
  <c r="DD21" i="6"/>
  <c r="DE21" i="6" s="1"/>
  <c r="DD20" i="6"/>
  <c r="DE20" i="6" s="1"/>
  <c r="DD19" i="6"/>
  <c r="DE19" i="6" s="1"/>
  <c r="DD18" i="6"/>
  <c r="DE18" i="6" s="1"/>
  <c r="DD17" i="6"/>
  <c r="DE17" i="6" s="1"/>
  <c r="DD16" i="6"/>
  <c r="DE16" i="6" s="1"/>
  <c r="DD15" i="6"/>
  <c r="DE15" i="6" s="1"/>
  <c r="DD14" i="6"/>
  <c r="DE14" i="6" s="1"/>
  <c r="DD13" i="6"/>
  <c r="DE13" i="6" s="1"/>
  <c r="DD12" i="6"/>
  <c r="DE12" i="6" s="1"/>
  <c r="DD11" i="6"/>
  <c r="DE11" i="6" s="1"/>
  <c r="DD10" i="6"/>
  <c r="DE10" i="6" s="1"/>
  <c r="DD9" i="6"/>
  <c r="DE9" i="6" s="1"/>
  <c r="DD8" i="6"/>
  <c r="DE8" i="6" s="1"/>
  <c r="DD7" i="6"/>
  <c r="DE7" i="6" s="1"/>
  <c r="DD6" i="6"/>
  <c r="DE6" i="6" s="1"/>
  <c r="DD5" i="6"/>
  <c r="DE5" i="6" s="1"/>
  <c r="DD4" i="6"/>
  <c r="DE4" i="6" s="1"/>
  <c r="DF40" i="6"/>
  <c r="AE83" i="10" s="1"/>
  <c r="DF39" i="6"/>
  <c r="AD48" i="10" l="1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47" i="10"/>
  <c r="DB40" i="6"/>
  <c r="AD83" i="10" s="1"/>
  <c r="DB39" i="6"/>
  <c r="G36" i="2"/>
  <c r="I35" i="2"/>
  <c r="I49" i="2" s="1"/>
  <c r="I44" i="2"/>
  <c r="I48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37" i="2"/>
  <c r="CT39" i="6"/>
  <c r="CT40" i="6"/>
  <c r="AC81" i="10"/>
  <c r="AC80" i="10"/>
  <c r="AC79" i="10"/>
  <c r="AC78" i="10"/>
  <c r="AC77" i="10"/>
  <c r="AC76" i="10"/>
  <c r="AC75" i="10"/>
  <c r="AC74" i="10"/>
  <c r="AC73" i="10"/>
  <c r="AC72" i="10"/>
  <c r="AC71" i="10"/>
  <c r="AC70" i="10"/>
  <c r="AC69" i="10"/>
  <c r="AC68" i="10"/>
  <c r="AC67" i="10"/>
  <c r="AC66" i="10"/>
  <c r="AC65" i="10"/>
  <c r="AC64" i="10"/>
  <c r="AC63" i="10"/>
  <c r="AC62" i="10"/>
  <c r="AC61" i="10"/>
  <c r="AC60" i="10"/>
  <c r="AC59" i="10"/>
  <c r="AC58" i="10"/>
  <c r="AC57" i="10"/>
  <c r="AC56" i="10"/>
  <c r="AC55" i="10"/>
  <c r="AC54" i="10"/>
  <c r="AC53" i="10"/>
  <c r="AC52" i="10"/>
  <c r="AC51" i="10"/>
  <c r="AC50" i="10"/>
  <c r="AC49" i="10"/>
  <c r="AC48" i="10"/>
  <c r="AC47" i="10"/>
  <c r="AR30" i="6"/>
  <c r="CZ38" i="6"/>
  <c r="DA38" i="6" s="1"/>
  <c r="CZ37" i="6"/>
  <c r="DA37" i="6" s="1"/>
  <c r="CZ36" i="6"/>
  <c r="DA36" i="6" s="1"/>
  <c r="CZ35" i="6"/>
  <c r="DA35" i="6" s="1"/>
  <c r="CZ34" i="6"/>
  <c r="DA34" i="6" s="1"/>
  <c r="CZ33" i="6"/>
  <c r="DA33" i="6" s="1"/>
  <c r="CZ32" i="6"/>
  <c r="DA32" i="6" s="1"/>
  <c r="CZ31" i="6"/>
  <c r="DA31" i="6" s="1"/>
  <c r="CZ30" i="6"/>
  <c r="DA30" i="6" s="1"/>
  <c r="CZ29" i="6"/>
  <c r="DA29" i="6" s="1"/>
  <c r="CZ28" i="6"/>
  <c r="DA28" i="6" s="1"/>
  <c r="CZ27" i="6"/>
  <c r="DA27" i="6" s="1"/>
  <c r="CZ26" i="6"/>
  <c r="DA26" i="6" s="1"/>
  <c r="CZ25" i="6"/>
  <c r="DA25" i="6" s="1"/>
  <c r="CZ24" i="6"/>
  <c r="DA24" i="6" s="1"/>
  <c r="CZ23" i="6"/>
  <c r="DA23" i="6" s="1"/>
  <c r="CZ22" i="6"/>
  <c r="DA22" i="6" s="1"/>
  <c r="CZ21" i="6"/>
  <c r="DA21" i="6" s="1"/>
  <c r="CZ20" i="6"/>
  <c r="DA20" i="6" s="1"/>
  <c r="CZ19" i="6"/>
  <c r="DA19" i="6" s="1"/>
  <c r="CZ18" i="6"/>
  <c r="DA18" i="6" s="1"/>
  <c r="CZ17" i="6"/>
  <c r="DA17" i="6" s="1"/>
  <c r="CZ16" i="6"/>
  <c r="DA16" i="6" s="1"/>
  <c r="CZ15" i="6"/>
  <c r="DA15" i="6" s="1"/>
  <c r="CZ14" i="6"/>
  <c r="DA14" i="6" s="1"/>
  <c r="CZ13" i="6"/>
  <c r="DA13" i="6" s="1"/>
  <c r="CZ12" i="6"/>
  <c r="DA12" i="6" s="1"/>
  <c r="CZ11" i="6"/>
  <c r="DA11" i="6" s="1"/>
  <c r="CZ10" i="6"/>
  <c r="DA10" i="6" s="1"/>
  <c r="CZ9" i="6"/>
  <c r="DA9" i="6" s="1"/>
  <c r="CZ8" i="6"/>
  <c r="DA8" i="6" s="1"/>
  <c r="CZ7" i="6"/>
  <c r="DA7" i="6" s="1"/>
  <c r="CZ6" i="6"/>
  <c r="DA6" i="6" s="1"/>
  <c r="CZ5" i="6"/>
  <c r="DA5" i="6" s="1"/>
  <c r="CZ4" i="6"/>
  <c r="DA4" i="6" s="1"/>
  <c r="CX40" i="6"/>
  <c r="AC83" i="10" s="1"/>
  <c r="CX39" i="6"/>
  <c r="CV38" i="6"/>
  <c r="CW38" i="6" s="1"/>
  <c r="CV37" i="6"/>
  <c r="CW37" i="6" s="1"/>
  <c r="CV36" i="6"/>
  <c r="CW36" i="6" s="1"/>
  <c r="CV35" i="6"/>
  <c r="CW35" i="6" s="1"/>
  <c r="CV34" i="6"/>
  <c r="CW34" i="6" s="1"/>
  <c r="CV33" i="6"/>
  <c r="CW33" i="6" s="1"/>
  <c r="CV32" i="6"/>
  <c r="CW32" i="6" s="1"/>
  <c r="CV31" i="6"/>
  <c r="CW31" i="6" s="1"/>
  <c r="CV30" i="6"/>
  <c r="CW30" i="6" s="1"/>
  <c r="CV29" i="6"/>
  <c r="CW29" i="6" s="1"/>
  <c r="CV28" i="6"/>
  <c r="CW28" i="6" s="1"/>
  <c r="CV27" i="6"/>
  <c r="CW27" i="6" s="1"/>
  <c r="CV26" i="6"/>
  <c r="CW26" i="6" s="1"/>
  <c r="CV25" i="6"/>
  <c r="CW25" i="6" s="1"/>
  <c r="CV24" i="6"/>
  <c r="CW24" i="6" s="1"/>
  <c r="CV23" i="6"/>
  <c r="CW23" i="6" s="1"/>
  <c r="CV22" i="6"/>
  <c r="CW22" i="6" s="1"/>
  <c r="CV21" i="6"/>
  <c r="CW21" i="6" s="1"/>
  <c r="CV20" i="6"/>
  <c r="CW20" i="6" s="1"/>
  <c r="CV19" i="6"/>
  <c r="CW19" i="6" s="1"/>
  <c r="CV18" i="6"/>
  <c r="CW18" i="6" s="1"/>
  <c r="CV17" i="6"/>
  <c r="CW17" i="6" s="1"/>
  <c r="CV16" i="6"/>
  <c r="CW16" i="6" s="1"/>
  <c r="CV15" i="6"/>
  <c r="CW15" i="6" s="1"/>
  <c r="CV14" i="6"/>
  <c r="CW14" i="6" s="1"/>
  <c r="CV13" i="6"/>
  <c r="CW13" i="6" s="1"/>
  <c r="CV12" i="6"/>
  <c r="CW12" i="6" s="1"/>
  <c r="CV11" i="6"/>
  <c r="CW11" i="6" s="1"/>
  <c r="CV10" i="6"/>
  <c r="CW10" i="6" s="1"/>
  <c r="CV9" i="6"/>
  <c r="CW9" i="6" s="1"/>
  <c r="CV8" i="6"/>
  <c r="CW8" i="6" s="1"/>
  <c r="CV7" i="6"/>
  <c r="CW7" i="6" s="1"/>
  <c r="CV6" i="6"/>
  <c r="CW6" i="6" s="1"/>
  <c r="CV5" i="6"/>
  <c r="CW5" i="6" s="1"/>
  <c r="CV4" i="6"/>
  <c r="CW4" i="6" s="1"/>
  <c r="B18" i="3"/>
  <c r="CF18" i="3" s="1"/>
  <c r="C18" i="13" s="1"/>
  <c r="B21" i="3"/>
  <c r="CF21" i="3" s="1"/>
  <c r="C21" i="13" s="1"/>
  <c r="CF27" i="3"/>
  <c r="C27" i="13" s="1"/>
  <c r="CF25" i="3"/>
  <c r="C25" i="13" s="1"/>
  <c r="CF3" i="3"/>
  <c r="C3" i="13" s="1"/>
  <c r="CF11" i="3"/>
  <c r="C11" i="13" s="1"/>
  <c r="CF12" i="3"/>
  <c r="C12" i="13" s="1"/>
  <c r="CF14" i="3"/>
  <c r="C14" i="13" s="1"/>
  <c r="CF17" i="3"/>
  <c r="C17" i="13" s="1"/>
  <c r="CF19" i="3"/>
  <c r="C19" i="13" s="1"/>
  <c r="CF20" i="3"/>
  <c r="C20" i="13" s="1"/>
  <c r="CF22" i="3"/>
  <c r="C22" i="13" s="1"/>
  <c r="CF23" i="3"/>
  <c r="C23" i="13" s="1"/>
  <c r="CF24" i="3"/>
  <c r="C24" i="13" s="1"/>
  <c r="CF26" i="3"/>
  <c r="C26" i="13" s="1"/>
  <c r="CF28" i="3"/>
  <c r="C28" i="13" s="1"/>
  <c r="CF29" i="3"/>
  <c r="C29" i="13" s="1"/>
  <c r="CF30" i="3"/>
  <c r="C30" i="13" s="1"/>
  <c r="CF31" i="3"/>
  <c r="C31" i="13" s="1"/>
  <c r="CF32" i="3"/>
  <c r="C32" i="13" s="1"/>
  <c r="CF33" i="3"/>
  <c r="C33" i="13" s="1"/>
  <c r="CF34" i="3"/>
  <c r="C34" i="13" s="1"/>
  <c r="CF35" i="3"/>
  <c r="C35" i="13" s="1"/>
  <c r="CF36" i="3"/>
  <c r="C36" i="13" s="1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47" i="10"/>
  <c r="I47" i="2" l="1"/>
  <c r="I46" i="2"/>
  <c r="I45" i="2"/>
  <c r="I43" i="2"/>
  <c r="I42" i="2"/>
  <c r="I41" i="2"/>
  <c r="I40" i="2"/>
  <c r="I39" i="2"/>
  <c r="I38" i="2"/>
  <c r="I37" i="2"/>
  <c r="AB83" i="10"/>
  <c r="CR38" i="6"/>
  <c r="CS38" i="6" s="1"/>
  <c r="CR37" i="6"/>
  <c r="CS37" i="6" s="1"/>
  <c r="CR36" i="6"/>
  <c r="CS36" i="6" s="1"/>
  <c r="CR35" i="6"/>
  <c r="CS35" i="6" s="1"/>
  <c r="CR34" i="6"/>
  <c r="CS34" i="6" s="1"/>
  <c r="CR33" i="6"/>
  <c r="CS33" i="6" s="1"/>
  <c r="CR32" i="6"/>
  <c r="CS32" i="6" s="1"/>
  <c r="CR30" i="6"/>
  <c r="CS30" i="6" s="1"/>
  <c r="CR29" i="6"/>
  <c r="CS29" i="6" s="1"/>
  <c r="CR28" i="6"/>
  <c r="CR27" i="6"/>
  <c r="CR26" i="6"/>
  <c r="CS26" i="6" s="1"/>
  <c r="CR25" i="6"/>
  <c r="CS25" i="6" s="1"/>
  <c r="CR24" i="6"/>
  <c r="CS24" i="6" s="1"/>
  <c r="CR23" i="6"/>
  <c r="CS23" i="6" s="1"/>
  <c r="CR22" i="6"/>
  <c r="CS22" i="6" s="1"/>
  <c r="CR21" i="6"/>
  <c r="CS21" i="6" s="1"/>
  <c r="CR20" i="6"/>
  <c r="CS20" i="6" s="1"/>
  <c r="CR19" i="6"/>
  <c r="CS19" i="6" s="1"/>
  <c r="CR18" i="6"/>
  <c r="CS18" i="6" s="1"/>
  <c r="CR17" i="6"/>
  <c r="CS17" i="6" s="1"/>
  <c r="CR16" i="6"/>
  <c r="CS16" i="6" s="1"/>
  <c r="CR15" i="6"/>
  <c r="CS15" i="6" s="1"/>
  <c r="CR14" i="6"/>
  <c r="CS14" i="6" s="1"/>
  <c r="CR13" i="6"/>
  <c r="CS13" i="6" s="1"/>
  <c r="CR12" i="6"/>
  <c r="CS12" i="6" s="1"/>
  <c r="CR11" i="6"/>
  <c r="CS11" i="6" s="1"/>
  <c r="CR10" i="6"/>
  <c r="CS10" i="6" s="1"/>
  <c r="CR9" i="6"/>
  <c r="CS9" i="6" s="1"/>
  <c r="CR8" i="6"/>
  <c r="CS8" i="6" s="1"/>
  <c r="CR7" i="6"/>
  <c r="CS7" i="6" s="1"/>
  <c r="CR6" i="6"/>
  <c r="CS6" i="6" s="1"/>
  <c r="CR5" i="6"/>
  <c r="CS5" i="6" s="1"/>
  <c r="CR4" i="6"/>
  <c r="CS4" i="6" s="1"/>
  <c r="AA81" i="10"/>
  <c r="AA80" i="10"/>
  <c r="AA79" i="10"/>
  <c r="AA78" i="10"/>
  <c r="AA77" i="10"/>
  <c r="AA76" i="10"/>
  <c r="AA75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52" i="10"/>
  <c r="AA51" i="10"/>
  <c r="AA50" i="10"/>
  <c r="AA49" i="10"/>
  <c r="AA48" i="10"/>
  <c r="AA47" i="10"/>
  <c r="CN5" i="6"/>
  <c r="CO5" i="6" s="1"/>
  <c r="CN6" i="6"/>
  <c r="CO6" i="6" s="1"/>
  <c r="CN7" i="6"/>
  <c r="CO7" i="6" s="1"/>
  <c r="CN8" i="6"/>
  <c r="CO8" i="6" s="1"/>
  <c r="CN9" i="6"/>
  <c r="CO9" i="6" s="1"/>
  <c r="CN10" i="6"/>
  <c r="CO10" i="6" s="1"/>
  <c r="CN11" i="6"/>
  <c r="CO11" i="6" s="1"/>
  <c r="CN12" i="6"/>
  <c r="CO12" i="6" s="1"/>
  <c r="CN13" i="6"/>
  <c r="CO13" i="6" s="1"/>
  <c r="CN14" i="6"/>
  <c r="CO14" i="6" s="1"/>
  <c r="CN15" i="6"/>
  <c r="CO15" i="6" s="1"/>
  <c r="CN16" i="6"/>
  <c r="CO16" i="6" s="1"/>
  <c r="CN17" i="6"/>
  <c r="CO17" i="6" s="1"/>
  <c r="CN18" i="6"/>
  <c r="CO18" i="6" s="1"/>
  <c r="CN19" i="6"/>
  <c r="CO19" i="6" s="1"/>
  <c r="CN20" i="6"/>
  <c r="CO20" i="6" s="1"/>
  <c r="CN21" i="6"/>
  <c r="CO21" i="6" s="1"/>
  <c r="CN22" i="6"/>
  <c r="CO22" i="6" s="1"/>
  <c r="CN23" i="6"/>
  <c r="CO23" i="6" s="1"/>
  <c r="CN24" i="6"/>
  <c r="CO24" i="6" s="1"/>
  <c r="CN25" i="6"/>
  <c r="CO25" i="6" s="1"/>
  <c r="CN26" i="6"/>
  <c r="CN27" i="6"/>
  <c r="CO27" i="6" s="1"/>
  <c r="CN28" i="6"/>
  <c r="CO28" i="6" s="1"/>
  <c r="CN29" i="6"/>
  <c r="CO29" i="6" s="1"/>
  <c r="CN30" i="6"/>
  <c r="CO30" i="6" s="1"/>
  <c r="CN31" i="6"/>
  <c r="CO31" i="6" s="1"/>
  <c r="CN32" i="6"/>
  <c r="CO32" i="6" s="1"/>
  <c r="CN33" i="6"/>
  <c r="CO33" i="6" s="1"/>
  <c r="CN34" i="6"/>
  <c r="CO34" i="6" s="1"/>
  <c r="CN35" i="6"/>
  <c r="CO35" i="6" s="1"/>
  <c r="CN36" i="6"/>
  <c r="CO36" i="6" s="1"/>
  <c r="CN37" i="6"/>
  <c r="CO37" i="6" s="1"/>
  <c r="CN38" i="6"/>
  <c r="CO38" i="6" s="1"/>
  <c r="CN4" i="6"/>
  <c r="CO4" i="6" s="1"/>
  <c r="CJ4" i="6"/>
  <c r="CK4" i="6" s="1"/>
  <c r="CJ5" i="6"/>
  <c r="CK5" i="6" s="1"/>
  <c r="CJ6" i="6"/>
  <c r="CK6" i="6" s="1"/>
  <c r="CJ7" i="6"/>
  <c r="CK7" i="6" s="1"/>
  <c r="CJ8" i="6"/>
  <c r="CK8" i="6" s="1"/>
  <c r="CJ9" i="6"/>
  <c r="CK9" i="6" s="1"/>
  <c r="CJ10" i="6"/>
  <c r="CK10" i="6" s="1"/>
  <c r="CJ11" i="6"/>
  <c r="CK11" i="6" s="1"/>
  <c r="CJ12" i="6"/>
  <c r="CK12" i="6" s="1"/>
  <c r="CJ14" i="6"/>
  <c r="CK14" i="6" s="1"/>
  <c r="CJ15" i="6"/>
  <c r="CK15" i="6" s="1"/>
  <c r="CJ16" i="6"/>
  <c r="CK16" i="6" s="1"/>
  <c r="CJ17" i="6"/>
  <c r="CK17" i="6" s="1"/>
  <c r="CJ18" i="6"/>
  <c r="CK18" i="6" s="1"/>
  <c r="CJ19" i="6"/>
  <c r="CK19" i="6" s="1"/>
  <c r="CJ20" i="6"/>
  <c r="CK20" i="6" s="1"/>
  <c r="CJ21" i="6"/>
  <c r="CK21" i="6" s="1"/>
  <c r="CJ22" i="6"/>
  <c r="CK22" i="6" s="1"/>
  <c r="CJ23" i="6"/>
  <c r="CK23" i="6" s="1"/>
  <c r="CJ24" i="6"/>
  <c r="CK24" i="6" s="1"/>
  <c r="CJ25" i="6"/>
  <c r="CK25" i="6" s="1"/>
  <c r="CJ26" i="6"/>
  <c r="CK26" i="6" s="1"/>
  <c r="CJ27" i="6"/>
  <c r="CK27" i="6" s="1"/>
  <c r="CJ28" i="6"/>
  <c r="CK28" i="6" s="1"/>
  <c r="CJ29" i="6"/>
  <c r="CK29" i="6" s="1"/>
  <c r="CJ30" i="6"/>
  <c r="CK30" i="6" s="1"/>
  <c r="CJ31" i="6"/>
  <c r="CK31" i="6" s="1"/>
  <c r="CJ32" i="6"/>
  <c r="CK32" i="6" s="1"/>
  <c r="CJ33" i="6"/>
  <c r="CK33" i="6" s="1"/>
  <c r="CJ34" i="6"/>
  <c r="CK34" i="6" s="1"/>
  <c r="CJ35" i="6"/>
  <c r="CK35" i="6" s="1"/>
  <c r="CJ36" i="6"/>
  <c r="CK36" i="6" s="1"/>
  <c r="CJ37" i="6"/>
  <c r="CK37" i="6" s="1"/>
  <c r="CJ38" i="6"/>
  <c r="CK38" i="6" s="1"/>
  <c r="CJ13" i="6"/>
  <c r="CK13" i="6" s="1"/>
  <c r="CF13" i="6"/>
  <c r="CG13" i="6" s="1"/>
  <c r="CF14" i="6"/>
  <c r="CG14" i="6" s="1"/>
  <c r="CP40" i="6"/>
  <c r="AA83" i="10" s="1"/>
  <c r="CP39" i="6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CL40" i="6"/>
  <c r="Z83" i="10" s="1"/>
  <c r="CL39" i="6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47" i="10"/>
  <c r="CF38" i="6"/>
  <c r="CG38" i="6" s="1"/>
  <c r="CF37" i="6"/>
  <c r="CG37" i="6" s="1"/>
  <c r="CF36" i="6"/>
  <c r="CG36" i="6" s="1"/>
  <c r="CF35" i="6"/>
  <c r="CG35" i="6" s="1"/>
  <c r="CF34" i="6"/>
  <c r="CG34" i="6" s="1"/>
  <c r="CF33" i="6"/>
  <c r="CG33" i="6" s="1"/>
  <c r="CF32" i="6"/>
  <c r="CG32" i="6" s="1"/>
  <c r="CF31" i="6"/>
  <c r="CG31" i="6" s="1"/>
  <c r="CF30" i="6"/>
  <c r="CG30" i="6" s="1"/>
  <c r="CF29" i="6"/>
  <c r="CG29" i="6" s="1"/>
  <c r="CF28" i="6"/>
  <c r="CG28" i="6" s="1"/>
  <c r="CF27" i="6"/>
  <c r="CG27" i="6" s="1"/>
  <c r="CF26" i="6"/>
  <c r="CG26" i="6" s="1"/>
  <c r="CF25" i="6"/>
  <c r="CG25" i="6" s="1"/>
  <c r="CF24" i="6"/>
  <c r="CG24" i="6" s="1"/>
  <c r="CF23" i="6"/>
  <c r="CG23" i="6" s="1"/>
  <c r="CF22" i="6"/>
  <c r="CG22" i="6" s="1"/>
  <c r="CF21" i="6"/>
  <c r="CG21" i="6" s="1"/>
  <c r="CF20" i="6"/>
  <c r="CG20" i="6" s="1"/>
  <c r="CF19" i="6"/>
  <c r="CG19" i="6" s="1"/>
  <c r="CF18" i="6"/>
  <c r="CG18" i="6" s="1"/>
  <c r="CF17" i="6"/>
  <c r="CG17" i="6" s="1"/>
  <c r="CF16" i="6"/>
  <c r="CG16" i="6" s="1"/>
  <c r="CF15" i="6"/>
  <c r="CG15" i="6" s="1"/>
  <c r="CF12" i="6"/>
  <c r="CG12" i="6" s="1"/>
  <c r="CF11" i="6"/>
  <c r="CG11" i="6" s="1"/>
  <c r="CF10" i="6"/>
  <c r="CG10" i="6" s="1"/>
  <c r="CF9" i="6"/>
  <c r="CG9" i="6" s="1"/>
  <c r="CF8" i="6"/>
  <c r="CG8" i="6" s="1"/>
  <c r="CF7" i="6"/>
  <c r="CG7" i="6" s="1"/>
  <c r="CF6" i="6"/>
  <c r="CG6" i="6" s="1"/>
  <c r="CF5" i="6"/>
  <c r="CG5" i="6" s="1"/>
  <c r="CF4" i="6"/>
  <c r="CG4" i="6" s="1"/>
  <c r="CH40" i="6"/>
  <c r="Y83" i="10" s="1"/>
  <c r="CH39" i="6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47" i="10"/>
  <c r="CB38" i="6"/>
  <c r="CC38" i="6" s="1"/>
  <c r="CB37" i="6"/>
  <c r="CC37" i="6" s="1"/>
  <c r="CB36" i="6"/>
  <c r="CC36" i="6" s="1"/>
  <c r="CB35" i="6"/>
  <c r="CC35" i="6" s="1"/>
  <c r="CB34" i="6"/>
  <c r="CC34" i="6" s="1"/>
  <c r="CB33" i="6"/>
  <c r="CC33" i="6" s="1"/>
  <c r="CB32" i="6"/>
  <c r="CC32" i="6" s="1"/>
  <c r="CB31" i="6"/>
  <c r="CC31" i="6" s="1"/>
  <c r="CC30" i="6"/>
  <c r="CB29" i="6"/>
  <c r="CC29" i="6" s="1"/>
  <c r="CB28" i="6"/>
  <c r="CC28" i="6" s="1"/>
  <c r="CB27" i="6"/>
  <c r="CC27" i="6" s="1"/>
  <c r="CB26" i="6"/>
  <c r="CC26" i="6" s="1"/>
  <c r="CB25" i="6"/>
  <c r="CC25" i="6" s="1"/>
  <c r="CB24" i="6"/>
  <c r="CC24" i="6" s="1"/>
  <c r="CB23" i="6"/>
  <c r="CC23" i="6" s="1"/>
  <c r="CB22" i="6"/>
  <c r="CC22" i="6" s="1"/>
  <c r="CB21" i="6"/>
  <c r="CC21" i="6" s="1"/>
  <c r="CB20" i="6"/>
  <c r="CC20" i="6" s="1"/>
  <c r="CB19" i="6"/>
  <c r="CC19" i="6" s="1"/>
  <c r="CB18" i="6"/>
  <c r="CC18" i="6" s="1"/>
  <c r="CB17" i="6"/>
  <c r="CC17" i="6" s="1"/>
  <c r="CB16" i="6"/>
  <c r="CC16" i="6" s="1"/>
  <c r="CB15" i="6"/>
  <c r="CC15" i="6" s="1"/>
  <c r="CB14" i="6"/>
  <c r="CC14" i="6" s="1"/>
  <c r="CB13" i="6"/>
  <c r="CC13" i="6" s="1"/>
  <c r="CB12" i="6"/>
  <c r="CC12" i="6" s="1"/>
  <c r="CB11" i="6"/>
  <c r="CC11" i="6" s="1"/>
  <c r="CB10" i="6"/>
  <c r="CC10" i="6" s="1"/>
  <c r="CB9" i="6"/>
  <c r="CC9" i="6" s="1"/>
  <c r="CB8" i="6"/>
  <c r="CC8" i="6" s="1"/>
  <c r="CB7" i="6"/>
  <c r="CC7" i="6" s="1"/>
  <c r="CB6" i="6"/>
  <c r="CC6" i="6" s="1"/>
  <c r="CB5" i="6"/>
  <c r="CC5" i="6" s="1"/>
  <c r="CB4" i="6"/>
  <c r="CC4" i="6" s="1"/>
  <c r="CD40" i="6"/>
  <c r="X83" i="10" s="1"/>
  <c r="CD39" i="6"/>
  <c r="W81" i="10"/>
  <c r="W80" i="10"/>
  <c r="W79" i="10"/>
  <c r="W78" i="10"/>
  <c r="W77" i="10"/>
  <c r="W76" i="10"/>
  <c r="W75" i="10"/>
  <c r="W74" i="10"/>
  <c r="W73" i="10"/>
  <c r="W72" i="10"/>
  <c r="W71" i="10"/>
  <c r="W70" i="10"/>
  <c r="W69" i="10"/>
  <c r="W68" i="10"/>
  <c r="W67" i="10"/>
  <c r="W66" i="10"/>
  <c r="W65" i="10"/>
  <c r="W64" i="10"/>
  <c r="W63" i="10"/>
  <c r="W62" i="10"/>
  <c r="W61" i="10"/>
  <c r="W60" i="10"/>
  <c r="W59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AN44" i="6"/>
  <c r="BX5" i="6"/>
  <c r="BY5" i="6" s="1"/>
  <c r="BX6" i="6"/>
  <c r="BY6" i="6" s="1"/>
  <c r="BX7" i="6"/>
  <c r="BY7" i="6" s="1"/>
  <c r="BX8" i="6"/>
  <c r="BY8" i="6" s="1"/>
  <c r="BX9" i="6"/>
  <c r="BY9" i="6" s="1"/>
  <c r="BX10" i="6"/>
  <c r="BY10" i="6" s="1"/>
  <c r="BX11" i="6"/>
  <c r="BY11" i="6" s="1"/>
  <c r="BX12" i="6"/>
  <c r="BY12" i="6" s="1"/>
  <c r="BX13" i="6"/>
  <c r="BY13" i="6" s="1"/>
  <c r="BX14" i="6"/>
  <c r="BY14" i="6" s="1"/>
  <c r="BX15" i="6"/>
  <c r="BY15" i="6" s="1"/>
  <c r="BX16" i="6"/>
  <c r="BY16" i="6" s="1"/>
  <c r="BX17" i="6"/>
  <c r="BY17" i="6" s="1"/>
  <c r="BX18" i="6"/>
  <c r="BY18" i="6" s="1"/>
  <c r="BX19" i="6"/>
  <c r="BY19" i="6" s="1"/>
  <c r="BX20" i="6"/>
  <c r="BY20" i="6" s="1"/>
  <c r="BX21" i="6"/>
  <c r="BY21" i="6" s="1"/>
  <c r="BX22" i="6"/>
  <c r="BY22" i="6" s="1"/>
  <c r="BX23" i="6"/>
  <c r="BY23" i="6" s="1"/>
  <c r="BX24" i="6"/>
  <c r="BY24" i="6" s="1"/>
  <c r="BX25" i="6"/>
  <c r="BY25" i="6" s="1"/>
  <c r="BX26" i="6"/>
  <c r="BY26" i="6" s="1"/>
  <c r="BX27" i="6"/>
  <c r="BY27" i="6" s="1"/>
  <c r="BX28" i="6"/>
  <c r="BY28" i="6" s="1"/>
  <c r="BX29" i="6"/>
  <c r="BY29" i="6" s="1"/>
  <c r="BX30" i="6"/>
  <c r="BY30" i="6" s="1"/>
  <c r="BX31" i="6"/>
  <c r="BY31" i="6" s="1"/>
  <c r="BX32" i="6"/>
  <c r="BY32" i="6" s="1"/>
  <c r="BX33" i="6"/>
  <c r="BY33" i="6" s="1"/>
  <c r="BX34" i="6"/>
  <c r="BY34" i="6" s="1"/>
  <c r="BX35" i="6"/>
  <c r="BY35" i="6" s="1"/>
  <c r="BX36" i="6"/>
  <c r="BY36" i="6" s="1"/>
  <c r="BX37" i="6"/>
  <c r="BY37" i="6" s="1"/>
  <c r="BX38" i="6"/>
  <c r="BY38" i="6" s="1"/>
  <c r="BX4" i="6"/>
  <c r="BY4" i="6" s="1"/>
  <c r="BZ40" i="6"/>
  <c r="W83" i="10" s="1"/>
  <c r="BZ39" i="6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BV40" i="6"/>
  <c r="V83" i="10" s="1"/>
  <c r="BV39" i="6"/>
  <c r="BT38" i="6"/>
  <c r="BU38" i="6" s="1"/>
  <c r="BT37" i="6"/>
  <c r="BU37" i="6" s="1"/>
  <c r="BT36" i="6"/>
  <c r="BU36" i="6" s="1"/>
  <c r="BT35" i="6"/>
  <c r="BU35" i="6" s="1"/>
  <c r="BT34" i="6"/>
  <c r="BU34" i="6" s="1"/>
  <c r="BT33" i="6"/>
  <c r="BU33" i="6" s="1"/>
  <c r="BT32" i="6"/>
  <c r="BU32" i="6" s="1"/>
  <c r="BT31" i="6"/>
  <c r="BU31" i="6" s="1"/>
  <c r="BT30" i="6"/>
  <c r="BU30" i="6" s="1"/>
  <c r="BT29" i="6"/>
  <c r="BU29" i="6" s="1"/>
  <c r="BT28" i="6"/>
  <c r="BU28" i="6" s="1"/>
  <c r="BT27" i="6"/>
  <c r="BU27" i="6" s="1"/>
  <c r="BT26" i="6"/>
  <c r="BU26" i="6" s="1"/>
  <c r="BT25" i="6"/>
  <c r="BU25" i="6" s="1"/>
  <c r="BT24" i="6"/>
  <c r="BU24" i="6" s="1"/>
  <c r="BT23" i="6"/>
  <c r="BU23" i="6" s="1"/>
  <c r="BT22" i="6"/>
  <c r="BU22" i="6" s="1"/>
  <c r="BT21" i="6"/>
  <c r="BU21" i="6" s="1"/>
  <c r="BT20" i="6"/>
  <c r="BU20" i="6" s="1"/>
  <c r="BT19" i="6"/>
  <c r="BU19" i="6" s="1"/>
  <c r="BT18" i="6"/>
  <c r="BU18" i="6" s="1"/>
  <c r="BT17" i="6"/>
  <c r="BU17" i="6" s="1"/>
  <c r="BT16" i="6"/>
  <c r="BU16" i="6" s="1"/>
  <c r="BT15" i="6"/>
  <c r="BU15" i="6" s="1"/>
  <c r="BT14" i="6"/>
  <c r="BU14" i="6" s="1"/>
  <c r="BT13" i="6"/>
  <c r="BU13" i="6" s="1"/>
  <c r="BT12" i="6"/>
  <c r="BU12" i="6" s="1"/>
  <c r="BT11" i="6"/>
  <c r="BU11" i="6" s="1"/>
  <c r="BT10" i="6"/>
  <c r="BU10" i="6" s="1"/>
  <c r="BT9" i="6"/>
  <c r="BU9" i="6" s="1"/>
  <c r="BT8" i="6"/>
  <c r="BU8" i="6" s="1"/>
  <c r="BT7" i="6"/>
  <c r="BU7" i="6" s="1"/>
  <c r="BT6" i="6"/>
  <c r="BU6" i="6" s="1"/>
  <c r="BT5" i="6"/>
  <c r="BU5" i="6" s="1"/>
  <c r="BT4" i="6"/>
  <c r="BU4" i="6" s="1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BR40" i="6"/>
  <c r="U83" i="10" s="1"/>
  <c r="BR39" i="6"/>
  <c r="HP29" i="6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BP5" i="6"/>
  <c r="BQ5" i="6" s="1"/>
  <c r="BP6" i="6"/>
  <c r="BQ6" i="6" s="1"/>
  <c r="BP7" i="6"/>
  <c r="BQ7" i="6" s="1"/>
  <c r="BP8" i="6"/>
  <c r="BQ8" i="6" s="1"/>
  <c r="BP9" i="6"/>
  <c r="BQ9" i="6" s="1"/>
  <c r="BP10" i="6"/>
  <c r="BQ10" i="6" s="1"/>
  <c r="BP11" i="6"/>
  <c r="BQ11" i="6" s="1"/>
  <c r="BP12" i="6"/>
  <c r="BQ12" i="6" s="1"/>
  <c r="BP13" i="6"/>
  <c r="BQ13" i="6" s="1"/>
  <c r="BP14" i="6"/>
  <c r="BQ14" i="6" s="1"/>
  <c r="BP15" i="6"/>
  <c r="BQ15" i="6" s="1"/>
  <c r="BP16" i="6"/>
  <c r="BQ16" i="6" s="1"/>
  <c r="BP17" i="6"/>
  <c r="BQ17" i="6" s="1"/>
  <c r="BP18" i="6"/>
  <c r="BQ18" i="6" s="1"/>
  <c r="BP19" i="6"/>
  <c r="BQ19" i="6" s="1"/>
  <c r="BP20" i="6"/>
  <c r="BQ20" i="6" s="1"/>
  <c r="BP21" i="6"/>
  <c r="BQ21" i="6" s="1"/>
  <c r="BP22" i="6"/>
  <c r="BQ22" i="6" s="1"/>
  <c r="BP23" i="6"/>
  <c r="BQ23" i="6" s="1"/>
  <c r="BP24" i="6"/>
  <c r="BQ24" i="6" s="1"/>
  <c r="BP25" i="6"/>
  <c r="BQ25" i="6" s="1"/>
  <c r="BP26" i="6"/>
  <c r="BQ26" i="6" s="1"/>
  <c r="BP27" i="6"/>
  <c r="BQ27" i="6" s="1"/>
  <c r="BP28" i="6"/>
  <c r="BQ28" i="6" s="1"/>
  <c r="BP29" i="6"/>
  <c r="BQ29" i="6" s="1"/>
  <c r="BP30" i="6"/>
  <c r="BQ30" i="6" s="1"/>
  <c r="BP31" i="6"/>
  <c r="BQ31" i="6" s="1"/>
  <c r="BP32" i="6"/>
  <c r="BQ32" i="6" s="1"/>
  <c r="BP33" i="6"/>
  <c r="BQ33" i="6" s="1"/>
  <c r="BP34" i="6"/>
  <c r="BQ34" i="6" s="1"/>
  <c r="BP35" i="6"/>
  <c r="BQ35" i="6" s="1"/>
  <c r="BP36" i="6"/>
  <c r="BQ36" i="6" s="1"/>
  <c r="BP37" i="6"/>
  <c r="BQ37" i="6" s="1"/>
  <c r="BP38" i="6"/>
  <c r="BQ38" i="6" s="1"/>
  <c r="AZ37" i="6"/>
  <c r="BA37" i="6" s="1"/>
  <c r="BP4" i="6"/>
  <c r="BQ4" i="6" s="1"/>
  <c r="BN40" i="6"/>
  <c r="T83" i="10" s="1"/>
  <c r="BN39" i="6"/>
  <c r="S81" i="10"/>
  <c r="S80" i="10"/>
  <c r="S79" i="10"/>
  <c r="S78" i="10"/>
  <c r="S77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BJ40" i="6"/>
  <c r="S83" i="10" s="1"/>
  <c r="BJ39" i="6"/>
  <c r="BB26" i="6"/>
  <c r="BB39" i="6" s="1"/>
  <c r="BD37" i="6"/>
  <c r="BE37" i="6" s="1"/>
  <c r="BH37" i="6"/>
  <c r="BI37" i="6" s="1"/>
  <c r="BL38" i="6"/>
  <c r="BM38" i="6" s="1"/>
  <c r="BL37" i="6"/>
  <c r="BM37" i="6" s="1"/>
  <c r="BL36" i="6"/>
  <c r="BM36" i="6" s="1"/>
  <c r="BL35" i="6"/>
  <c r="BM35" i="6" s="1"/>
  <c r="BL34" i="6"/>
  <c r="BM34" i="6" s="1"/>
  <c r="BL33" i="6"/>
  <c r="BM33" i="6" s="1"/>
  <c r="BL32" i="6"/>
  <c r="BM32" i="6" s="1"/>
  <c r="BL31" i="6"/>
  <c r="BM31" i="6" s="1"/>
  <c r="BL30" i="6"/>
  <c r="BM30" i="6" s="1"/>
  <c r="BL29" i="6"/>
  <c r="BM29" i="6" s="1"/>
  <c r="BL28" i="6"/>
  <c r="BM28" i="6" s="1"/>
  <c r="BL27" i="6"/>
  <c r="BM27" i="6" s="1"/>
  <c r="BL26" i="6"/>
  <c r="BM26" i="6" s="1"/>
  <c r="BL25" i="6"/>
  <c r="BM25" i="6" s="1"/>
  <c r="BL24" i="6"/>
  <c r="BM24" i="6" s="1"/>
  <c r="BL23" i="6"/>
  <c r="BM23" i="6" s="1"/>
  <c r="BL22" i="6"/>
  <c r="BM22" i="6" s="1"/>
  <c r="BL21" i="6"/>
  <c r="BM21" i="6" s="1"/>
  <c r="BL20" i="6"/>
  <c r="BM20" i="6" s="1"/>
  <c r="BL19" i="6"/>
  <c r="BM19" i="6" s="1"/>
  <c r="BL18" i="6"/>
  <c r="BM18" i="6" s="1"/>
  <c r="BL17" i="6"/>
  <c r="BM17" i="6" s="1"/>
  <c r="BL16" i="6"/>
  <c r="BM16" i="6" s="1"/>
  <c r="BL15" i="6"/>
  <c r="BM15" i="6" s="1"/>
  <c r="BL14" i="6"/>
  <c r="BM14" i="6" s="1"/>
  <c r="BL13" i="6"/>
  <c r="BM13" i="6" s="1"/>
  <c r="BL12" i="6"/>
  <c r="BM12" i="6" s="1"/>
  <c r="BL11" i="6"/>
  <c r="BM11" i="6" s="1"/>
  <c r="BL10" i="6"/>
  <c r="BM10" i="6" s="1"/>
  <c r="BL9" i="6"/>
  <c r="BM9" i="6" s="1"/>
  <c r="BL8" i="6"/>
  <c r="BM8" i="6" s="1"/>
  <c r="BL7" i="6"/>
  <c r="BM7" i="6" s="1"/>
  <c r="BL6" i="6"/>
  <c r="BM6" i="6" s="1"/>
  <c r="BL5" i="6"/>
  <c r="BM5" i="6" s="1"/>
  <c r="BL4" i="6"/>
  <c r="BM4" i="6" s="1"/>
  <c r="BF40" i="6"/>
  <c r="R83" i="10" s="1"/>
  <c r="BF39" i="6"/>
  <c r="BH38" i="6"/>
  <c r="BI38" i="6" s="1"/>
  <c r="BH36" i="6"/>
  <c r="BI36" i="6" s="1"/>
  <c r="BH35" i="6"/>
  <c r="BI35" i="6" s="1"/>
  <c r="BH34" i="6"/>
  <c r="BI34" i="6" s="1"/>
  <c r="BH33" i="6"/>
  <c r="BI33" i="6" s="1"/>
  <c r="BH32" i="6"/>
  <c r="BI32" i="6" s="1"/>
  <c r="BH31" i="6"/>
  <c r="BI31" i="6" s="1"/>
  <c r="BH30" i="6"/>
  <c r="BI30" i="6" s="1"/>
  <c r="BH29" i="6"/>
  <c r="BI29" i="6" s="1"/>
  <c r="BH28" i="6"/>
  <c r="BI28" i="6" s="1"/>
  <c r="BH27" i="6"/>
  <c r="BI27" i="6" s="1"/>
  <c r="BH26" i="6"/>
  <c r="BI26" i="6" s="1"/>
  <c r="BH25" i="6"/>
  <c r="BI25" i="6" s="1"/>
  <c r="BH24" i="6"/>
  <c r="BI24" i="6" s="1"/>
  <c r="BH23" i="6"/>
  <c r="BI23" i="6" s="1"/>
  <c r="BH22" i="6"/>
  <c r="BI22" i="6" s="1"/>
  <c r="BH21" i="6"/>
  <c r="BI21" i="6" s="1"/>
  <c r="BH20" i="6"/>
  <c r="BI20" i="6" s="1"/>
  <c r="BH19" i="6"/>
  <c r="BI19" i="6" s="1"/>
  <c r="BH18" i="6"/>
  <c r="BI18" i="6" s="1"/>
  <c r="BH17" i="6"/>
  <c r="BI17" i="6" s="1"/>
  <c r="BH16" i="6"/>
  <c r="BI16" i="6" s="1"/>
  <c r="BH15" i="6"/>
  <c r="BI15" i="6" s="1"/>
  <c r="BH14" i="6"/>
  <c r="BI14" i="6" s="1"/>
  <c r="BH13" i="6"/>
  <c r="BI13" i="6" s="1"/>
  <c r="BH12" i="6"/>
  <c r="BI12" i="6" s="1"/>
  <c r="BH11" i="6"/>
  <c r="BI11" i="6" s="1"/>
  <c r="BH10" i="6"/>
  <c r="BI10" i="6" s="1"/>
  <c r="BH9" i="6"/>
  <c r="BI9" i="6" s="1"/>
  <c r="BH8" i="6"/>
  <c r="BI8" i="6" s="1"/>
  <c r="BH7" i="6"/>
  <c r="BI7" i="6" s="1"/>
  <c r="BH6" i="6"/>
  <c r="BI6" i="6" s="1"/>
  <c r="BH5" i="6"/>
  <c r="BI5" i="6" s="1"/>
  <c r="BH4" i="6"/>
  <c r="BI4" i="6" s="1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47" i="10"/>
  <c r="BD5" i="6"/>
  <c r="BE5" i="6" s="1"/>
  <c r="BD6" i="6"/>
  <c r="BE6" i="6" s="1"/>
  <c r="BD7" i="6"/>
  <c r="BE7" i="6" s="1"/>
  <c r="BD8" i="6"/>
  <c r="BE8" i="6" s="1"/>
  <c r="BD9" i="6"/>
  <c r="BD10" i="6"/>
  <c r="BE10" i="6" s="1"/>
  <c r="BD11" i="6"/>
  <c r="BE11" i="6" s="1"/>
  <c r="BD12" i="6"/>
  <c r="BE12" i="6" s="1"/>
  <c r="BD13" i="6"/>
  <c r="BE13" i="6" s="1"/>
  <c r="BD14" i="6"/>
  <c r="BE14" i="6" s="1"/>
  <c r="BD15" i="6"/>
  <c r="BE15" i="6" s="1"/>
  <c r="BD16" i="6"/>
  <c r="BE16" i="6" s="1"/>
  <c r="BD17" i="6"/>
  <c r="BE17" i="6" s="1"/>
  <c r="BD18" i="6"/>
  <c r="BE18" i="6" s="1"/>
  <c r="BD19" i="6"/>
  <c r="BE19" i="6" s="1"/>
  <c r="BD20" i="6"/>
  <c r="BE20" i="6" s="1"/>
  <c r="BD21" i="6"/>
  <c r="BE21" i="6" s="1"/>
  <c r="BD22" i="6"/>
  <c r="BD23" i="6"/>
  <c r="BE23" i="6" s="1"/>
  <c r="BD24" i="6"/>
  <c r="BE24" i="6" s="1"/>
  <c r="BD25" i="6"/>
  <c r="BE25" i="6" s="1"/>
  <c r="BD26" i="6"/>
  <c r="BE26" i="6" s="1"/>
  <c r="BD27" i="6"/>
  <c r="BE27" i="6" s="1"/>
  <c r="BD28" i="6"/>
  <c r="BE28" i="6" s="1"/>
  <c r="BD29" i="6"/>
  <c r="BE29" i="6" s="1"/>
  <c r="BD30" i="6"/>
  <c r="BE30" i="6" s="1"/>
  <c r="BD31" i="6"/>
  <c r="BE31" i="6" s="1"/>
  <c r="BD32" i="6"/>
  <c r="BE32" i="6" s="1"/>
  <c r="BD33" i="6"/>
  <c r="BE33" i="6" s="1"/>
  <c r="BD34" i="6"/>
  <c r="BE34" i="6" s="1"/>
  <c r="BD35" i="6"/>
  <c r="BE35" i="6" s="1"/>
  <c r="BD36" i="6"/>
  <c r="BE36" i="6" s="1"/>
  <c r="BD38" i="6"/>
  <c r="BE38" i="6" s="1"/>
  <c r="BD4" i="6"/>
  <c r="BE4" i="6" s="1"/>
  <c r="BV36" i="3"/>
  <c r="BV35" i="3"/>
  <c r="BV34" i="3"/>
  <c r="BV33" i="3"/>
  <c r="BV32" i="3"/>
  <c r="BV31" i="3"/>
  <c r="BV30" i="3"/>
  <c r="BV29" i="3"/>
  <c r="BV28" i="3"/>
  <c r="BV26" i="3"/>
  <c r="BV25" i="3"/>
  <c r="BV24" i="3"/>
  <c r="BV23" i="3"/>
  <c r="BV22" i="3"/>
  <c r="BV21" i="3"/>
  <c r="BV20" i="3"/>
  <c r="BV19" i="3"/>
  <c r="BV18" i="3"/>
  <c r="BV17" i="3"/>
  <c r="BV16" i="3"/>
  <c r="BV15" i="3"/>
  <c r="BV14" i="3"/>
  <c r="BV13" i="3"/>
  <c r="BV12" i="3"/>
  <c r="BV11" i="3"/>
  <c r="BV10" i="3"/>
  <c r="BV9" i="3"/>
  <c r="BV8" i="3"/>
  <c r="BV7" i="3"/>
  <c r="BV6" i="3"/>
  <c r="BV5" i="3"/>
  <c r="BV4" i="3"/>
  <c r="BV3" i="3"/>
  <c r="BV2" i="3"/>
  <c r="AZ38" i="6"/>
  <c r="BA38" i="6" s="1"/>
  <c r="AZ36" i="6"/>
  <c r="BA36" i="6" s="1"/>
  <c r="AZ35" i="6"/>
  <c r="BA35" i="6" s="1"/>
  <c r="AZ34" i="6"/>
  <c r="BA34" i="6" s="1"/>
  <c r="AZ33" i="6"/>
  <c r="BA33" i="6" s="1"/>
  <c r="AZ32" i="6"/>
  <c r="BA32" i="6" s="1"/>
  <c r="AZ31" i="6"/>
  <c r="BA31" i="6" s="1"/>
  <c r="BA30" i="6"/>
  <c r="AZ29" i="6"/>
  <c r="BA29" i="6" s="1"/>
  <c r="AZ28" i="6"/>
  <c r="BA28" i="6" s="1"/>
  <c r="AZ27" i="6"/>
  <c r="BA27" i="6" s="1"/>
  <c r="AZ26" i="6"/>
  <c r="BA26" i="6" s="1"/>
  <c r="AZ25" i="6"/>
  <c r="BA25" i="6" s="1"/>
  <c r="AZ24" i="6"/>
  <c r="BA24" i="6" s="1"/>
  <c r="AZ23" i="6"/>
  <c r="BA23" i="6" s="1"/>
  <c r="AZ22" i="6"/>
  <c r="BA22" i="6" s="1"/>
  <c r="AZ21" i="6"/>
  <c r="BA21" i="6" s="1"/>
  <c r="AZ20" i="6"/>
  <c r="BA20" i="6" s="1"/>
  <c r="AZ19" i="6"/>
  <c r="BA19" i="6" s="1"/>
  <c r="AZ18" i="6"/>
  <c r="BA18" i="6" s="1"/>
  <c r="AZ17" i="6"/>
  <c r="BA17" i="6" s="1"/>
  <c r="AZ16" i="6"/>
  <c r="BA16" i="6" s="1"/>
  <c r="AZ15" i="6"/>
  <c r="BA15" i="6" s="1"/>
  <c r="AZ14" i="6"/>
  <c r="BA14" i="6" s="1"/>
  <c r="AZ13" i="6"/>
  <c r="BA13" i="6" s="1"/>
  <c r="AZ12" i="6"/>
  <c r="BA12" i="6" s="1"/>
  <c r="AZ11" i="6"/>
  <c r="BA11" i="6" s="1"/>
  <c r="AZ10" i="6"/>
  <c r="BA10" i="6" s="1"/>
  <c r="AZ9" i="6"/>
  <c r="BA9" i="6" s="1"/>
  <c r="AZ8" i="6"/>
  <c r="BA8" i="6" s="1"/>
  <c r="AZ7" i="6"/>
  <c r="BA7" i="6" s="1"/>
  <c r="AZ6" i="6"/>
  <c r="BA6" i="6" s="1"/>
  <c r="AZ5" i="6"/>
  <c r="BA5" i="6" s="1"/>
  <c r="AZ4" i="6"/>
  <c r="BA4" i="6" s="1"/>
  <c r="BB40" i="6"/>
  <c r="Q83" i="10" s="1"/>
  <c r="BV27" i="3"/>
  <c r="D19" i="3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CS28" i="6" l="1"/>
  <c r="I53" i="2"/>
  <c r="CS31" i="6"/>
  <c r="CS27" i="6"/>
  <c r="CO26" i="6"/>
  <c r="BE9" i="6"/>
  <c r="BE22" i="6"/>
  <c r="AT36" i="6"/>
  <c r="AV36" i="6" s="1"/>
  <c r="AW36" i="6" s="1"/>
  <c r="AV38" i="6"/>
  <c r="AW38" i="6" s="1"/>
  <c r="AV37" i="6"/>
  <c r="AW37" i="6" s="1"/>
  <c r="AV35" i="6"/>
  <c r="AW35" i="6" s="1"/>
  <c r="AV34" i="6"/>
  <c r="AW34" i="6" s="1"/>
  <c r="AV33" i="6"/>
  <c r="AW33" i="6" s="1"/>
  <c r="AV32" i="6"/>
  <c r="AW32" i="6" s="1"/>
  <c r="AV31" i="6"/>
  <c r="AW31" i="6" s="1"/>
  <c r="AV30" i="6"/>
  <c r="AV29" i="6"/>
  <c r="AW29" i="6" s="1"/>
  <c r="AV28" i="6"/>
  <c r="AW28" i="6" s="1"/>
  <c r="AV27" i="6"/>
  <c r="AW27" i="6" s="1"/>
  <c r="AV26" i="6"/>
  <c r="AW26" i="6" s="1"/>
  <c r="AV25" i="6"/>
  <c r="AW25" i="6" s="1"/>
  <c r="AV24" i="6"/>
  <c r="AW24" i="6" s="1"/>
  <c r="AV23" i="6"/>
  <c r="AW23" i="6" s="1"/>
  <c r="AV22" i="6"/>
  <c r="AW22" i="6" s="1"/>
  <c r="AV21" i="6"/>
  <c r="AW21" i="6" s="1"/>
  <c r="AV20" i="6"/>
  <c r="AW20" i="6" s="1"/>
  <c r="AV19" i="6"/>
  <c r="AW19" i="6" s="1"/>
  <c r="AV18" i="6"/>
  <c r="AW18" i="6" s="1"/>
  <c r="AV17" i="6"/>
  <c r="AW17" i="6" s="1"/>
  <c r="AV16" i="6"/>
  <c r="AW16" i="6" s="1"/>
  <c r="AV15" i="6"/>
  <c r="AW15" i="6" s="1"/>
  <c r="AV14" i="6"/>
  <c r="AW14" i="6" s="1"/>
  <c r="AV13" i="6"/>
  <c r="AW13" i="6" s="1"/>
  <c r="AV12" i="6"/>
  <c r="AW12" i="6" s="1"/>
  <c r="AV11" i="6"/>
  <c r="AW11" i="6" s="1"/>
  <c r="AV10" i="6"/>
  <c r="AW10" i="6" s="1"/>
  <c r="AV9" i="6"/>
  <c r="AW9" i="6" s="1"/>
  <c r="AV8" i="6"/>
  <c r="AW8" i="6" s="1"/>
  <c r="AV7" i="6"/>
  <c r="AW7" i="6" s="1"/>
  <c r="AV6" i="6"/>
  <c r="AW6" i="6" s="1"/>
  <c r="AV5" i="6"/>
  <c r="AW5" i="6" s="1"/>
  <c r="AV4" i="6"/>
  <c r="AW4" i="6" s="1"/>
  <c r="AX40" i="6"/>
  <c r="P83" i="10" s="1"/>
  <c r="AX39" i="6"/>
  <c r="O81" i="10"/>
  <c r="O80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AT40" i="6"/>
  <c r="O83" i="10" s="1"/>
  <c r="AR38" i="6"/>
  <c r="AR37" i="6"/>
  <c r="AR36" i="6"/>
  <c r="HK36" i="6" s="1"/>
  <c r="AR35" i="6"/>
  <c r="AR34" i="6"/>
  <c r="AR33" i="6"/>
  <c r="HK33" i="6" s="1"/>
  <c r="AR32" i="6"/>
  <c r="HK32" i="6" s="1"/>
  <c r="AR31" i="6"/>
  <c r="HK31" i="6" s="1"/>
  <c r="AS30" i="6"/>
  <c r="AR29" i="6"/>
  <c r="HK29" i="6" s="1"/>
  <c r="AR28" i="6"/>
  <c r="HK28" i="6" s="1"/>
  <c r="AR27" i="6"/>
  <c r="HK27" i="6" s="1"/>
  <c r="AR26" i="6"/>
  <c r="HK26" i="6" s="1"/>
  <c r="AR25" i="6"/>
  <c r="HK25" i="6" s="1"/>
  <c r="AR24" i="6"/>
  <c r="HK24" i="6" s="1"/>
  <c r="AR23" i="6"/>
  <c r="HK23" i="6" s="1"/>
  <c r="AR22" i="6"/>
  <c r="AR21" i="6"/>
  <c r="AR20" i="6"/>
  <c r="AR19" i="6"/>
  <c r="AR18" i="6"/>
  <c r="AR17" i="6"/>
  <c r="AR16" i="6"/>
  <c r="AR15" i="6"/>
  <c r="AR14" i="6"/>
  <c r="AR13" i="6"/>
  <c r="AR12" i="6"/>
  <c r="AR11" i="6"/>
  <c r="HK11" i="6" s="1"/>
  <c r="AR10" i="6"/>
  <c r="AR9" i="6"/>
  <c r="HK9" i="6" s="1"/>
  <c r="AR8" i="6"/>
  <c r="HK8" i="6" s="1"/>
  <c r="AR7" i="6"/>
  <c r="HK7" i="6" s="1"/>
  <c r="AR6" i="6"/>
  <c r="HK6" i="6" s="1"/>
  <c r="AR5" i="6"/>
  <c r="HK5" i="6" s="1"/>
  <c r="AR4" i="6"/>
  <c r="HK4" i="6" s="1"/>
  <c r="H159" i="2"/>
  <c r="N2" i="1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47" i="10"/>
  <c r="AP40" i="6"/>
  <c r="AP39" i="6"/>
  <c r="AN38" i="6"/>
  <c r="AO38" i="6" s="1"/>
  <c r="AN37" i="6"/>
  <c r="AO37" i="6" s="1"/>
  <c r="AN36" i="6"/>
  <c r="AO36" i="6" s="1"/>
  <c r="AN35" i="6"/>
  <c r="AO35" i="6" s="1"/>
  <c r="AN34" i="6"/>
  <c r="AO34" i="6" s="1"/>
  <c r="AN33" i="6"/>
  <c r="AO33" i="6" s="1"/>
  <c r="AN32" i="6"/>
  <c r="AO32" i="6" s="1"/>
  <c r="AN31" i="6"/>
  <c r="AO31" i="6" s="1"/>
  <c r="AN30" i="6"/>
  <c r="AO30" i="6" s="1"/>
  <c r="AN29" i="6"/>
  <c r="AO29" i="6" s="1"/>
  <c r="AN28" i="6"/>
  <c r="AN27" i="6"/>
  <c r="AO27" i="6" s="1"/>
  <c r="AN26" i="6"/>
  <c r="AN25" i="6"/>
  <c r="AO25" i="6" s="1"/>
  <c r="AN24" i="6"/>
  <c r="AO24" i="6" s="1"/>
  <c r="AN23" i="6"/>
  <c r="AO23" i="6" s="1"/>
  <c r="AN22" i="6"/>
  <c r="AO22" i="6" s="1"/>
  <c r="AN21" i="6"/>
  <c r="AO21" i="6" s="1"/>
  <c r="AN20" i="6"/>
  <c r="AO20" i="6" s="1"/>
  <c r="AN19" i="6"/>
  <c r="AO19" i="6" s="1"/>
  <c r="AN18" i="6"/>
  <c r="AO18" i="6" s="1"/>
  <c r="AN17" i="6"/>
  <c r="AO17" i="6" s="1"/>
  <c r="AN16" i="6"/>
  <c r="AO16" i="6" s="1"/>
  <c r="AN15" i="6"/>
  <c r="AO15" i="6" s="1"/>
  <c r="AN14" i="6"/>
  <c r="AO14" i="6" s="1"/>
  <c r="AN13" i="6"/>
  <c r="AO13" i="6" s="1"/>
  <c r="AN12" i="6"/>
  <c r="AO12" i="6" s="1"/>
  <c r="AN11" i="6"/>
  <c r="AO11" i="6" s="1"/>
  <c r="AN10" i="6"/>
  <c r="AO10" i="6" s="1"/>
  <c r="AN9" i="6"/>
  <c r="AO9" i="6" s="1"/>
  <c r="AN8" i="6"/>
  <c r="AO8" i="6" s="1"/>
  <c r="AN7" i="6"/>
  <c r="AO7" i="6" s="1"/>
  <c r="AN6" i="6"/>
  <c r="AO6" i="6" s="1"/>
  <c r="AN5" i="6"/>
  <c r="AO5" i="6" s="1"/>
  <c r="AN4" i="6"/>
  <c r="AO4" i="6" s="1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47" i="10"/>
  <c r="AJ38" i="6"/>
  <c r="AK38" i="6" s="1"/>
  <c r="AJ37" i="6"/>
  <c r="AK37" i="6" s="1"/>
  <c r="AJ36" i="6"/>
  <c r="AK36" i="6" s="1"/>
  <c r="AJ35" i="6"/>
  <c r="AK35" i="6" s="1"/>
  <c r="AJ34" i="6"/>
  <c r="AK34" i="6" s="1"/>
  <c r="AJ33" i="6"/>
  <c r="AK33" i="6" s="1"/>
  <c r="AJ32" i="6"/>
  <c r="AK32" i="6" s="1"/>
  <c r="AJ31" i="6"/>
  <c r="AK31" i="6" s="1"/>
  <c r="AJ30" i="6"/>
  <c r="AJ29" i="6"/>
  <c r="AK29" i="6" s="1"/>
  <c r="AJ28" i="6"/>
  <c r="AK28" i="6" s="1"/>
  <c r="AJ27" i="6"/>
  <c r="AK27" i="6" s="1"/>
  <c r="AJ26" i="6"/>
  <c r="AK26" i="6" s="1"/>
  <c r="AJ25" i="6"/>
  <c r="AK25" i="6" s="1"/>
  <c r="AJ24" i="6"/>
  <c r="AK24" i="6" s="1"/>
  <c r="AJ23" i="6"/>
  <c r="AK23" i="6" s="1"/>
  <c r="AJ22" i="6"/>
  <c r="AK22" i="6" s="1"/>
  <c r="AJ21" i="6"/>
  <c r="AK21" i="6" s="1"/>
  <c r="AJ20" i="6"/>
  <c r="AK20" i="6" s="1"/>
  <c r="AJ19" i="6"/>
  <c r="AK19" i="6" s="1"/>
  <c r="AJ18" i="6"/>
  <c r="AK18" i="6" s="1"/>
  <c r="AJ17" i="6"/>
  <c r="AK17" i="6" s="1"/>
  <c r="AJ16" i="6"/>
  <c r="AK16" i="6" s="1"/>
  <c r="AJ15" i="6"/>
  <c r="AK15" i="6" s="1"/>
  <c r="AJ14" i="6"/>
  <c r="AK14" i="6" s="1"/>
  <c r="AJ13" i="6"/>
  <c r="AK13" i="6" s="1"/>
  <c r="AJ12" i="6"/>
  <c r="AK12" i="6" s="1"/>
  <c r="AJ11" i="6"/>
  <c r="AK11" i="6" s="1"/>
  <c r="AJ10" i="6"/>
  <c r="AK10" i="6" s="1"/>
  <c r="AJ9" i="6"/>
  <c r="AK9" i="6" s="1"/>
  <c r="AJ8" i="6"/>
  <c r="AK8" i="6" s="1"/>
  <c r="AJ7" i="6"/>
  <c r="AK7" i="6" s="1"/>
  <c r="AJ6" i="6"/>
  <c r="AK6" i="6" s="1"/>
  <c r="AJ5" i="6"/>
  <c r="AK5" i="6" s="1"/>
  <c r="AJ4" i="6"/>
  <c r="AK4" i="6" s="1"/>
  <c r="AL40" i="6"/>
  <c r="AL39" i="6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47" i="10"/>
  <c r="AH40" i="6"/>
  <c r="L83" i="10" s="1"/>
  <c r="AH39" i="6"/>
  <c r="AF5" i="6"/>
  <c r="AG5" i="6" s="1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4" i="6"/>
  <c r="AG4" i="6" s="1"/>
  <c r="HK10" i="6" l="1"/>
  <c r="HK22" i="6"/>
  <c r="FR35" i="6"/>
  <c r="HK35" i="6"/>
  <c r="FR34" i="6"/>
  <c r="HK34" i="6"/>
  <c r="FR12" i="6"/>
  <c r="HK12" i="6"/>
  <c r="FR13" i="6"/>
  <c r="HK13" i="6"/>
  <c r="FR37" i="6"/>
  <c r="HK37" i="6"/>
  <c r="FR14" i="6"/>
  <c r="HK14" i="6"/>
  <c r="FR38" i="6"/>
  <c r="HK38" i="6"/>
  <c r="FR15" i="6"/>
  <c r="HK15" i="6"/>
  <c r="FR16" i="6"/>
  <c r="HK16" i="6"/>
  <c r="FR17" i="6"/>
  <c r="HK17" i="6"/>
  <c r="FR18" i="6"/>
  <c r="HK18" i="6"/>
  <c r="FR30" i="6"/>
  <c r="HK30" i="6"/>
  <c r="FR19" i="6"/>
  <c r="HK19" i="6"/>
  <c r="FR20" i="6"/>
  <c r="HK20" i="6"/>
  <c r="FR21" i="6"/>
  <c r="HK21" i="6"/>
  <c r="HJ22" i="6"/>
  <c r="FR22" i="6"/>
  <c r="HJ11" i="6"/>
  <c r="FR11" i="6"/>
  <c r="HJ23" i="6"/>
  <c r="FR23" i="6"/>
  <c r="HJ24" i="6"/>
  <c r="FR24" i="6"/>
  <c r="FR36" i="6"/>
  <c r="HJ25" i="6"/>
  <c r="FR25" i="6"/>
  <c r="FR40" i="6"/>
  <c r="HJ27" i="6"/>
  <c r="FR27" i="6"/>
  <c r="HJ4" i="6"/>
  <c r="FR4" i="6"/>
  <c r="HJ28" i="6"/>
  <c r="FR28" i="6"/>
  <c r="HJ5" i="6"/>
  <c r="FR5" i="6"/>
  <c r="HJ29" i="6"/>
  <c r="FR29" i="6"/>
  <c r="HJ10" i="6"/>
  <c r="FR10" i="6"/>
  <c r="HJ6" i="6"/>
  <c r="FR6" i="6"/>
  <c r="HJ7" i="6"/>
  <c r="FR7" i="6"/>
  <c r="HJ31" i="6"/>
  <c r="FR31" i="6"/>
  <c r="HJ8" i="6"/>
  <c r="FR8" i="6"/>
  <c r="HJ32" i="6"/>
  <c r="FR32" i="6"/>
  <c r="HJ26" i="6"/>
  <c r="FR26" i="6"/>
  <c r="HJ9" i="6"/>
  <c r="FR9" i="6"/>
  <c r="HJ33" i="6"/>
  <c r="FR33" i="6"/>
  <c r="HJ38" i="6"/>
  <c r="HJ34" i="6"/>
  <c r="HJ35" i="6"/>
  <c r="HJ13" i="6"/>
  <c r="HJ37" i="6"/>
  <c r="HJ15" i="6"/>
  <c r="HJ14" i="6"/>
  <c r="HJ16" i="6"/>
  <c r="HJ17" i="6"/>
  <c r="HJ18" i="6"/>
  <c r="HJ30" i="6"/>
  <c r="HJ36" i="6"/>
  <c r="HJ19" i="6"/>
  <c r="HJ20" i="6"/>
  <c r="HJ12" i="6"/>
  <c r="HJ21" i="6"/>
  <c r="HI10" i="6"/>
  <c r="HI22" i="6"/>
  <c r="HI11" i="6"/>
  <c r="HI23" i="6"/>
  <c r="HI24" i="6"/>
  <c r="HI25" i="6"/>
  <c r="HI26" i="6"/>
  <c r="HI27" i="6"/>
  <c r="HI4" i="6"/>
  <c r="HI28" i="6"/>
  <c r="HI5" i="6"/>
  <c r="HI29" i="6"/>
  <c r="HI6" i="6"/>
  <c r="HI7" i="6"/>
  <c r="HI31" i="6"/>
  <c r="HI8" i="6"/>
  <c r="HI32" i="6"/>
  <c r="HI9" i="6"/>
  <c r="HI33" i="6"/>
  <c r="HI30" i="6"/>
  <c r="HI38" i="6"/>
  <c r="HI37" i="6"/>
  <c r="HI36" i="6"/>
  <c r="HI35" i="6"/>
  <c r="HI34" i="6"/>
  <c r="HI21" i="6"/>
  <c r="HI20" i="6"/>
  <c r="HI19" i="6"/>
  <c r="HI18" i="6"/>
  <c r="HI17" i="6"/>
  <c r="HI16" i="6"/>
  <c r="HI15" i="6"/>
  <c r="HI14" i="6"/>
  <c r="HI13" i="6"/>
  <c r="HI12" i="6"/>
  <c r="ET41" i="6"/>
  <c r="G57" i="7" s="1"/>
  <c r="HH22" i="6"/>
  <c r="HH11" i="6"/>
  <c r="HH23" i="6"/>
  <c r="HH35" i="6"/>
  <c r="HH12" i="6"/>
  <c r="HH24" i="6"/>
  <c r="HH36" i="6"/>
  <c r="HH10" i="6"/>
  <c r="HH34" i="6"/>
  <c r="HH13" i="6"/>
  <c r="HH25" i="6"/>
  <c r="HH37" i="6"/>
  <c r="HH15" i="6"/>
  <c r="HH27" i="6"/>
  <c r="HH4" i="6"/>
  <c r="HH16" i="6"/>
  <c r="HH28" i="6"/>
  <c r="HH26" i="6"/>
  <c r="HH5" i="6"/>
  <c r="HH17" i="6"/>
  <c r="HH29" i="6"/>
  <c r="HH6" i="6"/>
  <c r="HH18" i="6"/>
  <c r="HH30" i="6"/>
  <c r="HH14" i="6"/>
  <c r="HH38" i="6"/>
  <c r="HH7" i="6"/>
  <c r="HH19" i="6"/>
  <c r="HH31" i="6"/>
  <c r="HH8" i="6"/>
  <c r="HH20" i="6"/>
  <c r="HH32" i="6"/>
  <c r="HH9" i="6"/>
  <c r="HH21" i="6"/>
  <c r="HH33" i="6"/>
  <c r="HG36" i="6"/>
  <c r="HG38" i="6"/>
  <c r="HG23" i="6"/>
  <c r="HG10" i="6"/>
  <c r="HG22" i="6"/>
  <c r="HG34" i="6"/>
  <c r="HG35" i="6"/>
  <c r="HG12" i="6"/>
  <c r="HG24" i="6"/>
  <c r="HG13" i="6"/>
  <c r="HG25" i="6"/>
  <c r="HG37" i="6"/>
  <c r="HG14" i="6"/>
  <c r="HG26" i="6"/>
  <c r="HG4" i="6"/>
  <c r="HG16" i="6"/>
  <c r="HG28" i="6"/>
  <c r="HG15" i="6"/>
  <c r="HG5" i="6"/>
  <c r="HG17" i="6"/>
  <c r="HG29" i="6"/>
  <c r="HG27" i="6"/>
  <c r="HG6" i="6"/>
  <c r="HG18" i="6"/>
  <c r="HG30" i="6"/>
  <c r="HG31" i="6"/>
  <c r="HG11" i="6"/>
  <c r="HG7" i="6"/>
  <c r="HG19" i="6"/>
  <c r="HG8" i="6"/>
  <c r="HG20" i="6"/>
  <c r="HG32" i="6"/>
  <c r="HG9" i="6"/>
  <c r="HG21" i="6"/>
  <c r="HG33" i="6"/>
  <c r="HF38" i="6"/>
  <c r="HF10" i="6"/>
  <c r="HF22" i="6"/>
  <c r="HF34" i="6"/>
  <c r="HF11" i="6"/>
  <c r="HF23" i="6"/>
  <c r="HF35" i="6"/>
  <c r="HF12" i="6"/>
  <c r="HF24" i="6"/>
  <c r="HF36" i="6"/>
  <c r="HF13" i="6"/>
  <c r="HF25" i="6"/>
  <c r="HF37" i="6"/>
  <c r="HF14" i="6"/>
  <c r="HF26" i="6"/>
  <c r="HF15" i="6"/>
  <c r="HF27" i="6"/>
  <c r="HF4" i="6"/>
  <c r="HF16" i="6"/>
  <c r="HF28" i="6"/>
  <c r="HF5" i="6"/>
  <c r="HF17" i="6"/>
  <c r="HF29" i="6"/>
  <c r="HF30" i="6"/>
  <c r="HF18" i="6"/>
  <c r="HF7" i="6"/>
  <c r="HF19" i="6"/>
  <c r="HF31" i="6"/>
  <c r="HF6" i="6"/>
  <c r="HF8" i="6"/>
  <c r="HF20" i="6"/>
  <c r="HF32" i="6"/>
  <c r="HF9" i="6"/>
  <c r="HF21" i="6"/>
  <c r="HF33" i="6"/>
  <c r="HE36" i="6"/>
  <c r="HE10" i="6"/>
  <c r="HE22" i="6"/>
  <c r="HE34" i="6"/>
  <c r="HE11" i="6"/>
  <c r="HE23" i="6"/>
  <c r="HE35" i="6"/>
  <c r="HE12" i="6"/>
  <c r="HE24" i="6"/>
  <c r="HE13" i="6"/>
  <c r="HE25" i="6"/>
  <c r="HE37" i="6"/>
  <c r="HE14" i="6"/>
  <c r="HE26" i="6"/>
  <c r="M83" i="10"/>
  <c r="HE15" i="6"/>
  <c r="HE27" i="6"/>
  <c r="HE4" i="6"/>
  <c r="HE16" i="6"/>
  <c r="HE28" i="6"/>
  <c r="HE5" i="6"/>
  <c r="HE17" i="6"/>
  <c r="HE29" i="6"/>
  <c r="HE6" i="6"/>
  <c r="HE18" i="6"/>
  <c r="HE30" i="6"/>
  <c r="HE7" i="6"/>
  <c r="HE19" i="6"/>
  <c r="HE31" i="6"/>
  <c r="HE8" i="6"/>
  <c r="HE20" i="6"/>
  <c r="HE32" i="6"/>
  <c r="HE9" i="6"/>
  <c r="HE21" i="6"/>
  <c r="HE33" i="6"/>
  <c r="HD10" i="6"/>
  <c r="HC10" i="6"/>
  <c r="HD22" i="6"/>
  <c r="HC22" i="6"/>
  <c r="HD34" i="6"/>
  <c r="HC34" i="6"/>
  <c r="HD11" i="6"/>
  <c r="HC11" i="6"/>
  <c r="HD23" i="6"/>
  <c r="HC23" i="6"/>
  <c r="HD35" i="6"/>
  <c r="HC35" i="6"/>
  <c r="HD12" i="6"/>
  <c r="HC12" i="6"/>
  <c r="HD24" i="6"/>
  <c r="HC24" i="6"/>
  <c r="HD36" i="6"/>
  <c r="HC36" i="6"/>
  <c r="HD13" i="6"/>
  <c r="HC13" i="6"/>
  <c r="HD25" i="6"/>
  <c r="HC25" i="6"/>
  <c r="HD37" i="6"/>
  <c r="HC37" i="6"/>
  <c r="HD14" i="6"/>
  <c r="HC14" i="6"/>
  <c r="HD26" i="6"/>
  <c r="HC26" i="6"/>
  <c r="HD38" i="6"/>
  <c r="HC38" i="6"/>
  <c r="HD15" i="6"/>
  <c r="HC15" i="6"/>
  <c r="HD27" i="6"/>
  <c r="HC27" i="6"/>
  <c r="HC4" i="6"/>
  <c r="HD4" i="6"/>
  <c r="HD16" i="6"/>
  <c r="HC16" i="6"/>
  <c r="HD28" i="6"/>
  <c r="HC28" i="6"/>
  <c r="HD5" i="6"/>
  <c r="HC5" i="6"/>
  <c r="HD17" i="6"/>
  <c r="HC17" i="6"/>
  <c r="HD29" i="6"/>
  <c r="HC29" i="6"/>
  <c r="HD30" i="6"/>
  <c r="HC30" i="6"/>
  <c r="HD6" i="6"/>
  <c r="HC6" i="6"/>
  <c r="HD18" i="6"/>
  <c r="HC18" i="6"/>
  <c r="HD7" i="6"/>
  <c r="HC7" i="6"/>
  <c r="HD19" i="6"/>
  <c r="HC19" i="6"/>
  <c r="HD31" i="6"/>
  <c r="HC31" i="6"/>
  <c r="HD8" i="6"/>
  <c r="HC8" i="6"/>
  <c r="HD20" i="6"/>
  <c r="HC20" i="6"/>
  <c r="HD32" i="6"/>
  <c r="HC32" i="6"/>
  <c r="HD9" i="6"/>
  <c r="HC9" i="6"/>
  <c r="HD21" i="6"/>
  <c r="HC21" i="6"/>
  <c r="HD33" i="6"/>
  <c r="HC33" i="6"/>
  <c r="HB10" i="6"/>
  <c r="HB22" i="6"/>
  <c r="HB34" i="6"/>
  <c r="HB11" i="6"/>
  <c r="HB23" i="6"/>
  <c r="HB35" i="6"/>
  <c r="HB12" i="6"/>
  <c r="HB24" i="6"/>
  <c r="HB36" i="6"/>
  <c r="HB13" i="6"/>
  <c r="HB25" i="6"/>
  <c r="HB37" i="6"/>
  <c r="HB14" i="6"/>
  <c r="HB26" i="6"/>
  <c r="HB38" i="6"/>
  <c r="HB15" i="6"/>
  <c r="HB27" i="6"/>
  <c r="HB4" i="6"/>
  <c r="HB16" i="6"/>
  <c r="HB28" i="6"/>
  <c r="HB5" i="6"/>
  <c r="HB17" i="6"/>
  <c r="HB29" i="6"/>
  <c r="HB6" i="6"/>
  <c r="HB18" i="6"/>
  <c r="HB30" i="6"/>
  <c r="HB7" i="6"/>
  <c r="HB19" i="6"/>
  <c r="HB31" i="6"/>
  <c r="HB8" i="6"/>
  <c r="HB20" i="6"/>
  <c r="HB32" i="6"/>
  <c r="HB9" i="6"/>
  <c r="HB21" i="6"/>
  <c r="HB33" i="6"/>
  <c r="HA38" i="6"/>
  <c r="HA36" i="6"/>
  <c r="HA10" i="6"/>
  <c r="GZ10" i="6"/>
  <c r="HA22" i="6"/>
  <c r="HA34" i="6"/>
  <c r="HA11" i="6"/>
  <c r="GZ11" i="6"/>
  <c r="HA23" i="6"/>
  <c r="HA35" i="6"/>
  <c r="HA13" i="6"/>
  <c r="HA25" i="6"/>
  <c r="HA37" i="6"/>
  <c r="HA12" i="6"/>
  <c r="GZ12" i="6"/>
  <c r="HA14" i="6"/>
  <c r="HA26" i="6"/>
  <c r="HA15" i="6"/>
  <c r="HA27" i="6"/>
  <c r="HA4" i="6"/>
  <c r="GZ4" i="6"/>
  <c r="HA16" i="6"/>
  <c r="HA28" i="6"/>
  <c r="HA5" i="6"/>
  <c r="GZ5" i="6"/>
  <c r="HA17" i="6"/>
  <c r="HA29" i="6"/>
  <c r="GZ6" i="6"/>
  <c r="HA6" i="6"/>
  <c r="HA18" i="6"/>
  <c r="HA30" i="6"/>
  <c r="GZ7" i="6"/>
  <c r="HA7" i="6"/>
  <c r="HA19" i="6"/>
  <c r="HA31" i="6"/>
  <c r="HA24" i="6"/>
  <c r="GZ8" i="6"/>
  <c r="HA8" i="6"/>
  <c r="HA20" i="6"/>
  <c r="HA32" i="6"/>
  <c r="GZ9" i="6"/>
  <c r="HA9" i="6"/>
  <c r="HA21" i="6"/>
  <c r="HA33" i="6"/>
  <c r="GY10" i="6"/>
  <c r="GY22" i="6"/>
  <c r="GZ22" i="6"/>
  <c r="GY34" i="6"/>
  <c r="GZ34" i="6"/>
  <c r="GY11" i="6"/>
  <c r="GY23" i="6"/>
  <c r="GZ23" i="6"/>
  <c r="GY35" i="6"/>
  <c r="GZ35" i="6"/>
  <c r="GY12" i="6"/>
  <c r="GY24" i="6"/>
  <c r="GZ24" i="6"/>
  <c r="GY36" i="6"/>
  <c r="GZ36" i="6"/>
  <c r="GY13" i="6"/>
  <c r="GZ13" i="6"/>
  <c r="GY25" i="6"/>
  <c r="GZ25" i="6"/>
  <c r="GY37" i="6"/>
  <c r="GZ37" i="6"/>
  <c r="GY14" i="6"/>
  <c r="GZ14" i="6"/>
  <c r="GY26" i="6"/>
  <c r="GZ26" i="6"/>
  <c r="GY38" i="6"/>
  <c r="GZ38" i="6"/>
  <c r="GY15" i="6"/>
  <c r="GZ15" i="6"/>
  <c r="GY27" i="6"/>
  <c r="GZ27" i="6"/>
  <c r="GY4" i="6"/>
  <c r="GY16" i="6"/>
  <c r="GZ16" i="6"/>
  <c r="GX28" i="6"/>
  <c r="GY28" i="6"/>
  <c r="GZ28" i="6"/>
  <c r="GY5" i="6"/>
  <c r="GY17" i="6"/>
  <c r="GZ17" i="6"/>
  <c r="GY29" i="6"/>
  <c r="GZ29" i="6"/>
  <c r="GY30" i="6"/>
  <c r="GZ30" i="6"/>
  <c r="GY7" i="6"/>
  <c r="GY19" i="6"/>
  <c r="GZ19" i="6"/>
  <c r="GY31" i="6"/>
  <c r="GZ31" i="6"/>
  <c r="GY6" i="6"/>
  <c r="GY8" i="6"/>
  <c r="GZ20" i="6"/>
  <c r="GY20" i="6"/>
  <c r="GZ32" i="6"/>
  <c r="GY32" i="6"/>
  <c r="GY18" i="6"/>
  <c r="GZ18" i="6"/>
  <c r="GY9" i="6"/>
  <c r="GY21" i="6"/>
  <c r="GZ21" i="6"/>
  <c r="GY33" i="6"/>
  <c r="GZ33" i="6"/>
  <c r="GX20" i="6"/>
  <c r="GX11" i="6"/>
  <c r="GX23" i="6"/>
  <c r="GX35" i="6"/>
  <c r="GX13" i="6"/>
  <c r="GX25" i="6"/>
  <c r="GX14" i="6"/>
  <c r="GX26" i="6"/>
  <c r="GX12" i="6"/>
  <c r="GX15" i="6"/>
  <c r="GX27" i="6"/>
  <c r="GX4" i="6"/>
  <c r="GX16" i="6"/>
  <c r="GX5" i="6"/>
  <c r="GX17" i="6"/>
  <c r="GX29" i="6"/>
  <c r="GX6" i="6"/>
  <c r="GX18" i="6"/>
  <c r="GX30" i="6"/>
  <c r="GX7" i="6"/>
  <c r="GX19" i="6"/>
  <c r="GX31" i="6"/>
  <c r="GX24" i="6"/>
  <c r="GX32" i="6"/>
  <c r="GX9" i="6"/>
  <c r="GX21" i="6"/>
  <c r="GX33" i="6"/>
  <c r="GX8" i="6"/>
  <c r="GX10" i="6"/>
  <c r="GX22" i="6"/>
  <c r="GX34" i="6"/>
  <c r="GX38" i="6"/>
  <c r="GX36" i="6"/>
  <c r="GX37" i="6"/>
  <c r="AS33" i="6"/>
  <c r="GW33" i="6"/>
  <c r="AS10" i="6"/>
  <c r="GW10" i="6"/>
  <c r="AS22" i="6"/>
  <c r="GW22" i="6"/>
  <c r="AS34" i="6"/>
  <c r="GW34" i="6"/>
  <c r="AS9" i="6"/>
  <c r="GW9" i="6"/>
  <c r="AS11" i="6"/>
  <c r="GW11" i="6"/>
  <c r="AS23" i="6"/>
  <c r="GW23" i="6"/>
  <c r="AS35" i="6"/>
  <c r="GW35" i="6"/>
  <c r="AS12" i="6"/>
  <c r="GW12" i="6"/>
  <c r="AS24" i="6"/>
  <c r="GW24" i="6"/>
  <c r="AS36" i="6"/>
  <c r="GW36" i="6"/>
  <c r="AS13" i="6"/>
  <c r="GW13" i="6"/>
  <c r="AS25" i="6"/>
  <c r="GW25" i="6"/>
  <c r="AS37" i="6"/>
  <c r="GW37" i="6"/>
  <c r="AS14" i="6"/>
  <c r="GW14" i="6"/>
  <c r="AS26" i="6"/>
  <c r="GW26" i="6"/>
  <c r="AS38" i="6"/>
  <c r="GW38" i="6"/>
  <c r="AS15" i="6"/>
  <c r="GW15" i="6"/>
  <c r="AS27" i="6"/>
  <c r="GW27" i="6"/>
  <c r="AS4" i="6"/>
  <c r="GW4" i="6"/>
  <c r="AS16" i="6"/>
  <c r="GW16" i="6"/>
  <c r="AS28" i="6"/>
  <c r="GW28" i="6"/>
  <c r="AS5" i="6"/>
  <c r="GW5" i="6"/>
  <c r="AS17" i="6"/>
  <c r="GW17" i="6"/>
  <c r="AS29" i="6"/>
  <c r="GW29" i="6"/>
  <c r="AS6" i="6"/>
  <c r="GW6" i="6"/>
  <c r="AS18" i="6"/>
  <c r="GW18" i="6"/>
  <c r="AW30" i="6"/>
  <c r="GW30" i="6"/>
  <c r="AS7" i="6"/>
  <c r="GW7" i="6"/>
  <c r="AS19" i="6"/>
  <c r="GW19" i="6"/>
  <c r="AS31" i="6"/>
  <c r="GW31" i="6"/>
  <c r="AS21" i="6"/>
  <c r="GW21" i="6"/>
  <c r="AS8" i="6"/>
  <c r="GW8" i="6"/>
  <c r="AS20" i="6"/>
  <c r="GW20" i="6"/>
  <c r="AS32" i="6"/>
  <c r="GW32" i="6"/>
  <c r="N83" i="10"/>
  <c r="AT39" i="6"/>
  <c r="AO28" i="6"/>
  <c r="AK30" i="6"/>
  <c r="O79" i="10"/>
  <c r="AO26" i="6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AB38" i="6"/>
  <c r="AC38" i="6" s="1"/>
  <c r="AB37" i="6"/>
  <c r="AC37" i="6" s="1"/>
  <c r="AB36" i="6"/>
  <c r="AC36" i="6" s="1"/>
  <c r="AB35" i="6"/>
  <c r="AC35" i="6" s="1"/>
  <c r="AB34" i="6"/>
  <c r="AC34" i="6" s="1"/>
  <c r="AB33" i="6"/>
  <c r="AC33" i="6" s="1"/>
  <c r="AB32" i="6"/>
  <c r="AC32" i="6" s="1"/>
  <c r="AB31" i="6"/>
  <c r="AC31" i="6" s="1"/>
  <c r="AB30" i="6"/>
  <c r="AC30" i="6" s="1"/>
  <c r="AB29" i="6"/>
  <c r="AC29" i="6" s="1"/>
  <c r="AB28" i="6"/>
  <c r="AC28" i="6" s="1"/>
  <c r="AB27" i="6"/>
  <c r="AC27" i="6" s="1"/>
  <c r="AB26" i="6"/>
  <c r="AC26" i="6" s="1"/>
  <c r="AB25" i="6"/>
  <c r="AC25" i="6" s="1"/>
  <c r="AB24" i="6"/>
  <c r="AC24" i="6" s="1"/>
  <c r="AB23" i="6"/>
  <c r="AC23" i="6" s="1"/>
  <c r="AB22" i="6"/>
  <c r="AC22" i="6" s="1"/>
  <c r="AB21" i="6"/>
  <c r="AB20" i="6"/>
  <c r="AC20" i="6" s="1"/>
  <c r="AB19" i="6"/>
  <c r="AC19" i="6" s="1"/>
  <c r="AB18" i="6"/>
  <c r="AC18" i="6" s="1"/>
  <c r="AB17" i="6"/>
  <c r="AC17" i="6" s="1"/>
  <c r="AB16" i="6"/>
  <c r="AC16" i="6" s="1"/>
  <c r="AB15" i="6"/>
  <c r="AC15" i="6" s="1"/>
  <c r="AB14" i="6"/>
  <c r="AC14" i="6" s="1"/>
  <c r="AB13" i="6"/>
  <c r="AC13" i="6" s="1"/>
  <c r="AB12" i="6"/>
  <c r="AC12" i="6" s="1"/>
  <c r="AB11" i="6"/>
  <c r="AC11" i="6" s="1"/>
  <c r="AB10" i="6"/>
  <c r="AC10" i="6" s="1"/>
  <c r="AB9" i="6"/>
  <c r="AC9" i="6" s="1"/>
  <c r="AB8" i="6"/>
  <c r="AC8" i="6" s="1"/>
  <c r="AB7" i="6"/>
  <c r="AC7" i="6" s="1"/>
  <c r="AB6" i="6"/>
  <c r="AC6" i="6" s="1"/>
  <c r="AB5" i="6"/>
  <c r="AC5" i="6" s="1"/>
  <c r="AB4" i="6"/>
  <c r="AC4" i="6" s="1"/>
  <c r="AD40" i="6"/>
  <c r="K83" i="10" s="1"/>
  <c r="AD39" i="6"/>
  <c r="Z40" i="6"/>
  <c r="J83" i="10" s="1"/>
  <c r="Z39" i="6"/>
  <c r="X38" i="6"/>
  <c r="X37" i="6"/>
  <c r="Y37" i="6" s="1"/>
  <c r="X36" i="6"/>
  <c r="Y36" i="6" s="1"/>
  <c r="X35" i="6"/>
  <c r="Y35" i="6" s="1"/>
  <c r="X34" i="6"/>
  <c r="Y34" i="6" s="1"/>
  <c r="X33" i="6"/>
  <c r="Y33" i="6" s="1"/>
  <c r="X32" i="6"/>
  <c r="Y32" i="6" s="1"/>
  <c r="X31" i="6"/>
  <c r="Y31" i="6" s="1"/>
  <c r="X30" i="6"/>
  <c r="Y30" i="6" s="1"/>
  <c r="X29" i="6"/>
  <c r="Y29" i="6" s="1"/>
  <c r="X28" i="6"/>
  <c r="Y28" i="6" s="1"/>
  <c r="X27" i="6"/>
  <c r="Y27" i="6" s="1"/>
  <c r="X26" i="6"/>
  <c r="Y26" i="6" s="1"/>
  <c r="X25" i="6"/>
  <c r="Y25" i="6" s="1"/>
  <c r="X24" i="6"/>
  <c r="Y24" i="6" s="1"/>
  <c r="X23" i="6"/>
  <c r="Y23" i="6" s="1"/>
  <c r="X22" i="6"/>
  <c r="Y22" i="6" s="1"/>
  <c r="X21" i="6"/>
  <c r="Y21" i="6" s="1"/>
  <c r="X20" i="6"/>
  <c r="Y20" i="6" s="1"/>
  <c r="X19" i="6"/>
  <c r="Y19" i="6" s="1"/>
  <c r="X18" i="6"/>
  <c r="Y18" i="6" s="1"/>
  <c r="X17" i="6"/>
  <c r="Y17" i="6" s="1"/>
  <c r="X16" i="6"/>
  <c r="Y16" i="6" s="1"/>
  <c r="X15" i="6"/>
  <c r="Y15" i="6" s="1"/>
  <c r="X14" i="6"/>
  <c r="Y14" i="6" s="1"/>
  <c r="X13" i="6"/>
  <c r="Y13" i="6" s="1"/>
  <c r="X12" i="6"/>
  <c r="Y12" i="6" s="1"/>
  <c r="X11" i="6"/>
  <c r="Y11" i="6" s="1"/>
  <c r="X10" i="6"/>
  <c r="Y10" i="6" s="1"/>
  <c r="X9" i="6"/>
  <c r="Y9" i="6" s="1"/>
  <c r="X8" i="6"/>
  <c r="Y8" i="6" s="1"/>
  <c r="X7" i="6"/>
  <c r="Y7" i="6" s="1"/>
  <c r="X6" i="6"/>
  <c r="Y6" i="6" s="1"/>
  <c r="X5" i="6"/>
  <c r="Y5" i="6" s="1"/>
  <c r="X4" i="6"/>
  <c r="Y4" i="6" s="1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V40" i="6"/>
  <c r="I83" i="10" s="1"/>
  <c r="V39" i="6"/>
  <c r="R40" i="6"/>
  <c r="H83" i="10" s="1"/>
  <c r="R39" i="6"/>
  <c r="T38" i="6"/>
  <c r="H81" i="10" s="1"/>
  <c r="T37" i="6"/>
  <c r="T36" i="6"/>
  <c r="T35" i="6"/>
  <c r="H78" i="10" s="1"/>
  <c r="T34" i="6"/>
  <c r="H77" i="10" s="1"/>
  <c r="T33" i="6"/>
  <c r="H76" i="10" s="1"/>
  <c r="T32" i="6"/>
  <c r="H75" i="10" s="1"/>
  <c r="T31" i="6"/>
  <c r="H74" i="10" s="1"/>
  <c r="T30" i="6"/>
  <c r="H73" i="10" s="1"/>
  <c r="T29" i="6"/>
  <c r="H72" i="10" s="1"/>
  <c r="T28" i="6"/>
  <c r="H71" i="10" s="1"/>
  <c r="T27" i="6"/>
  <c r="H70" i="10" s="1"/>
  <c r="T26" i="6"/>
  <c r="H69" i="10" s="1"/>
  <c r="T25" i="6"/>
  <c r="H68" i="10" s="1"/>
  <c r="T24" i="6"/>
  <c r="H67" i="10" s="1"/>
  <c r="T23" i="6"/>
  <c r="H66" i="10" s="1"/>
  <c r="T22" i="6"/>
  <c r="H65" i="10" s="1"/>
  <c r="T21" i="6"/>
  <c r="H64" i="10" s="1"/>
  <c r="T20" i="6"/>
  <c r="H63" i="10" s="1"/>
  <c r="T19" i="6"/>
  <c r="H62" i="10" s="1"/>
  <c r="T18" i="6"/>
  <c r="H61" i="10" s="1"/>
  <c r="T17" i="6"/>
  <c r="H60" i="10" s="1"/>
  <c r="T16" i="6"/>
  <c r="H59" i="10" s="1"/>
  <c r="T15" i="6"/>
  <c r="H58" i="10" s="1"/>
  <c r="T14" i="6"/>
  <c r="H57" i="10" s="1"/>
  <c r="T13" i="6"/>
  <c r="H56" i="10" s="1"/>
  <c r="T12" i="6"/>
  <c r="H55" i="10" s="1"/>
  <c r="T11" i="6"/>
  <c r="H54" i="10" s="1"/>
  <c r="T10" i="6"/>
  <c r="H53" i="10" s="1"/>
  <c r="T9" i="6"/>
  <c r="H52" i="10" s="1"/>
  <c r="T8" i="6"/>
  <c r="H51" i="10" s="1"/>
  <c r="T7" i="6"/>
  <c r="H50" i="10" s="1"/>
  <c r="T6" i="6"/>
  <c r="H49" i="10" s="1"/>
  <c r="T5" i="6"/>
  <c r="H48" i="10" s="1"/>
  <c r="T4" i="6"/>
  <c r="H47" i="10" s="1"/>
  <c r="N40" i="6"/>
  <c r="G83" i="10" s="1"/>
  <c r="N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F69" i="10"/>
  <c r="FT1" i="6"/>
  <c r="J40" i="6"/>
  <c r="F83" i="10" s="1"/>
  <c r="J39" i="6"/>
  <c r="L39" i="6" s="1"/>
  <c r="D37" i="6"/>
  <c r="I39" i="6"/>
  <c r="L38" i="6"/>
  <c r="F81" i="10" s="1"/>
  <c r="L37" i="6"/>
  <c r="F80" i="10" s="1"/>
  <c r="L36" i="6"/>
  <c r="F79" i="10" s="1"/>
  <c r="L35" i="6"/>
  <c r="F78" i="10" s="1"/>
  <c r="L34" i="6"/>
  <c r="F77" i="10" s="1"/>
  <c r="L33" i="6"/>
  <c r="F76" i="10" s="1"/>
  <c r="L32" i="6"/>
  <c r="F75" i="10" s="1"/>
  <c r="L31" i="6"/>
  <c r="F74" i="10" s="1"/>
  <c r="L30" i="6"/>
  <c r="F73" i="10" s="1"/>
  <c r="L29" i="6"/>
  <c r="F72" i="10" s="1"/>
  <c r="L28" i="6"/>
  <c r="F71" i="10" s="1"/>
  <c r="L27" i="6"/>
  <c r="F70" i="10" s="1"/>
  <c r="L26" i="6"/>
  <c r="M26" i="6" s="1"/>
  <c r="L25" i="6"/>
  <c r="F68" i="10" s="1"/>
  <c r="L24" i="6"/>
  <c r="F67" i="10" s="1"/>
  <c r="L23" i="6"/>
  <c r="F66" i="10" s="1"/>
  <c r="L22" i="6"/>
  <c r="F65" i="10" s="1"/>
  <c r="L21" i="6"/>
  <c r="F64" i="10" s="1"/>
  <c r="L20" i="6"/>
  <c r="F63" i="10" s="1"/>
  <c r="L19" i="6"/>
  <c r="F62" i="10" s="1"/>
  <c r="L18" i="6"/>
  <c r="F61" i="10" s="1"/>
  <c r="L17" i="6"/>
  <c r="F60" i="10" s="1"/>
  <c r="L16" i="6"/>
  <c r="F59" i="10" s="1"/>
  <c r="L15" i="6"/>
  <c r="F58" i="10" s="1"/>
  <c r="L14" i="6"/>
  <c r="F57" i="10" s="1"/>
  <c r="L13" i="6"/>
  <c r="F56" i="10" s="1"/>
  <c r="L12" i="6"/>
  <c r="F55" i="10" s="1"/>
  <c r="L11" i="6"/>
  <c r="F54" i="10" s="1"/>
  <c r="L10" i="6"/>
  <c r="F53" i="10" s="1"/>
  <c r="L9" i="6"/>
  <c r="F52" i="10" s="1"/>
  <c r="L8" i="6"/>
  <c r="F51" i="10" s="1"/>
  <c r="L7" i="6"/>
  <c r="F50" i="10" s="1"/>
  <c r="L6" i="6"/>
  <c r="F49" i="10" s="1"/>
  <c r="L5" i="6"/>
  <c r="F48" i="10" s="1"/>
  <c r="L4" i="6"/>
  <c r="F47" i="10" s="1"/>
  <c r="F40" i="6"/>
  <c r="E83" i="10" s="1"/>
  <c r="F39" i="6"/>
  <c r="H38" i="6"/>
  <c r="E81" i="10" s="1"/>
  <c r="E80" i="10"/>
  <c r="H36" i="6"/>
  <c r="E79" i="10" s="1"/>
  <c r="H35" i="6"/>
  <c r="E78" i="10" s="1"/>
  <c r="H34" i="6"/>
  <c r="E77" i="10" s="1"/>
  <c r="H33" i="6"/>
  <c r="E76" i="10" s="1"/>
  <c r="H32" i="6"/>
  <c r="E75" i="10" s="1"/>
  <c r="H31" i="6"/>
  <c r="E74" i="10" s="1"/>
  <c r="H30" i="6"/>
  <c r="E73" i="10" s="1"/>
  <c r="H29" i="6"/>
  <c r="E72" i="10" s="1"/>
  <c r="H28" i="6"/>
  <c r="E71" i="10" s="1"/>
  <c r="H27" i="6"/>
  <c r="E70" i="10" s="1"/>
  <c r="H26" i="6"/>
  <c r="E69" i="10" s="1"/>
  <c r="H25" i="6"/>
  <c r="E68" i="10" s="1"/>
  <c r="H24" i="6"/>
  <c r="E67" i="10" s="1"/>
  <c r="H23" i="6"/>
  <c r="E66" i="10" s="1"/>
  <c r="H22" i="6"/>
  <c r="E65" i="10" s="1"/>
  <c r="H21" i="6"/>
  <c r="E64" i="10" s="1"/>
  <c r="H20" i="6"/>
  <c r="E63" i="10" s="1"/>
  <c r="H19" i="6"/>
  <c r="E62" i="10" s="1"/>
  <c r="H18" i="6"/>
  <c r="E61" i="10" s="1"/>
  <c r="H17" i="6"/>
  <c r="E60" i="10" s="1"/>
  <c r="H16" i="6"/>
  <c r="E59" i="10" s="1"/>
  <c r="H15" i="6"/>
  <c r="E58" i="10" s="1"/>
  <c r="H14" i="6"/>
  <c r="E57" i="10" s="1"/>
  <c r="H13" i="6"/>
  <c r="E56" i="10" s="1"/>
  <c r="H12" i="6"/>
  <c r="E55" i="10" s="1"/>
  <c r="H11" i="6"/>
  <c r="E54" i="10" s="1"/>
  <c r="H10" i="6"/>
  <c r="E53" i="10" s="1"/>
  <c r="H9" i="6"/>
  <c r="E52" i="10" s="1"/>
  <c r="H8" i="6"/>
  <c r="E51" i="10" s="1"/>
  <c r="H7" i="6"/>
  <c r="E50" i="10" s="1"/>
  <c r="H6" i="6"/>
  <c r="E49" i="10" s="1"/>
  <c r="H5" i="6"/>
  <c r="E48" i="10" s="1"/>
  <c r="H4" i="6"/>
  <c r="E47" i="10" s="1"/>
  <c r="D38" i="6"/>
  <c r="D80" i="10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B40" i="6"/>
  <c r="D83" i="10" s="1"/>
  <c r="B39" i="6"/>
  <c r="FT39" i="6" l="1"/>
  <c r="AC85" i="10"/>
  <c r="FS33" i="6"/>
  <c r="FS13" i="6"/>
  <c r="FS25" i="6"/>
  <c r="FS26" i="6"/>
  <c r="FS16" i="6"/>
  <c r="FS28" i="6"/>
  <c r="FS27" i="6"/>
  <c r="FS6" i="6"/>
  <c r="FS19" i="6"/>
  <c r="FS31" i="6"/>
  <c r="FS5" i="6"/>
  <c r="FS17" i="6"/>
  <c r="FS29" i="6"/>
  <c r="FS32" i="6"/>
  <c r="FS34" i="6"/>
  <c r="FS11" i="6"/>
  <c r="FS23" i="6"/>
  <c r="FS35" i="6"/>
  <c r="FS10" i="6"/>
  <c r="FS7" i="6"/>
  <c r="FS9" i="6"/>
  <c r="FS12" i="6"/>
  <c r="FS36" i="6"/>
  <c r="FS8" i="6"/>
  <c r="FS21" i="6"/>
  <c r="FS15" i="6"/>
  <c r="FS22" i="6"/>
  <c r="FS18" i="6"/>
  <c r="GV7" i="6"/>
  <c r="GV19" i="6"/>
  <c r="GV31" i="6"/>
  <c r="GV8" i="6"/>
  <c r="GV20" i="6"/>
  <c r="GV32" i="6"/>
  <c r="GV34" i="6"/>
  <c r="GV10" i="6"/>
  <c r="GV11" i="6"/>
  <c r="GV23" i="6"/>
  <c r="GV35" i="6"/>
  <c r="GV22" i="6"/>
  <c r="GV12" i="6"/>
  <c r="GV24" i="6"/>
  <c r="GV36" i="6"/>
  <c r="GV21" i="6"/>
  <c r="GV33" i="6"/>
  <c r="GV13" i="6"/>
  <c r="GV25" i="6"/>
  <c r="FS14" i="6"/>
  <c r="GV14" i="6"/>
  <c r="GV26" i="6"/>
  <c r="GV38" i="6"/>
  <c r="GV9" i="6"/>
  <c r="GV15" i="6"/>
  <c r="GV27" i="6"/>
  <c r="GV4" i="6"/>
  <c r="GV16" i="6"/>
  <c r="GV28" i="6"/>
  <c r="GV37" i="6"/>
  <c r="GV5" i="6"/>
  <c r="GV17" i="6"/>
  <c r="GV29" i="6"/>
  <c r="GV6" i="6"/>
  <c r="GV18" i="6"/>
  <c r="GV30" i="6"/>
  <c r="GU17" i="6"/>
  <c r="GU29" i="6"/>
  <c r="GU18" i="6"/>
  <c r="GU5" i="6"/>
  <c r="GU30" i="6"/>
  <c r="GU11" i="6"/>
  <c r="GU35" i="6"/>
  <c r="GU14" i="6"/>
  <c r="GU26" i="6"/>
  <c r="GU38" i="6"/>
  <c r="GU32" i="6"/>
  <c r="GU13" i="6"/>
  <c r="GU8" i="6"/>
  <c r="GU20" i="6"/>
  <c r="GU7" i="6"/>
  <c r="GU19" i="6"/>
  <c r="GU31" i="6"/>
  <c r="GU25" i="6"/>
  <c r="GU10" i="6"/>
  <c r="GU34" i="6"/>
  <c r="GU12" i="6"/>
  <c r="GU24" i="6"/>
  <c r="GU36" i="6"/>
  <c r="GU16" i="6"/>
  <c r="GU28" i="6"/>
  <c r="GU37" i="6"/>
  <c r="GU33" i="6"/>
  <c r="GU22" i="6"/>
  <c r="GU27" i="6"/>
  <c r="GU9" i="6"/>
  <c r="GU21" i="6"/>
  <c r="GU23" i="6"/>
  <c r="GU15" i="6"/>
  <c r="GU4" i="6"/>
  <c r="GU6" i="6"/>
  <c r="GT10" i="6"/>
  <c r="GT34" i="6"/>
  <c r="GT31" i="6"/>
  <c r="GT13" i="6"/>
  <c r="GT32" i="6"/>
  <c r="GT7" i="6"/>
  <c r="GT19" i="6"/>
  <c r="GT8" i="6"/>
  <c r="GT20" i="6"/>
  <c r="GT9" i="6"/>
  <c r="GT21" i="6"/>
  <c r="GT33" i="6"/>
  <c r="GT23" i="6"/>
  <c r="GT11" i="6"/>
  <c r="GT35" i="6"/>
  <c r="GT12" i="6"/>
  <c r="GT24" i="6"/>
  <c r="GT36" i="6"/>
  <c r="GT27" i="6"/>
  <c r="GT26" i="6"/>
  <c r="GT28" i="6"/>
  <c r="GT37" i="6"/>
  <c r="GT22" i="6"/>
  <c r="GT15" i="6"/>
  <c r="GT17" i="6"/>
  <c r="GT25" i="6"/>
  <c r="GT14" i="6"/>
  <c r="GT38" i="6"/>
  <c r="GT4" i="6"/>
  <c r="GT16" i="6"/>
  <c r="GT5" i="6"/>
  <c r="GT29" i="6"/>
  <c r="GT6" i="6"/>
  <c r="GT18" i="6"/>
  <c r="GT30" i="6"/>
  <c r="GS32" i="6"/>
  <c r="GS5" i="6"/>
  <c r="GS8" i="6"/>
  <c r="GS20" i="6"/>
  <c r="GS17" i="6"/>
  <c r="GS30" i="6"/>
  <c r="GS7" i="6"/>
  <c r="GS19" i="6"/>
  <c r="GS31" i="6"/>
  <c r="GS29" i="6"/>
  <c r="GS18" i="6"/>
  <c r="GS10" i="6"/>
  <c r="GS22" i="6"/>
  <c r="GS34" i="6"/>
  <c r="GS6" i="6"/>
  <c r="GS33" i="6"/>
  <c r="GS11" i="6"/>
  <c r="GS23" i="6"/>
  <c r="GS35" i="6"/>
  <c r="GS12" i="6"/>
  <c r="GS24" i="6"/>
  <c r="GS36" i="6"/>
  <c r="GS13" i="6"/>
  <c r="GS21" i="6"/>
  <c r="GS25" i="6"/>
  <c r="GS14" i="6"/>
  <c r="GS26" i="6"/>
  <c r="GS38" i="6"/>
  <c r="GS15" i="6"/>
  <c r="GS27" i="6"/>
  <c r="GS9" i="6"/>
  <c r="GR4" i="6"/>
  <c r="GS4" i="6"/>
  <c r="GS16" i="6"/>
  <c r="GS28" i="6"/>
  <c r="GS37" i="6"/>
  <c r="FZ18" i="6"/>
  <c r="GH18" i="6"/>
  <c r="FY18" i="6"/>
  <c r="GG18" i="6"/>
  <c r="FX18" i="6"/>
  <c r="FW18" i="6"/>
  <c r="GQ18" i="6"/>
  <c r="GE18" i="6"/>
  <c r="FV18" i="6"/>
  <c r="GP18" i="6"/>
  <c r="GD18" i="6"/>
  <c r="GO18" i="6"/>
  <c r="GC18" i="6"/>
  <c r="GM18" i="6"/>
  <c r="GN18" i="6"/>
  <c r="GB18" i="6"/>
  <c r="GK18" i="6"/>
  <c r="GR18" i="6"/>
  <c r="GL18" i="6"/>
  <c r="GJ18" i="6"/>
  <c r="GI18" i="6"/>
  <c r="GF18" i="6"/>
  <c r="GA18" i="6"/>
  <c r="GQ9" i="6"/>
  <c r="GE9" i="6"/>
  <c r="GP9" i="6"/>
  <c r="GD9" i="6"/>
  <c r="GN9" i="6"/>
  <c r="GB9" i="6"/>
  <c r="GM9" i="6"/>
  <c r="GA9" i="6"/>
  <c r="GL9" i="6"/>
  <c r="FY9" i="6"/>
  <c r="FZ9" i="6"/>
  <c r="GK9" i="6"/>
  <c r="FW9" i="6"/>
  <c r="GH9" i="6"/>
  <c r="FV9" i="6"/>
  <c r="GO9" i="6"/>
  <c r="GC9" i="6"/>
  <c r="GR9" i="6"/>
  <c r="GJ9" i="6"/>
  <c r="GI9" i="6"/>
  <c r="FX9" i="6"/>
  <c r="GG9" i="6"/>
  <c r="GF9" i="6"/>
  <c r="GQ21" i="6"/>
  <c r="GE21" i="6"/>
  <c r="GP21" i="6"/>
  <c r="GD21" i="6"/>
  <c r="GN21" i="6"/>
  <c r="GB21" i="6"/>
  <c r="FY21" i="6"/>
  <c r="GM21" i="6"/>
  <c r="GA21" i="6"/>
  <c r="GL21" i="6"/>
  <c r="FZ21" i="6"/>
  <c r="GK21" i="6"/>
  <c r="GJ21" i="6"/>
  <c r="FW21" i="6"/>
  <c r="GH21" i="6"/>
  <c r="FV21" i="6"/>
  <c r="GC21" i="6"/>
  <c r="FX21" i="6"/>
  <c r="GR21" i="6"/>
  <c r="GO21" i="6"/>
  <c r="GI21" i="6"/>
  <c r="GG21" i="6"/>
  <c r="GF21" i="6"/>
  <c r="GR33" i="6"/>
  <c r="GF33" i="6"/>
  <c r="GD33" i="6"/>
  <c r="GQ33" i="6"/>
  <c r="GE33" i="6"/>
  <c r="GP33" i="6"/>
  <c r="GO33" i="6"/>
  <c r="GC33" i="6"/>
  <c r="FY33" i="6"/>
  <c r="GN33" i="6"/>
  <c r="GB33" i="6"/>
  <c r="GK33" i="6"/>
  <c r="GA33" i="6"/>
  <c r="GM33" i="6"/>
  <c r="FZ33" i="6"/>
  <c r="GL33" i="6"/>
  <c r="FW33" i="6"/>
  <c r="GI33" i="6"/>
  <c r="FV33" i="6"/>
  <c r="FX33" i="6"/>
  <c r="GJ33" i="6"/>
  <c r="GH33" i="6"/>
  <c r="GG33" i="6"/>
  <c r="FZ34" i="6"/>
  <c r="GM34" i="6"/>
  <c r="GK34" i="6"/>
  <c r="FY34" i="6"/>
  <c r="GL34" i="6"/>
  <c r="FX34" i="6"/>
  <c r="FW34" i="6"/>
  <c r="GJ34" i="6"/>
  <c r="GR34" i="6"/>
  <c r="FV34" i="6"/>
  <c r="GI34" i="6"/>
  <c r="GH34" i="6"/>
  <c r="GG34" i="6"/>
  <c r="GF34" i="6"/>
  <c r="GP34" i="6"/>
  <c r="GD34" i="6"/>
  <c r="GO34" i="6"/>
  <c r="GN34" i="6"/>
  <c r="GA34" i="6"/>
  <c r="GE34" i="6"/>
  <c r="GC34" i="6"/>
  <c r="GQ34" i="6"/>
  <c r="GB34" i="6"/>
  <c r="GO19" i="6"/>
  <c r="GC19" i="6"/>
  <c r="GN19" i="6"/>
  <c r="GB19" i="6"/>
  <c r="GL19" i="6"/>
  <c r="GK19" i="6"/>
  <c r="FY19" i="6"/>
  <c r="GA19" i="6"/>
  <c r="GJ19" i="6"/>
  <c r="FZ19" i="6"/>
  <c r="GI19" i="6"/>
  <c r="GH19" i="6"/>
  <c r="FW19" i="6"/>
  <c r="GR19" i="6"/>
  <c r="GF19" i="6"/>
  <c r="FV19" i="6"/>
  <c r="FX19" i="6"/>
  <c r="GM19" i="6"/>
  <c r="GE19" i="6"/>
  <c r="GD19" i="6"/>
  <c r="GQ19" i="6"/>
  <c r="GG19" i="6"/>
  <c r="GP19" i="6"/>
  <c r="FZ10" i="6"/>
  <c r="GL10" i="6"/>
  <c r="FX10" i="6"/>
  <c r="FY10" i="6"/>
  <c r="GK10" i="6"/>
  <c r="FW10" i="6"/>
  <c r="GI10" i="6"/>
  <c r="FV10" i="6"/>
  <c r="GH10" i="6"/>
  <c r="GG10" i="6"/>
  <c r="GR10" i="6"/>
  <c r="GF10" i="6"/>
  <c r="GO10" i="6"/>
  <c r="GC10" i="6"/>
  <c r="GB10" i="6"/>
  <c r="GA10" i="6"/>
  <c r="GQ10" i="6"/>
  <c r="GP10" i="6"/>
  <c r="GN10" i="6"/>
  <c r="GM10" i="6"/>
  <c r="GD10" i="6"/>
  <c r="GJ10" i="6"/>
  <c r="GE10" i="6"/>
  <c r="FZ22" i="6"/>
  <c r="GL22" i="6"/>
  <c r="FX22" i="6"/>
  <c r="FY22" i="6"/>
  <c r="GK22" i="6"/>
  <c r="FW22" i="6"/>
  <c r="GI22" i="6"/>
  <c r="GQ22" i="6"/>
  <c r="FV22" i="6"/>
  <c r="GH22" i="6"/>
  <c r="GG22" i="6"/>
  <c r="GE22" i="6"/>
  <c r="GR22" i="6"/>
  <c r="GF22" i="6"/>
  <c r="GO22" i="6"/>
  <c r="GC22" i="6"/>
  <c r="GP22" i="6"/>
  <c r="GA22" i="6"/>
  <c r="GN22" i="6"/>
  <c r="GM22" i="6"/>
  <c r="GD22" i="6"/>
  <c r="GJ22" i="6"/>
  <c r="GB22" i="6"/>
  <c r="GG11" i="6"/>
  <c r="GR11" i="6"/>
  <c r="GF11" i="6"/>
  <c r="GP11" i="6"/>
  <c r="GD11" i="6"/>
  <c r="GO11" i="6"/>
  <c r="GC11" i="6"/>
  <c r="GA11" i="6"/>
  <c r="GN11" i="6"/>
  <c r="GB11" i="6"/>
  <c r="FZ11" i="6"/>
  <c r="GM11" i="6"/>
  <c r="FY11" i="6"/>
  <c r="FW11" i="6"/>
  <c r="GJ11" i="6"/>
  <c r="FV11" i="6"/>
  <c r="GI11" i="6"/>
  <c r="FX11" i="6"/>
  <c r="GH11" i="6"/>
  <c r="GE11" i="6"/>
  <c r="GL11" i="6"/>
  <c r="GK11" i="6"/>
  <c r="GQ11" i="6"/>
  <c r="GG23" i="6"/>
  <c r="GR23" i="6"/>
  <c r="GF23" i="6"/>
  <c r="GP23" i="6"/>
  <c r="GD23" i="6"/>
  <c r="GO23" i="6"/>
  <c r="GC23" i="6"/>
  <c r="GA23" i="6"/>
  <c r="GN23" i="6"/>
  <c r="GB23" i="6"/>
  <c r="FZ23" i="6"/>
  <c r="GM23" i="6"/>
  <c r="FY23" i="6"/>
  <c r="GL23" i="6"/>
  <c r="FW23" i="6"/>
  <c r="GJ23" i="6"/>
  <c r="FV23" i="6"/>
  <c r="GE23" i="6"/>
  <c r="GH23" i="6"/>
  <c r="FX23" i="6"/>
  <c r="GQ23" i="6"/>
  <c r="GI23" i="6"/>
  <c r="GK23" i="6"/>
  <c r="GI13" i="6"/>
  <c r="GH13" i="6"/>
  <c r="GR13" i="6"/>
  <c r="GF13" i="6"/>
  <c r="FY13" i="6"/>
  <c r="GQ13" i="6"/>
  <c r="GE13" i="6"/>
  <c r="GA13" i="6"/>
  <c r="GP13" i="6"/>
  <c r="GD13" i="6"/>
  <c r="FZ13" i="6"/>
  <c r="GO13" i="6"/>
  <c r="GC13" i="6"/>
  <c r="FW13" i="6"/>
  <c r="GL13" i="6"/>
  <c r="FV13" i="6"/>
  <c r="GB13" i="6"/>
  <c r="GM13" i="6"/>
  <c r="FX13" i="6"/>
  <c r="GG13" i="6"/>
  <c r="GJ13" i="6"/>
  <c r="GK13" i="6"/>
  <c r="GN13" i="6"/>
  <c r="GF30" i="6"/>
  <c r="FZ30" i="6"/>
  <c r="GI30" i="6"/>
  <c r="FY30" i="6"/>
  <c r="GH30" i="6"/>
  <c r="FX30" i="6"/>
  <c r="GG30" i="6"/>
  <c r="FW30" i="6"/>
  <c r="GR30" i="6"/>
  <c r="GE30" i="6"/>
  <c r="GN30" i="6"/>
  <c r="FV30" i="6"/>
  <c r="GQ30" i="6"/>
  <c r="GD30" i="6"/>
  <c r="GP30" i="6"/>
  <c r="GC30" i="6"/>
  <c r="GO30" i="6"/>
  <c r="GB30" i="6"/>
  <c r="GL30" i="6"/>
  <c r="GJ30" i="6"/>
  <c r="GA30" i="6"/>
  <c r="GM30" i="6"/>
  <c r="GK30" i="6"/>
  <c r="GH35" i="6"/>
  <c r="GF35" i="6"/>
  <c r="GG35" i="6"/>
  <c r="GR35" i="6"/>
  <c r="GQ35" i="6"/>
  <c r="GE35" i="6"/>
  <c r="GP35" i="6"/>
  <c r="GD35" i="6"/>
  <c r="GA35" i="6"/>
  <c r="GO35" i="6"/>
  <c r="GC35" i="6"/>
  <c r="FY35" i="6"/>
  <c r="FZ35" i="6"/>
  <c r="GN35" i="6"/>
  <c r="GB35" i="6"/>
  <c r="GM35" i="6"/>
  <c r="FW35" i="6"/>
  <c r="GK35" i="6"/>
  <c r="FV35" i="6"/>
  <c r="GJ35" i="6"/>
  <c r="FX35" i="6"/>
  <c r="GL35" i="6"/>
  <c r="GI35" i="6"/>
  <c r="FZ12" i="6"/>
  <c r="GN12" i="6"/>
  <c r="GB12" i="6"/>
  <c r="FY12" i="6"/>
  <c r="GM12" i="6"/>
  <c r="FX12" i="6"/>
  <c r="FW12" i="6"/>
  <c r="GK12" i="6"/>
  <c r="FV12" i="6"/>
  <c r="GJ12" i="6"/>
  <c r="GI12" i="6"/>
  <c r="GH12" i="6"/>
  <c r="GQ12" i="6"/>
  <c r="GE12" i="6"/>
  <c r="GA12" i="6"/>
  <c r="GR12" i="6"/>
  <c r="GP12" i="6"/>
  <c r="GG12" i="6"/>
  <c r="GC12" i="6"/>
  <c r="GO12" i="6"/>
  <c r="GL12" i="6"/>
  <c r="GF12" i="6"/>
  <c r="GD12" i="6"/>
  <c r="FZ24" i="6"/>
  <c r="GN24" i="6"/>
  <c r="GB24" i="6"/>
  <c r="FY24" i="6"/>
  <c r="GM24" i="6"/>
  <c r="FX24" i="6"/>
  <c r="FW24" i="6"/>
  <c r="GK24" i="6"/>
  <c r="GG24" i="6"/>
  <c r="FV24" i="6"/>
  <c r="GJ24" i="6"/>
  <c r="GI24" i="6"/>
  <c r="GH24" i="6"/>
  <c r="GQ24" i="6"/>
  <c r="GE24" i="6"/>
  <c r="GA24" i="6"/>
  <c r="GR24" i="6"/>
  <c r="GP24" i="6"/>
  <c r="GO24" i="6"/>
  <c r="GL24" i="6"/>
  <c r="GF24" i="6"/>
  <c r="GD24" i="6"/>
  <c r="GC24" i="6"/>
  <c r="FZ36" i="6"/>
  <c r="GO36" i="6"/>
  <c r="GC36" i="6"/>
  <c r="GM36" i="6"/>
  <c r="FY36" i="6"/>
  <c r="GN36" i="6"/>
  <c r="GB36" i="6"/>
  <c r="FX36" i="6"/>
  <c r="FW36" i="6"/>
  <c r="GL36" i="6"/>
  <c r="FV36" i="6"/>
  <c r="GK36" i="6"/>
  <c r="GJ36" i="6"/>
  <c r="GH36" i="6"/>
  <c r="GI36" i="6"/>
  <c r="GR36" i="6"/>
  <c r="GF36" i="6"/>
  <c r="GA36" i="6"/>
  <c r="GQ36" i="6"/>
  <c r="GP36" i="6"/>
  <c r="GG36" i="6"/>
  <c r="GE36" i="6"/>
  <c r="GD36" i="6"/>
  <c r="GI25" i="6"/>
  <c r="GH25" i="6"/>
  <c r="GR25" i="6"/>
  <c r="GF25" i="6"/>
  <c r="GQ25" i="6"/>
  <c r="GE25" i="6"/>
  <c r="GN25" i="6"/>
  <c r="GA25" i="6"/>
  <c r="GP25" i="6"/>
  <c r="GD25" i="6"/>
  <c r="FY25" i="6"/>
  <c r="GB25" i="6"/>
  <c r="FZ25" i="6"/>
  <c r="GO25" i="6"/>
  <c r="GC25" i="6"/>
  <c r="FW25" i="6"/>
  <c r="GL25" i="6"/>
  <c r="FV25" i="6"/>
  <c r="GG25" i="6"/>
  <c r="GM25" i="6"/>
  <c r="FX25" i="6"/>
  <c r="GJ25" i="6"/>
  <c r="GK25" i="6"/>
  <c r="FZ14" i="6"/>
  <c r="GP14" i="6"/>
  <c r="GD14" i="6"/>
  <c r="FY14" i="6"/>
  <c r="GO14" i="6"/>
  <c r="GC14" i="6"/>
  <c r="FX14" i="6"/>
  <c r="FW14" i="6"/>
  <c r="GM14" i="6"/>
  <c r="FV14" i="6"/>
  <c r="GL14" i="6"/>
  <c r="GK14" i="6"/>
  <c r="GJ14" i="6"/>
  <c r="GG14" i="6"/>
  <c r="GQ14" i="6"/>
  <c r="GN14" i="6"/>
  <c r="GI14" i="6"/>
  <c r="GH14" i="6"/>
  <c r="GE14" i="6"/>
  <c r="GF14" i="6"/>
  <c r="GB14" i="6"/>
  <c r="GA14" i="6"/>
  <c r="GR14" i="6"/>
  <c r="FZ26" i="6"/>
  <c r="GP26" i="6"/>
  <c r="GD26" i="6"/>
  <c r="FX26" i="6"/>
  <c r="FY26" i="6"/>
  <c r="GO26" i="6"/>
  <c r="GC26" i="6"/>
  <c r="FW26" i="6"/>
  <c r="GM26" i="6"/>
  <c r="GI26" i="6"/>
  <c r="FV26" i="6"/>
  <c r="GL26" i="6"/>
  <c r="GK26" i="6"/>
  <c r="GJ26" i="6"/>
  <c r="GG26" i="6"/>
  <c r="GA26" i="6"/>
  <c r="GR26" i="6"/>
  <c r="GH26" i="6"/>
  <c r="GQ26" i="6"/>
  <c r="GN26" i="6"/>
  <c r="GF26" i="6"/>
  <c r="GE26" i="6"/>
  <c r="GB26" i="6"/>
  <c r="GA38" i="6"/>
  <c r="FZ38" i="6"/>
  <c r="GQ38" i="6"/>
  <c r="GE38" i="6"/>
  <c r="FX38" i="6"/>
  <c r="GC38" i="6"/>
  <c r="FY38" i="6"/>
  <c r="GP38" i="6"/>
  <c r="GD38" i="6"/>
  <c r="GO38" i="6"/>
  <c r="FW38" i="6"/>
  <c r="GN38" i="6"/>
  <c r="GB38" i="6"/>
  <c r="FV38" i="6"/>
  <c r="GM38" i="6"/>
  <c r="GL38" i="6"/>
  <c r="GK38" i="6"/>
  <c r="GJ38" i="6"/>
  <c r="GH38" i="6"/>
  <c r="GG38" i="6"/>
  <c r="GR38" i="6"/>
  <c r="GI38" i="6"/>
  <c r="GF38" i="6"/>
  <c r="GK15" i="6"/>
  <c r="GJ15" i="6"/>
  <c r="GH15" i="6"/>
  <c r="GG15" i="6"/>
  <c r="GA15" i="6"/>
  <c r="GR15" i="6"/>
  <c r="GF15" i="6"/>
  <c r="FZ15" i="6"/>
  <c r="GQ15" i="6"/>
  <c r="GE15" i="6"/>
  <c r="FY15" i="6"/>
  <c r="GP15" i="6"/>
  <c r="FW15" i="6"/>
  <c r="GN15" i="6"/>
  <c r="GB15" i="6"/>
  <c r="FV15" i="6"/>
  <c r="GD15" i="6"/>
  <c r="GO15" i="6"/>
  <c r="FX15" i="6"/>
  <c r="GI15" i="6"/>
  <c r="GM15" i="6"/>
  <c r="GC15" i="6"/>
  <c r="GL15" i="6"/>
  <c r="GK27" i="6"/>
  <c r="GJ27" i="6"/>
  <c r="GH27" i="6"/>
  <c r="FY27" i="6"/>
  <c r="GG27" i="6"/>
  <c r="GA27" i="6"/>
  <c r="GR27" i="6"/>
  <c r="GF27" i="6"/>
  <c r="GP27" i="6"/>
  <c r="FZ27" i="6"/>
  <c r="GQ27" i="6"/>
  <c r="GE27" i="6"/>
  <c r="GD27" i="6"/>
  <c r="FW27" i="6"/>
  <c r="GN27" i="6"/>
  <c r="GB27" i="6"/>
  <c r="FV27" i="6"/>
  <c r="GI27" i="6"/>
  <c r="GC27" i="6"/>
  <c r="GM27" i="6"/>
  <c r="GO27" i="6"/>
  <c r="GL27" i="6"/>
  <c r="FX27" i="6"/>
  <c r="FZ6" i="6"/>
  <c r="GH6" i="6"/>
  <c r="FY6" i="6"/>
  <c r="GG6" i="6"/>
  <c r="FX6" i="6"/>
  <c r="FW6" i="6"/>
  <c r="GQ6" i="6"/>
  <c r="GE6" i="6"/>
  <c r="FV6" i="6"/>
  <c r="GP6" i="6"/>
  <c r="GD6" i="6"/>
  <c r="GO6" i="6"/>
  <c r="GC6" i="6"/>
  <c r="GN6" i="6"/>
  <c r="GB6" i="6"/>
  <c r="GK6" i="6"/>
  <c r="GI6" i="6"/>
  <c r="GF6" i="6"/>
  <c r="GM6" i="6"/>
  <c r="GR6" i="6"/>
  <c r="GL6" i="6"/>
  <c r="GA6" i="6"/>
  <c r="GJ6" i="6"/>
  <c r="GO7" i="6"/>
  <c r="GC7" i="6"/>
  <c r="GN7" i="6"/>
  <c r="GB7" i="6"/>
  <c r="GL7" i="6"/>
  <c r="GK7" i="6"/>
  <c r="FY7" i="6"/>
  <c r="GA7" i="6"/>
  <c r="GJ7" i="6"/>
  <c r="FZ7" i="6"/>
  <c r="GI7" i="6"/>
  <c r="FW7" i="6"/>
  <c r="GR7" i="6"/>
  <c r="GF7" i="6"/>
  <c r="FV7" i="6"/>
  <c r="GQ7" i="6"/>
  <c r="GP7" i="6"/>
  <c r="FX7" i="6"/>
  <c r="GG7" i="6"/>
  <c r="GM7" i="6"/>
  <c r="GH7" i="6"/>
  <c r="GE7" i="6"/>
  <c r="GD7" i="6"/>
  <c r="FZ8" i="6"/>
  <c r="GJ8" i="6"/>
  <c r="FY8" i="6"/>
  <c r="GI8" i="6"/>
  <c r="FX8" i="6"/>
  <c r="FW8" i="6"/>
  <c r="GG8" i="6"/>
  <c r="FV8" i="6"/>
  <c r="GR8" i="6"/>
  <c r="GF8" i="6"/>
  <c r="GQ8" i="6"/>
  <c r="GE8" i="6"/>
  <c r="GP8" i="6"/>
  <c r="GD8" i="6"/>
  <c r="GM8" i="6"/>
  <c r="GB8" i="6"/>
  <c r="GC8" i="6"/>
  <c r="GA8" i="6"/>
  <c r="GO8" i="6"/>
  <c r="GL8" i="6"/>
  <c r="GN8" i="6"/>
  <c r="GK8" i="6"/>
  <c r="GH8" i="6"/>
  <c r="FZ20" i="6"/>
  <c r="GJ20" i="6"/>
  <c r="FY20" i="6"/>
  <c r="GI20" i="6"/>
  <c r="FX20" i="6"/>
  <c r="FW20" i="6"/>
  <c r="GG20" i="6"/>
  <c r="GC20" i="6"/>
  <c r="FV20" i="6"/>
  <c r="GR20" i="6"/>
  <c r="GF20" i="6"/>
  <c r="GO20" i="6"/>
  <c r="GQ20" i="6"/>
  <c r="GE20" i="6"/>
  <c r="GP20" i="6"/>
  <c r="GD20" i="6"/>
  <c r="GM20" i="6"/>
  <c r="GN20" i="6"/>
  <c r="GL20" i="6"/>
  <c r="GB20" i="6"/>
  <c r="GK20" i="6"/>
  <c r="GA20" i="6"/>
  <c r="GH20" i="6"/>
  <c r="FZ32" i="6"/>
  <c r="GK32" i="6"/>
  <c r="FX32" i="6"/>
  <c r="GI32" i="6"/>
  <c r="FY32" i="6"/>
  <c r="GJ32" i="6"/>
  <c r="FW32" i="6"/>
  <c r="GH32" i="6"/>
  <c r="GP32" i="6"/>
  <c r="FV32" i="6"/>
  <c r="GG32" i="6"/>
  <c r="GR32" i="6"/>
  <c r="GF32" i="6"/>
  <c r="GD32" i="6"/>
  <c r="GQ32" i="6"/>
  <c r="GE32" i="6"/>
  <c r="GN32" i="6"/>
  <c r="GB32" i="6"/>
  <c r="GO32" i="6"/>
  <c r="GM32" i="6"/>
  <c r="GC32" i="6"/>
  <c r="GL32" i="6"/>
  <c r="GA32" i="6"/>
  <c r="GJ37" i="6"/>
  <c r="GI37" i="6"/>
  <c r="GH37" i="6"/>
  <c r="GG37" i="6"/>
  <c r="GO37" i="6"/>
  <c r="GR37" i="6"/>
  <c r="GF37" i="6"/>
  <c r="GC37" i="6"/>
  <c r="GA37" i="6"/>
  <c r="GQ37" i="6"/>
  <c r="GE37" i="6"/>
  <c r="FZ37" i="6"/>
  <c r="GP37" i="6"/>
  <c r="GD37" i="6"/>
  <c r="FY37" i="6"/>
  <c r="FW37" i="6"/>
  <c r="GM37" i="6"/>
  <c r="FV37" i="6"/>
  <c r="GL37" i="6"/>
  <c r="GK37" i="6"/>
  <c r="GB37" i="6"/>
  <c r="GN37" i="6"/>
  <c r="FX37" i="6"/>
  <c r="GP31" i="6"/>
  <c r="GD31" i="6"/>
  <c r="GO31" i="6"/>
  <c r="GC31" i="6"/>
  <c r="GN31" i="6"/>
  <c r="GM31" i="6"/>
  <c r="GL31" i="6"/>
  <c r="FY31" i="6"/>
  <c r="GA31" i="6"/>
  <c r="GK31" i="6"/>
  <c r="FZ31" i="6"/>
  <c r="GJ31" i="6"/>
  <c r="GI31" i="6"/>
  <c r="FW31" i="6"/>
  <c r="GG31" i="6"/>
  <c r="FV31" i="6"/>
  <c r="GR31" i="6"/>
  <c r="GQ31" i="6"/>
  <c r="FX31" i="6"/>
  <c r="GH31" i="6"/>
  <c r="GB31" i="6"/>
  <c r="GF31" i="6"/>
  <c r="GE31" i="6"/>
  <c r="GF4" i="6"/>
  <c r="GQ4" i="6"/>
  <c r="GE4" i="6"/>
  <c r="GO4" i="6"/>
  <c r="GC4" i="6"/>
  <c r="GN4" i="6"/>
  <c r="GB4" i="6"/>
  <c r="GM4" i="6"/>
  <c r="GA4" i="6"/>
  <c r="GL4" i="6"/>
  <c r="FZ4" i="6"/>
  <c r="GI4" i="6"/>
  <c r="FW4" i="6"/>
  <c r="GK4" i="6"/>
  <c r="GJ4" i="6"/>
  <c r="GH4" i="6"/>
  <c r="GD4" i="6"/>
  <c r="FY4" i="6"/>
  <c r="GG4" i="6"/>
  <c r="GP4" i="6"/>
  <c r="FX4" i="6"/>
  <c r="FV4" i="6"/>
  <c r="FZ16" i="6"/>
  <c r="GR16" i="6"/>
  <c r="GF16" i="6"/>
  <c r="FX16" i="6"/>
  <c r="FY16" i="6"/>
  <c r="GQ16" i="6"/>
  <c r="GE16" i="6"/>
  <c r="FW16" i="6"/>
  <c r="GO16" i="6"/>
  <c r="GC16" i="6"/>
  <c r="FV16" i="6"/>
  <c r="GN16" i="6"/>
  <c r="GB16" i="6"/>
  <c r="GM16" i="6"/>
  <c r="GK16" i="6"/>
  <c r="GL16" i="6"/>
  <c r="GI16" i="6"/>
  <c r="GP16" i="6"/>
  <c r="GJ16" i="6"/>
  <c r="GH16" i="6"/>
  <c r="GG16" i="6"/>
  <c r="GD16" i="6"/>
  <c r="GA16" i="6"/>
  <c r="FZ28" i="6"/>
  <c r="GR28" i="6"/>
  <c r="GF28" i="6"/>
  <c r="FY28" i="6"/>
  <c r="GQ28" i="6"/>
  <c r="GE28" i="6"/>
  <c r="FX28" i="6"/>
  <c r="FW28" i="6"/>
  <c r="GO28" i="6"/>
  <c r="GC28" i="6"/>
  <c r="GK28" i="6"/>
  <c r="FV28" i="6"/>
  <c r="GN28" i="6"/>
  <c r="GB28" i="6"/>
  <c r="GM28" i="6"/>
  <c r="GL28" i="6"/>
  <c r="GI28" i="6"/>
  <c r="GJ28" i="6"/>
  <c r="GP28" i="6"/>
  <c r="GD28" i="6"/>
  <c r="GH28" i="6"/>
  <c r="GG28" i="6"/>
  <c r="GA28" i="6"/>
  <c r="GM5" i="6"/>
  <c r="GL5" i="6"/>
  <c r="GJ5" i="6"/>
  <c r="FY5" i="6"/>
  <c r="GI5" i="6"/>
  <c r="GA5" i="6"/>
  <c r="GH5" i="6"/>
  <c r="FZ5" i="6"/>
  <c r="GG5" i="6"/>
  <c r="FW5" i="6"/>
  <c r="GP5" i="6"/>
  <c r="GD5" i="6"/>
  <c r="FV5" i="6"/>
  <c r="GE5" i="6"/>
  <c r="GR5" i="6"/>
  <c r="GC5" i="6"/>
  <c r="GB5" i="6"/>
  <c r="GQ5" i="6"/>
  <c r="GO5" i="6"/>
  <c r="GN5" i="6"/>
  <c r="GK5" i="6"/>
  <c r="FX5" i="6"/>
  <c r="GF5" i="6"/>
  <c r="GM17" i="6"/>
  <c r="GL17" i="6"/>
  <c r="GJ17" i="6"/>
  <c r="GR17" i="6"/>
  <c r="GI17" i="6"/>
  <c r="GF17" i="6"/>
  <c r="GA17" i="6"/>
  <c r="GH17" i="6"/>
  <c r="FY17" i="6"/>
  <c r="FZ17" i="6"/>
  <c r="GG17" i="6"/>
  <c r="FW17" i="6"/>
  <c r="GP17" i="6"/>
  <c r="GD17" i="6"/>
  <c r="FV17" i="6"/>
  <c r="GQ17" i="6"/>
  <c r="GC17" i="6"/>
  <c r="GE17" i="6"/>
  <c r="GB17" i="6"/>
  <c r="GO17" i="6"/>
  <c r="FX17" i="6"/>
  <c r="GN17" i="6"/>
  <c r="GK17" i="6"/>
  <c r="GM29" i="6"/>
  <c r="GL29" i="6"/>
  <c r="GJ29" i="6"/>
  <c r="FY29" i="6"/>
  <c r="GI29" i="6"/>
  <c r="GR29" i="6"/>
  <c r="GA29" i="6"/>
  <c r="GH29" i="6"/>
  <c r="FZ29" i="6"/>
  <c r="GG29" i="6"/>
  <c r="GF29" i="6"/>
  <c r="FW29" i="6"/>
  <c r="GP29" i="6"/>
  <c r="GD29" i="6"/>
  <c r="FV29" i="6"/>
  <c r="GK29" i="6"/>
  <c r="GE29" i="6"/>
  <c r="GC29" i="6"/>
  <c r="GB29" i="6"/>
  <c r="GQ29" i="6"/>
  <c r="GO29" i="6"/>
  <c r="GN29" i="6"/>
  <c r="FX29" i="6"/>
  <c r="D50" i="10"/>
  <c r="D62" i="10"/>
  <c r="D74" i="10"/>
  <c r="D49" i="10"/>
  <c r="D61" i="10"/>
  <c r="D73" i="10"/>
  <c r="FS30" i="6"/>
  <c r="D75" i="10"/>
  <c r="D52" i="10"/>
  <c r="D64" i="10"/>
  <c r="D76" i="10"/>
  <c r="D53" i="10"/>
  <c r="D65" i="10"/>
  <c r="D77" i="10"/>
  <c r="D54" i="10"/>
  <c r="D66" i="10"/>
  <c r="D78" i="10"/>
  <c r="D51" i="10"/>
  <c r="D63" i="10"/>
  <c r="FS20" i="6"/>
  <c r="D55" i="10"/>
  <c r="D67" i="10"/>
  <c r="FS24" i="6"/>
  <c r="D79" i="10"/>
  <c r="D57" i="10"/>
  <c r="D69" i="10"/>
  <c r="D81" i="10"/>
  <c r="FS38" i="6"/>
  <c r="D68" i="10"/>
  <c r="D58" i="10"/>
  <c r="D47" i="10"/>
  <c r="D59" i="10"/>
  <c r="D71" i="10"/>
  <c r="FS37" i="6"/>
  <c r="D56" i="10"/>
  <c r="D70" i="10"/>
  <c r="D48" i="10"/>
  <c r="D60" i="10"/>
  <c r="D72" i="10"/>
  <c r="G64" i="10"/>
  <c r="G53" i="10"/>
  <c r="G65" i="10"/>
  <c r="G77" i="10"/>
  <c r="G54" i="10"/>
  <c r="G66" i="10"/>
  <c r="G78" i="10"/>
  <c r="G48" i="10"/>
  <c r="G72" i="10"/>
  <c r="G55" i="10"/>
  <c r="G67" i="10"/>
  <c r="G79" i="10"/>
  <c r="G56" i="10"/>
  <c r="G68" i="10"/>
  <c r="G80" i="10"/>
  <c r="G52" i="10"/>
  <c r="G76" i="10"/>
  <c r="G57" i="10"/>
  <c r="G69" i="10"/>
  <c r="G81" i="10"/>
  <c r="G58" i="10"/>
  <c r="G70" i="10"/>
  <c r="G47" i="10"/>
  <c r="G59" i="10"/>
  <c r="G71" i="10"/>
  <c r="G60" i="10"/>
  <c r="G49" i="10"/>
  <c r="G61" i="10"/>
  <c r="G73" i="10"/>
  <c r="G50" i="10"/>
  <c r="G62" i="10"/>
  <c r="G74" i="10"/>
  <c r="G51" i="10"/>
  <c r="G63" i="10"/>
  <c r="G75" i="10"/>
  <c r="AC21" i="6"/>
  <c r="H79" i="10"/>
  <c r="H80" i="10"/>
  <c r="Y38" i="6"/>
  <c r="U11" i="6"/>
  <c r="U23" i="6"/>
  <c r="U12" i="6"/>
  <c r="U24" i="6"/>
  <c r="U13" i="6"/>
  <c r="U25" i="6"/>
  <c r="U26" i="6"/>
  <c r="U15" i="6"/>
  <c r="U27" i="6"/>
  <c r="U14" i="6"/>
  <c r="U4" i="6"/>
  <c r="U16" i="6"/>
  <c r="U31" i="6"/>
  <c r="U5" i="6"/>
  <c r="U17" i="6"/>
  <c r="U32" i="6"/>
  <c r="U6" i="6"/>
  <c r="U18" i="6"/>
  <c r="U33" i="6"/>
  <c r="U7" i="6"/>
  <c r="U19" i="6"/>
  <c r="U34" i="6"/>
  <c r="U38" i="6"/>
  <c r="U8" i="6"/>
  <c r="U20" i="6"/>
  <c r="U35" i="6"/>
  <c r="U9" i="6"/>
  <c r="U21" i="6"/>
  <c r="U36" i="6"/>
  <c r="U10" i="6"/>
  <c r="U22" i="6"/>
  <c r="U37" i="6"/>
  <c r="U28" i="6"/>
  <c r="U29" i="6"/>
  <c r="U30" i="6"/>
  <c r="Q28" i="6"/>
  <c r="Q5" i="6"/>
  <c r="Q17" i="6"/>
  <c r="Q29" i="6"/>
  <c r="Q16" i="6"/>
  <c r="Q6" i="6"/>
  <c r="Q18" i="6"/>
  <c r="Q30" i="6"/>
  <c r="Q4" i="6"/>
  <c r="Q7" i="6"/>
  <c r="Q19" i="6"/>
  <c r="Q31" i="6"/>
  <c r="Q8" i="6"/>
  <c r="Q20" i="6"/>
  <c r="Q32" i="6"/>
  <c r="Q27" i="6"/>
  <c r="Q9" i="6"/>
  <c r="Q21" i="6"/>
  <c r="Q33" i="6"/>
  <c r="Q10" i="6"/>
  <c r="Q22" i="6"/>
  <c r="Q34" i="6"/>
  <c r="Q11" i="6"/>
  <c r="Q23" i="6"/>
  <c r="Q35" i="6"/>
  <c r="Q12" i="6"/>
  <c r="Q24" i="6"/>
  <c r="Q36" i="6"/>
  <c r="Q15" i="6"/>
  <c r="Q13" i="6"/>
  <c r="Q25" i="6"/>
  <c r="Q37" i="6"/>
  <c r="Q14" i="6"/>
  <c r="Q26" i="6"/>
  <c r="Q38" i="6"/>
  <c r="M16" i="6"/>
  <c r="M15" i="6"/>
  <c r="M27" i="6"/>
  <c r="M5" i="6"/>
  <c r="M17" i="6"/>
  <c r="M29" i="6"/>
  <c r="M6" i="6"/>
  <c r="M18" i="6"/>
  <c r="M30" i="6"/>
  <c r="M7" i="6"/>
  <c r="M19" i="6"/>
  <c r="M31" i="6"/>
  <c r="M8" i="6"/>
  <c r="M20" i="6"/>
  <c r="M32" i="6"/>
  <c r="M28" i="6"/>
  <c r="M9" i="6"/>
  <c r="M21" i="6"/>
  <c r="M33" i="6"/>
  <c r="M4" i="6"/>
  <c r="M10" i="6"/>
  <c r="M22" i="6"/>
  <c r="M34" i="6"/>
  <c r="M11" i="6"/>
  <c r="M23" i="6"/>
  <c r="M35" i="6"/>
  <c r="M12" i="6"/>
  <c r="M24" i="6"/>
  <c r="M36" i="6"/>
  <c r="M13" i="6"/>
  <c r="M25" i="6"/>
  <c r="M37" i="6"/>
  <c r="M14" i="6"/>
  <c r="M38" i="6"/>
  <c r="I15" i="6"/>
  <c r="I27" i="6"/>
  <c r="I5" i="6"/>
  <c r="I17" i="6"/>
  <c r="I29" i="6"/>
  <c r="I28" i="6"/>
  <c r="I6" i="6"/>
  <c r="I18" i="6"/>
  <c r="I30" i="6"/>
  <c r="I7" i="6"/>
  <c r="I19" i="6"/>
  <c r="I31" i="6"/>
  <c r="I8" i="6"/>
  <c r="I20" i="6"/>
  <c r="I32" i="6"/>
  <c r="I4" i="6"/>
  <c r="I9" i="6"/>
  <c r="I21" i="6"/>
  <c r="I33" i="6"/>
  <c r="I16" i="6"/>
  <c r="I10" i="6"/>
  <c r="I22" i="6"/>
  <c r="I34" i="6"/>
  <c r="I11" i="6"/>
  <c r="I23" i="6"/>
  <c r="I35" i="6"/>
  <c r="I12" i="6"/>
  <c r="I24" i="6"/>
  <c r="I36" i="6"/>
  <c r="I13" i="6"/>
  <c r="I25" i="6"/>
  <c r="I37" i="6"/>
  <c r="I14" i="6"/>
  <c r="I26" i="6"/>
  <c r="I38" i="6"/>
  <c r="E10" i="6"/>
  <c r="E14" i="6"/>
  <c r="E16" i="6"/>
  <c r="E37" i="6"/>
  <c r="E19" i="6"/>
  <c r="E21" i="6"/>
  <c r="E23" i="6"/>
  <c r="E28" i="6"/>
  <c r="E29" i="6"/>
  <c r="E4" i="6"/>
  <c r="E30" i="6"/>
  <c r="E7" i="6"/>
  <c r="E31" i="6"/>
  <c r="E32" i="6"/>
  <c r="E13" i="6"/>
  <c r="E36" i="6"/>
  <c r="E15" i="6"/>
  <c r="E38" i="6"/>
  <c r="E33" i="6"/>
  <c r="E35" i="6"/>
  <c r="E34" i="6"/>
  <c r="E22" i="6"/>
  <c r="E24" i="6"/>
  <c r="E25" i="6"/>
  <c r="FT25" i="6" s="1"/>
  <c r="E26" i="6"/>
  <c r="E27" i="6"/>
  <c r="E5" i="6"/>
  <c r="E17" i="6"/>
  <c r="E6" i="6"/>
  <c r="FT6" i="6" s="1"/>
  <c r="E18" i="6"/>
  <c r="FT18" i="6" s="1"/>
  <c r="E8" i="6"/>
  <c r="E20" i="6"/>
  <c r="E9" i="6"/>
  <c r="E11" i="6"/>
  <c r="E12" i="6"/>
  <c r="FT16" i="6" l="1"/>
  <c r="FT23" i="6"/>
  <c r="FT19" i="6"/>
  <c r="FT15" i="6"/>
  <c r="FT7" i="6"/>
  <c r="FT21" i="6"/>
  <c r="FT13" i="6"/>
  <c r="FT32" i="6"/>
  <c r="FT31" i="6"/>
  <c r="FT5" i="6"/>
  <c r="FT27" i="6"/>
  <c r="FT11" i="6"/>
  <c r="FT9" i="6"/>
  <c r="FT17" i="6"/>
  <c r="FT37" i="6"/>
  <c r="HL17" i="6"/>
  <c r="HL4" i="6"/>
  <c r="HL26" i="6"/>
  <c r="HL14" i="6"/>
  <c r="HL29" i="6"/>
  <c r="HL5" i="6"/>
  <c r="HL28" i="6"/>
  <c r="HL16" i="6"/>
  <c r="HL7" i="6"/>
  <c r="HL33" i="6"/>
  <c r="HL34" i="6"/>
  <c r="FT14" i="6"/>
  <c r="HL37" i="6"/>
  <c r="FT26" i="6"/>
  <c r="FT10" i="6"/>
  <c r="HL25" i="6"/>
  <c r="HL22" i="6"/>
  <c r="HL10" i="6"/>
  <c r="HL21" i="6"/>
  <c r="HL9" i="6"/>
  <c r="HL30" i="6"/>
  <c r="FT24" i="6"/>
  <c r="FT30" i="6"/>
  <c r="HL31" i="6"/>
  <c r="HL13" i="6"/>
  <c r="FT22" i="6"/>
  <c r="FT4" i="6"/>
  <c r="HL6" i="6"/>
  <c r="HL19" i="6"/>
  <c r="FT34" i="6"/>
  <c r="FT29" i="6"/>
  <c r="FT20" i="6"/>
  <c r="FT35" i="6"/>
  <c r="FT28" i="6"/>
  <c r="FT36" i="6"/>
  <c r="HL18" i="6"/>
  <c r="FT8" i="6"/>
  <c r="FT33" i="6"/>
  <c r="HL32" i="6"/>
  <c r="HM32" i="6" s="1"/>
  <c r="CD30" i="3" s="1"/>
  <c r="HL20" i="6"/>
  <c r="HL8" i="6"/>
  <c r="HL27" i="6"/>
  <c r="HL15" i="6"/>
  <c r="HL36" i="6"/>
  <c r="HL24" i="6"/>
  <c r="HL12" i="6"/>
  <c r="HM12" i="6" s="1"/>
  <c r="CD10" i="3" s="1"/>
  <c r="HL23" i="6"/>
  <c r="HM23" i="6" s="1"/>
  <c r="CD21" i="3" s="1"/>
  <c r="HL11" i="6"/>
  <c r="HM11" i="6" s="1"/>
  <c r="CD9" i="3" s="1"/>
  <c r="FT38" i="6"/>
  <c r="FT12" i="6"/>
  <c r="HL38" i="6"/>
  <c r="HM38" i="6" s="1"/>
  <c r="CD36" i="3" s="1"/>
  <c r="HL35" i="6"/>
  <c r="HM13" i="6"/>
  <c r="CD11" i="3" s="1"/>
  <c r="HM5" i="6"/>
  <c r="CD3" i="3" s="1"/>
  <c r="HM28" i="6"/>
  <c r="CD26" i="3" s="1"/>
  <c r="HM7" i="6"/>
  <c r="HM33" i="6"/>
  <c r="CD31" i="3" s="1"/>
  <c r="HM10" i="6"/>
  <c r="CD8" i="3" s="1"/>
  <c r="HM21" i="6"/>
  <c r="CD19" i="3" s="1"/>
  <c r="HM31" i="6"/>
  <c r="CD29" i="3" s="1"/>
  <c r="HM35" i="6"/>
  <c r="CD33" i="3" s="1"/>
  <c r="HM6" i="6"/>
  <c r="CD4" i="3" s="1"/>
  <c r="HM19" i="6"/>
  <c r="CD17" i="3" s="1"/>
  <c r="HM17" i="6"/>
  <c r="CD15" i="3" s="1"/>
  <c r="HM18" i="6"/>
  <c r="CD16" i="3" s="1"/>
  <c r="HM20" i="6"/>
  <c r="CD18" i="3" s="1"/>
  <c r="HM8" i="6"/>
  <c r="CD6" i="3" s="1"/>
  <c r="HM22" i="6"/>
  <c r="CD20" i="3" s="1"/>
  <c r="HM29" i="6"/>
  <c r="CD27" i="3" s="1"/>
  <c r="HM16" i="6"/>
  <c r="CD14" i="3" s="1"/>
  <c r="HM30" i="6"/>
  <c r="CD28" i="3" s="1"/>
  <c r="FR39" i="6"/>
  <c r="FS39" i="6" s="1"/>
  <c r="G56" i="2"/>
  <c r="G43" i="1"/>
  <c r="AQ14" i="2"/>
  <c r="HL39" i="6" l="1"/>
  <c r="CD5" i="3"/>
  <c r="B53" i="10"/>
  <c r="B55" i="10"/>
  <c r="B73" i="10"/>
  <c r="B81" i="10"/>
  <c r="B71" i="10"/>
  <c r="B72" i="10"/>
  <c r="B78" i="10"/>
  <c r="B63" i="10"/>
  <c r="B51" i="10"/>
  <c r="B62" i="10"/>
  <c r="B49" i="10"/>
  <c r="B65" i="10"/>
  <c r="B75" i="10"/>
  <c r="B50" i="10"/>
  <c r="B61" i="10"/>
  <c r="B60" i="10"/>
  <c r="B56" i="10"/>
  <c r="B74" i="10"/>
  <c r="B66" i="10"/>
  <c r="B64" i="10"/>
  <c r="B59" i="10"/>
  <c r="B76" i="10"/>
  <c r="B48" i="10"/>
  <c r="B52" i="10"/>
  <c r="HM9" i="6"/>
  <c r="CD7" i="3" s="1"/>
  <c r="B67" i="10"/>
  <c r="HM24" i="6"/>
  <c r="CD22" i="3" s="1"/>
  <c r="B57" i="10"/>
  <c r="HM14" i="6"/>
  <c r="CD12" i="3" s="1"/>
  <c r="B79" i="10"/>
  <c r="HM36" i="6"/>
  <c r="CD34" i="3" s="1"/>
  <c r="B69" i="10"/>
  <c r="HM26" i="6"/>
  <c r="CD24" i="3" s="1"/>
  <c r="B58" i="10"/>
  <c r="HM15" i="6"/>
  <c r="CD13" i="3" s="1"/>
  <c r="B47" i="10"/>
  <c r="HM4" i="6"/>
  <c r="B70" i="10"/>
  <c r="HM27" i="6"/>
  <c r="CD25" i="3" s="1"/>
  <c r="B80" i="10"/>
  <c r="HM37" i="6"/>
  <c r="CD35" i="3" s="1"/>
  <c r="B77" i="10"/>
  <c r="HM34" i="6"/>
  <c r="CD32" i="3" s="1"/>
  <c r="B68" i="10"/>
  <c r="HM25" i="6"/>
  <c r="CD23" i="3" s="1"/>
  <c r="B54" i="10"/>
  <c r="K2" i="14"/>
  <c r="CD2" i="3" l="1"/>
  <c r="HM39" i="6"/>
  <c r="AG35" i="3"/>
  <c r="AG34" i="3"/>
  <c r="AG33" i="3"/>
  <c r="AG28" i="3"/>
  <c r="AG27" i="3"/>
  <c r="AG26" i="3"/>
  <c r="G33" i="2"/>
  <c r="HO30" i="6" l="1"/>
  <c r="HP30" i="6" s="1"/>
  <c r="FS4" i="6" l="1"/>
  <c r="AE34" i="3" l="1"/>
  <c r="BN34" i="3" s="1"/>
  <c r="AE30" i="3"/>
  <c r="BN30" i="3" s="1"/>
  <c r="AE26" i="3"/>
  <c r="BN26" i="3" s="1"/>
  <c r="AE22" i="3"/>
  <c r="BN22" i="3" s="1"/>
  <c r="AE18" i="3"/>
  <c r="BN18" i="3" s="1"/>
  <c r="AE14" i="3"/>
  <c r="BN14" i="3" s="1"/>
  <c r="AE10" i="3"/>
  <c r="BN10" i="3" s="1"/>
  <c r="AE33" i="3"/>
  <c r="BN33" i="3" s="1"/>
  <c r="AE29" i="3"/>
  <c r="BN29" i="3" s="1"/>
  <c r="AE25" i="3"/>
  <c r="BN25" i="3" s="1"/>
  <c r="AE21" i="3"/>
  <c r="BN21" i="3" s="1"/>
  <c r="AE17" i="3"/>
  <c r="BN17" i="3" s="1"/>
  <c r="AE13" i="3"/>
  <c r="BN13" i="3" s="1"/>
  <c r="AE9" i="3"/>
  <c r="BN9" i="3" s="1"/>
  <c r="AE5" i="3"/>
  <c r="BN5" i="3" s="1"/>
  <c r="AE3" i="3"/>
  <c r="BN3" i="3" s="1"/>
  <c r="AE36" i="3"/>
  <c r="BN36" i="3" s="1"/>
  <c r="AE32" i="3"/>
  <c r="BN32" i="3" s="1"/>
  <c r="AE28" i="3"/>
  <c r="BN28" i="3" s="1"/>
  <c r="AE24" i="3"/>
  <c r="BN24" i="3" s="1"/>
  <c r="AE20" i="3"/>
  <c r="BN20" i="3" s="1"/>
  <c r="AE16" i="3"/>
  <c r="BN16" i="3" s="1"/>
  <c r="AE12" i="3"/>
  <c r="BN12" i="3" s="1"/>
  <c r="AE8" i="3"/>
  <c r="BN8" i="3" s="1"/>
  <c r="AE4" i="3"/>
  <c r="BN4" i="3" s="1"/>
  <c r="AE6" i="3"/>
  <c r="BN6" i="3" s="1"/>
  <c r="AE35" i="3"/>
  <c r="BN35" i="3" s="1"/>
  <c r="AE31" i="3"/>
  <c r="BN31" i="3" s="1"/>
  <c r="AE27" i="3"/>
  <c r="BN27" i="3" s="1"/>
  <c r="AE23" i="3"/>
  <c r="BN23" i="3" s="1"/>
  <c r="AE19" i="3"/>
  <c r="BN19" i="3" s="1"/>
  <c r="AE15" i="3"/>
  <c r="BN15" i="3" s="1"/>
  <c r="AE11" i="3"/>
  <c r="BN11" i="3" s="1"/>
  <c r="AE7" i="3"/>
  <c r="BN7" i="3" s="1"/>
  <c r="AE2" i="3"/>
  <c r="BN2" i="3" s="1"/>
  <c r="H120" i="2" l="1"/>
  <c r="H121" i="2" s="1"/>
  <c r="S2" i="1"/>
  <c r="AE161" i="2" l="1"/>
  <c r="AE159" i="2"/>
  <c r="AE157" i="2"/>
  <c r="AE150" i="2"/>
  <c r="AE147" i="2"/>
  <c r="AE145" i="2"/>
  <c r="AE135" i="2"/>
  <c r="AE133" i="2"/>
  <c r="AE131" i="2"/>
  <c r="AE124" i="2"/>
  <c r="AE121" i="2"/>
  <c r="AE118" i="2"/>
  <c r="AE117" i="2"/>
  <c r="AE107" i="2"/>
  <c r="AE105" i="2"/>
  <c r="AE103" i="2"/>
  <c r="AE93" i="2"/>
  <c r="AE91" i="2"/>
  <c r="AE90" i="2"/>
  <c r="AE89" i="2"/>
  <c r="AE82" i="2"/>
  <c r="AE80" i="2"/>
  <c r="AE78" i="2"/>
  <c r="AE77" i="2"/>
  <c r="AE76" i="2"/>
  <c r="AE67" i="2"/>
  <c r="AE65" i="2"/>
  <c r="AE63" i="2"/>
  <c r="AE54" i="2"/>
  <c r="AE50" i="2"/>
  <c r="AE41" i="2"/>
  <c r="AE32" i="2"/>
  <c r="AE30" i="2"/>
  <c r="AE15" i="2"/>
  <c r="BX34" i="3" l="1"/>
  <c r="CC34" i="3" s="1"/>
  <c r="BX35" i="3"/>
  <c r="CC35" i="3" s="1"/>
  <c r="BX27" i="3"/>
  <c r="CC27" i="3" s="1"/>
  <c r="BX28" i="3"/>
  <c r="CC28" i="3" s="1"/>
  <c r="BX25" i="3"/>
  <c r="CC25" i="3" s="1"/>
  <c r="BX9" i="3"/>
  <c r="CC9" i="3" s="1"/>
  <c r="BX20" i="3"/>
  <c r="CC20" i="3" s="1"/>
  <c r="BX4" i="3"/>
  <c r="CC4" i="3" s="1"/>
  <c r="BX22" i="3"/>
  <c r="CC22" i="3" s="1"/>
  <c r="BX6" i="3"/>
  <c r="CC6" i="3" s="1"/>
  <c r="BX31" i="3"/>
  <c r="CC31" i="3" s="1"/>
  <c r="BX15" i="3"/>
  <c r="CC15" i="3" s="1"/>
  <c r="BX21" i="3"/>
  <c r="CC21" i="3" s="1"/>
  <c r="BX5" i="3"/>
  <c r="CC5" i="3" s="1"/>
  <c r="BX16" i="3"/>
  <c r="CC16" i="3" s="1"/>
  <c r="BX18" i="3"/>
  <c r="CC18" i="3" s="1"/>
  <c r="BX2" i="3"/>
  <c r="CC2" i="3" s="1"/>
  <c r="BX11" i="3"/>
  <c r="CC11" i="3" s="1"/>
  <c r="BX33" i="3"/>
  <c r="CC33" i="3" s="1"/>
  <c r="BX17" i="3"/>
  <c r="CC17" i="3" s="1"/>
  <c r="BX32" i="3"/>
  <c r="CC32" i="3" s="1"/>
  <c r="BX12" i="3"/>
  <c r="CC12" i="3" s="1"/>
  <c r="BX30" i="3"/>
  <c r="CC30" i="3" s="1"/>
  <c r="BX14" i="3"/>
  <c r="CC14" i="3" s="1"/>
  <c r="BX36" i="3"/>
  <c r="CC36" i="3" s="1"/>
  <c r="BX23" i="3"/>
  <c r="CC23" i="3" s="1"/>
  <c r="BX7" i="3"/>
  <c r="CC7" i="3" s="1"/>
  <c r="BX29" i="3"/>
  <c r="CC29" i="3" s="1"/>
  <c r="BX13" i="3"/>
  <c r="CC13" i="3" s="1"/>
  <c r="BX24" i="3"/>
  <c r="CC24" i="3" s="1"/>
  <c r="BX8" i="3"/>
  <c r="CC8" i="3" s="1"/>
  <c r="BX26" i="3"/>
  <c r="CC26" i="3" s="1"/>
  <c r="BX10" i="3"/>
  <c r="CC10" i="3" s="1"/>
  <c r="BX19" i="3"/>
  <c r="CC19" i="3" s="1"/>
  <c r="BX3" i="3"/>
  <c r="CC3" i="3" s="1"/>
  <c r="C41" i="1"/>
  <c r="CE10" i="3" l="1"/>
  <c r="CE8" i="3"/>
  <c r="CE7" i="3"/>
  <c r="CE30" i="3"/>
  <c r="CE32" i="3"/>
  <c r="CE33" i="3"/>
  <c r="CE15" i="3"/>
  <c r="CE6" i="3"/>
  <c r="CE4" i="3"/>
  <c r="CE3" i="3"/>
  <c r="CE14" i="3"/>
  <c r="CE12" i="3"/>
  <c r="CE11" i="3"/>
  <c r="CE18" i="3"/>
  <c r="CE16" i="3"/>
  <c r="CE31" i="3"/>
  <c r="CE22" i="3"/>
  <c r="CE20" i="3"/>
  <c r="CE25" i="3"/>
  <c r="CH33" i="3" l="1"/>
  <c r="CG32" i="3"/>
  <c r="CH32" i="3" s="1"/>
  <c r="M93" i="2"/>
  <c r="G114" i="2"/>
  <c r="L97" i="2" l="1"/>
  <c r="F45" i="1"/>
  <c r="M91" i="2"/>
  <c r="AF36" i="3" l="1"/>
  <c r="AF35" i="3"/>
  <c r="AF34" i="3"/>
  <c r="AF33" i="3"/>
  <c r="AF32" i="3"/>
  <c r="AF31" i="3"/>
  <c r="AF30" i="3"/>
  <c r="AF29" i="3"/>
  <c r="AF28" i="3"/>
  <c r="AF27" i="3"/>
  <c r="AF26" i="3"/>
  <c r="AF25" i="3"/>
  <c r="AF24" i="3"/>
  <c r="BY41" i="3"/>
  <c r="J32" i="2" l="1"/>
  <c r="K32" i="2" s="1"/>
  <c r="J41" i="12" l="1"/>
  <c r="J44" i="12" s="1"/>
  <c r="CE29" i="3" l="1"/>
  <c r="J39" i="12"/>
  <c r="K39" i="12" s="1"/>
  <c r="D45" i="12" s="1"/>
  <c r="CB29" i="3" l="1"/>
  <c r="CE21" i="3" l="1"/>
  <c r="CB21" i="3"/>
  <c r="CE36" i="3" l="1"/>
  <c r="CB36" i="3"/>
  <c r="CE24" i="3"/>
  <c r="CE23" i="3"/>
  <c r="CE5" i="3"/>
  <c r="CE13" i="3"/>
  <c r="CE19" i="3"/>
  <c r="CE9" i="3"/>
  <c r="CB9" i="3"/>
  <c r="CE34" i="3"/>
  <c r="CB17" i="3"/>
  <c r="CB35" i="3"/>
  <c r="CB2" i="3"/>
  <c r="CE27" i="3"/>
  <c r="CE28" i="3"/>
  <c r="CE26" i="3"/>
  <c r="CB4" i="3"/>
  <c r="CB8" i="3"/>
  <c r="CB12" i="3"/>
  <c r="CB16" i="3"/>
  <c r="CB20" i="3"/>
  <c r="CB25" i="3"/>
  <c r="CB30" i="3"/>
  <c r="CB22" i="3"/>
  <c r="CB26" i="3"/>
  <c r="CB31" i="3"/>
  <c r="CB6" i="3"/>
  <c r="CB10" i="3"/>
  <c r="CB14" i="3"/>
  <c r="CB18" i="3"/>
  <c r="CB32" i="3"/>
  <c r="CB3" i="3"/>
  <c r="CB7" i="3"/>
  <c r="CB11" i="3"/>
  <c r="CB15" i="3"/>
  <c r="CB28" i="3"/>
  <c r="CB33" i="3"/>
  <c r="R2" i="1"/>
  <c r="Q2" i="1" s="1"/>
  <c r="M33" i="1"/>
  <c r="N33" i="1" s="1"/>
  <c r="CB24" i="3" l="1"/>
  <c r="CB23" i="3"/>
  <c r="CB13" i="3"/>
  <c r="CB5" i="3"/>
  <c r="CB19" i="3"/>
  <c r="CE35" i="3"/>
  <c r="CB34" i="3"/>
  <c r="CE17" i="3"/>
  <c r="CE2" i="3"/>
  <c r="CB27" i="3"/>
  <c r="C37" i="12"/>
  <c r="A38" i="12" l="1"/>
  <c r="P39" i="1"/>
  <c r="M38" i="1"/>
  <c r="N38" i="1" s="1"/>
  <c r="M37" i="1"/>
  <c r="N37" i="1" s="1"/>
  <c r="M36" i="1"/>
  <c r="N36" i="1" s="1"/>
  <c r="M35" i="1"/>
  <c r="N35" i="1" s="1"/>
  <c r="M34" i="1"/>
  <c r="N34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N39" i="1" l="1"/>
  <c r="M39" i="1"/>
  <c r="AD36" i="3" l="1"/>
  <c r="BM36" i="3" s="1"/>
  <c r="AD35" i="3"/>
  <c r="BM35" i="3" s="1"/>
  <c r="AD34" i="3"/>
  <c r="BM34" i="3" s="1"/>
  <c r="AD33" i="3"/>
  <c r="BM33" i="3" s="1"/>
  <c r="AD32" i="3"/>
  <c r="BM32" i="3" s="1"/>
  <c r="AD31" i="3"/>
  <c r="BM31" i="3" s="1"/>
  <c r="AD30" i="3"/>
  <c r="BM30" i="3" s="1"/>
  <c r="AD29" i="3"/>
  <c r="BM29" i="3" s="1"/>
  <c r="AD28" i="3"/>
  <c r="BM28" i="3" s="1"/>
  <c r="AD27" i="3"/>
  <c r="BM27" i="3" s="1"/>
  <c r="AD26" i="3"/>
  <c r="BM26" i="3" s="1"/>
  <c r="AD25" i="3"/>
  <c r="BM25" i="3" s="1"/>
  <c r="AD24" i="3"/>
  <c r="BM24" i="3" s="1"/>
  <c r="L89" i="2" l="1"/>
  <c r="H133" i="2" l="1"/>
  <c r="L44" i="9"/>
  <c r="L43" i="9"/>
  <c r="L42" i="9"/>
  <c r="L41" i="9"/>
  <c r="L40" i="9"/>
  <c r="L39" i="9"/>
  <c r="L38" i="9"/>
  <c r="L37" i="9"/>
  <c r="L36" i="9"/>
  <c r="L35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F20" i="8"/>
  <c r="C20" i="8"/>
  <c r="F13" i="8"/>
  <c r="N5" i="8"/>
  <c r="N7" i="8" s="1"/>
  <c r="B85" i="10" l="1"/>
  <c r="A85" i="10"/>
  <c r="L45" i="9"/>
  <c r="L30" i="9"/>
  <c r="CS111" i="7"/>
  <c r="CR111" i="7"/>
  <c r="CJ111" i="7"/>
  <c r="CI111" i="7"/>
  <c r="CA111" i="7"/>
  <c r="BZ111" i="7"/>
  <c r="BR111" i="7"/>
  <c r="BQ111" i="7"/>
  <c r="BI111" i="7"/>
  <c r="BH111" i="7"/>
  <c r="AQ111" i="7"/>
  <c r="AP111" i="7"/>
  <c r="AH111" i="7"/>
  <c r="AG111" i="7"/>
  <c r="X111" i="7"/>
  <c r="O111" i="7"/>
  <c r="G111" i="7"/>
  <c r="F111" i="7"/>
  <c r="AY109" i="7"/>
  <c r="AY111" i="7" s="1"/>
  <c r="AZ108" i="7"/>
  <c r="Y108" i="7"/>
  <c r="AZ107" i="7"/>
  <c r="Y107" i="7"/>
  <c r="AZ106" i="7"/>
  <c r="Y106" i="7"/>
  <c r="Y105" i="7"/>
  <c r="Y104" i="7"/>
  <c r="AZ103" i="7"/>
  <c r="Y103" i="7"/>
  <c r="AZ102" i="7"/>
  <c r="Y102" i="7"/>
  <c r="AZ101" i="7"/>
  <c r="Y101" i="7"/>
  <c r="P101" i="7"/>
  <c r="AZ100" i="7"/>
  <c r="Y100" i="7"/>
  <c r="AZ99" i="7"/>
  <c r="Y99" i="7"/>
  <c r="AZ98" i="7"/>
  <c r="Y98" i="7"/>
  <c r="P98" i="7"/>
  <c r="AZ97" i="7"/>
  <c r="Y97" i="7"/>
  <c r="AZ96" i="7"/>
  <c r="Y96" i="7"/>
  <c r="AZ95" i="7"/>
  <c r="Y95" i="7"/>
  <c r="AZ94" i="7"/>
  <c r="Y94" i="7"/>
  <c r="AZ93" i="7"/>
  <c r="Y93" i="7"/>
  <c r="AZ92" i="7"/>
  <c r="Y92" i="7"/>
  <c r="AZ91" i="7"/>
  <c r="Y91" i="7"/>
  <c r="AZ90" i="7"/>
  <c r="Y90" i="7"/>
  <c r="AZ89" i="7"/>
  <c r="Y89" i="7"/>
  <c r="P89" i="7"/>
  <c r="AZ88" i="7"/>
  <c r="Y88" i="7"/>
  <c r="AZ87" i="7"/>
  <c r="Y87" i="7"/>
  <c r="AZ86" i="7"/>
  <c r="Y86" i="7"/>
  <c r="AZ85" i="7"/>
  <c r="Y85" i="7"/>
  <c r="AZ84" i="7"/>
  <c r="Y84" i="7"/>
  <c r="AZ83" i="7"/>
  <c r="Y83" i="7"/>
  <c r="AZ82" i="7"/>
  <c r="Y82" i="7"/>
  <c r="AZ81" i="7"/>
  <c r="Y81" i="7"/>
  <c r="AZ80" i="7"/>
  <c r="Y80" i="7"/>
  <c r="AZ79" i="7"/>
  <c r="Y79" i="7"/>
  <c r="AZ78" i="7"/>
  <c r="Y78" i="7"/>
  <c r="AZ77" i="7"/>
  <c r="Y77" i="7"/>
  <c r="AZ76" i="7"/>
  <c r="Y76" i="7"/>
  <c r="AZ75" i="7"/>
  <c r="Y75" i="7"/>
  <c r="AZ74" i="7"/>
  <c r="Y74" i="7"/>
  <c r="P53" i="7"/>
  <c r="O53" i="7"/>
  <c r="G53" i="7"/>
  <c r="F53" i="7"/>
  <c r="BL101" i="3"/>
  <c r="BY36" i="3"/>
  <c r="AL36" i="3"/>
  <c r="AK36" i="3"/>
  <c r="AJ36" i="3"/>
  <c r="AI36" i="3"/>
  <c r="AH36" i="3"/>
  <c r="AG36" i="3"/>
  <c r="BO36" i="3"/>
  <c r="AC36" i="3"/>
  <c r="BL36" i="3" s="1"/>
  <c r="AB36" i="3"/>
  <c r="BK36" i="3" s="1"/>
  <c r="AA36" i="3"/>
  <c r="BJ36" i="3" s="1"/>
  <c r="Z36" i="3"/>
  <c r="BI36" i="3" s="1"/>
  <c r="Y36" i="3"/>
  <c r="BH36" i="3" s="1"/>
  <c r="X36" i="3"/>
  <c r="BG36" i="3" s="1"/>
  <c r="W36" i="3"/>
  <c r="BF36" i="3" s="1"/>
  <c r="V36" i="3"/>
  <c r="BE36" i="3" s="1"/>
  <c r="U36" i="3"/>
  <c r="BD36" i="3" s="1"/>
  <c r="T36" i="3"/>
  <c r="BC36" i="3" s="1"/>
  <c r="R36" i="3"/>
  <c r="BA36" i="3" s="1"/>
  <c r="Q36" i="3"/>
  <c r="AZ36" i="3" s="1"/>
  <c r="P36" i="3"/>
  <c r="AY36" i="3" s="1"/>
  <c r="O36" i="3"/>
  <c r="AX36" i="3" s="1"/>
  <c r="N36" i="3"/>
  <c r="AW36" i="3" s="1"/>
  <c r="M36" i="3"/>
  <c r="AV36" i="3" s="1"/>
  <c r="L36" i="3"/>
  <c r="AU36" i="3" s="1"/>
  <c r="K36" i="3"/>
  <c r="AT36" i="3" s="1"/>
  <c r="J36" i="3"/>
  <c r="AS36" i="3" s="1"/>
  <c r="I36" i="3"/>
  <c r="AR36" i="3" s="1"/>
  <c r="H36" i="3"/>
  <c r="AQ36" i="3" s="1"/>
  <c r="G36" i="3"/>
  <c r="AP36" i="3" s="1"/>
  <c r="F36" i="3"/>
  <c r="AO36" i="3" s="1"/>
  <c r="E36" i="3"/>
  <c r="AN36" i="3" s="1"/>
  <c r="D36" i="3"/>
  <c r="BY35" i="3"/>
  <c r="AL35" i="3"/>
  <c r="AK35" i="3"/>
  <c r="AJ35" i="3"/>
  <c r="AI35" i="3"/>
  <c r="AH35" i="3"/>
  <c r="BO35" i="3"/>
  <c r="AC35" i="3"/>
  <c r="BL35" i="3" s="1"/>
  <c r="AB35" i="3"/>
  <c r="BK35" i="3" s="1"/>
  <c r="AA35" i="3"/>
  <c r="BJ35" i="3" s="1"/>
  <c r="Z35" i="3"/>
  <c r="BI35" i="3" s="1"/>
  <c r="Y35" i="3"/>
  <c r="BH35" i="3" s="1"/>
  <c r="X35" i="3"/>
  <c r="BG35" i="3" s="1"/>
  <c r="W35" i="3"/>
  <c r="BF35" i="3" s="1"/>
  <c r="V35" i="3"/>
  <c r="BE35" i="3" s="1"/>
  <c r="U35" i="3"/>
  <c r="BD35" i="3" s="1"/>
  <c r="T35" i="3"/>
  <c r="BC35" i="3" s="1"/>
  <c r="R35" i="3"/>
  <c r="BA35" i="3" s="1"/>
  <c r="Q35" i="3"/>
  <c r="AZ35" i="3" s="1"/>
  <c r="P35" i="3"/>
  <c r="AY35" i="3" s="1"/>
  <c r="O35" i="3"/>
  <c r="AX35" i="3" s="1"/>
  <c r="N35" i="3"/>
  <c r="AW35" i="3" s="1"/>
  <c r="M35" i="3"/>
  <c r="AV35" i="3" s="1"/>
  <c r="L35" i="3"/>
  <c r="AU35" i="3" s="1"/>
  <c r="K35" i="3"/>
  <c r="AT35" i="3" s="1"/>
  <c r="J35" i="3"/>
  <c r="AS35" i="3" s="1"/>
  <c r="I35" i="3"/>
  <c r="AR35" i="3" s="1"/>
  <c r="H35" i="3"/>
  <c r="AQ35" i="3" s="1"/>
  <c r="G35" i="3"/>
  <c r="AP35" i="3" s="1"/>
  <c r="F35" i="3"/>
  <c r="AO35" i="3" s="1"/>
  <c r="E35" i="3"/>
  <c r="AN35" i="3" s="1"/>
  <c r="D35" i="3"/>
  <c r="BY34" i="3"/>
  <c r="AL34" i="3"/>
  <c r="AK34" i="3"/>
  <c r="AJ34" i="3"/>
  <c r="AI34" i="3"/>
  <c r="AH34" i="3"/>
  <c r="BO34" i="3"/>
  <c r="AC34" i="3"/>
  <c r="BL34" i="3" s="1"/>
  <c r="AB34" i="3"/>
  <c r="BK34" i="3" s="1"/>
  <c r="AA34" i="3"/>
  <c r="BJ34" i="3" s="1"/>
  <c r="Z34" i="3"/>
  <c r="BI34" i="3" s="1"/>
  <c r="Y34" i="3"/>
  <c r="BH34" i="3" s="1"/>
  <c r="X34" i="3"/>
  <c r="BG34" i="3" s="1"/>
  <c r="W34" i="3"/>
  <c r="BF34" i="3" s="1"/>
  <c r="V34" i="3"/>
  <c r="BE34" i="3" s="1"/>
  <c r="U34" i="3"/>
  <c r="BD34" i="3" s="1"/>
  <c r="T34" i="3"/>
  <c r="BC34" i="3" s="1"/>
  <c r="R34" i="3"/>
  <c r="BA34" i="3" s="1"/>
  <c r="Q34" i="3"/>
  <c r="AZ34" i="3" s="1"/>
  <c r="P34" i="3"/>
  <c r="AY34" i="3" s="1"/>
  <c r="O34" i="3"/>
  <c r="AX34" i="3" s="1"/>
  <c r="N34" i="3"/>
  <c r="AW34" i="3" s="1"/>
  <c r="M34" i="3"/>
  <c r="AV34" i="3" s="1"/>
  <c r="L34" i="3"/>
  <c r="AU34" i="3" s="1"/>
  <c r="K34" i="3"/>
  <c r="AT34" i="3" s="1"/>
  <c r="J34" i="3"/>
  <c r="AS34" i="3" s="1"/>
  <c r="I34" i="3"/>
  <c r="AR34" i="3" s="1"/>
  <c r="H34" i="3"/>
  <c r="AQ34" i="3" s="1"/>
  <c r="G34" i="3"/>
  <c r="AP34" i="3" s="1"/>
  <c r="F34" i="3"/>
  <c r="AO34" i="3" s="1"/>
  <c r="E34" i="3"/>
  <c r="AN34" i="3" s="1"/>
  <c r="D34" i="3"/>
  <c r="BY33" i="3"/>
  <c r="AL33" i="3"/>
  <c r="AK33" i="3"/>
  <c r="AJ33" i="3"/>
  <c r="AI33" i="3"/>
  <c r="AH33" i="3"/>
  <c r="BO33" i="3"/>
  <c r="AC33" i="3"/>
  <c r="BL33" i="3" s="1"/>
  <c r="AB33" i="3"/>
  <c r="BK33" i="3" s="1"/>
  <c r="AA33" i="3"/>
  <c r="BJ33" i="3" s="1"/>
  <c r="Z33" i="3"/>
  <c r="BI33" i="3" s="1"/>
  <c r="Y33" i="3"/>
  <c r="BH33" i="3" s="1"/>
  <c r="X33" i="3"/>
  <c r="BG33" i="3" s="1"/>
  <c r="W33" i="3"/>
  <c r="BF33" i="3" s="1"/>
  <c r="V33" i="3"/>
  <c r="BE33" i="3" s="1"/>
  <c r="U33" i="3"/>
  <c r="BD33" i="3" s="1"/>
  <c r="T33" i="3"/>
  <c r="BC33" i="3" s="1"/>
  <c r="R33" i="3"/>
  <c r="BA33" i="3" s="1"/>
  <c r="Q33" i="3"/>
  <c r="AZ33" i="3" s="1"/>
  <c r="P33" i="3"/>
  <c r="AY33" i="3" s="1"/>
  <c r="O33" i="3"/>
  <c r="AX33" i="3" s="1"/>
  <c r="N33" i="3"/>
  <c r="AW33" i="3" s="1"/>
  <c r="M33" i="3"/>
  <c r="AV33" i="3" s="1"/>
  <c r="L33" i="3"/>
  <c r="AU33" i="3" s="1"/>
  <c r="K33" i="3"/>
  <c r="AT33" i="3" s="1"/>
  <c r="J33" i="3"/>
  <c r="AS33" i="3" s="1"/>
  <c r="I33" i="3"/>
  <c r="AR33" i="3" s="1"/>
  <c r="H33" i="3"/>
  <c r="AQ33" i="3" s="1"/>
  <c r="G33" i="3"/>
  <c r="AP33" i="3" s="1"/>
  <c r="F33" i="3"/>
  <c r="AO33" i="3" s="1"/>
  <c r="E33" i="3"/>
  <c r="AN33" i="3" s="1"/>
  <c r="D33" i="3"/>
  <c r="BY32" i="3"/>
  <c r="AL32" i="3"/>
  <c r="AK32" i="3"/>
  <c r="AJ32" i="3"/>
  <c r="AI32" i="3"/>
  <c r="AH32" i="3"/>
  <c r="AG32" i="3"/>
  <c r="BO32" i="3"/>
  <c r="AC32" i="3"/>
  <c r="BL32" i="3" s="1"/>
  <c r="AB32" i="3"/>
  <c r="BK32" i="3" s="1"/>
  <c r="AA32" i="3"/>
  <c r="BJ32" i="3" s="1"/>
  <c r="Z32" i="3"/>
  <c r="BI32" i="3" s="1"/>
  <c r="Y32" i="3"/>
  <c r="BH32" i="3" s="1"/>
  <c r="X32" i="3"/>
  <c r="BG32" i="3" s="1"/>
  <c r="W32" i="3"/>
  <c r="BF32" i="3" s="1"/>
  <c r="V32" i="3"/>
  <c r="BE32" i="3" s="1"/>
  <c r="U32" i="3"/>
  <c r="BD32" i="3" s="1"/>
  <c r="T32" i="3"/>
  <c r="BC32" i="3" s="1"/>
  <c r="R32" i="3"/>
  <c r="BA32" i="3" s="1"/>
  <c r="Q32" i="3"/>
  <c r="AZ32" i="3" s="1"/>
  <c r="P32" i="3"/>
  <c r="AY32" i="3" s="1"/>
  <c r="O32" i="3"/>
  <c r="AX32" i="3" s="1"/>
  <c r="N32" i="3"/>
  <c r="AW32" i="3" s="1"/>
  <c r="M32" i="3"/>
  <c r="AV32" i="3" s="1"/>
  <c r="L32" i="3"/>
  <c r="AU32" i="3" s="1"/>
  <c r="K32" i="3"/>
  <c r="AT32" i="3" s="1"/>
  <c r="J32" i="3"/>
  <c r="AS32" i="3" s="1"/>
  <c r="I32" i="3"/>
  <c r="AR32" i="3" s="1"/>
  <c r="H32" i="3"/>
  <c r="AQ32" i="3" s="1"/>
  <c r="G32" i="3"/>
  <c r="AP32" i="3" s="1"/>
  <c r="F32" i="3"/>
  <c r="AO32" i="3" s="1"/>
  <c r="E32" i="3"/>
  <c r="AN32" i="3" s="1"/>
  <c r="D32" i="3"/>
  <c r="BY31" i="3"/>
  <c r="AL31" i="3"/>
  <c r="AK31" i="3"/>
  <c r="AJ31" i="3"/>
  <c r="AI31" i="3"/>
  <c r="AH31" i="3"/>
  <c r="AG31" i="3"/>
  <c r="BO31" i="3"/>
  <c r="AC31" i="3"/>
  <c r="BL31" i="3" s="1"/>
  <c r="AB31" i="3"/>
  <c r="BK31" i="3" s="1"/>
  <c r="AA31" i="3"/>
  <c r="BJ31" i="3" s="1"/>
  <c r="Z31" i="3"/>
  <c r="BI31" i="3" s="1"/>
  <c r="Y31" i="3"/>
  <c r="BH31" i="3" s="1"/>
  <c r="X31" i="3"/>
  <c r="BG31" i="3" s="1"/>
  <c r="W31" i="3"/>
  <c r="BF31" i="3" s="1"/>
  <c r="V31" i="3"/>
  <c r="BE31" i="3" s="1"/>
  <c r="U31" i="3"/>
  <c r="BD31" i="3" s="1"/>
  <c r="T31" i="3"/>
  <c r="BC31" i="3" s="1"/>
  <c r="R31" i="3"/>
  <c r="BA31" i="3" s="1"/>
  <c r="Q31" i="3"/>
  <c r="AZ31" i="3" s="1"/>
  <c r="P31" i="3"/>
  <c r="AY31" i="3" s="1"/>
  <c r="O31" i="3"/>
  <c r="AX31" i="3" s="1"/>
  <c r="N31" i="3"/>
  <c r="AW31" i="3" s="1"/>
  <c r="M31" i="3"/>
  <c r="AV31" i="3" s="1"/>
  <c r="L31" i="3"/>
  <c r="AU31" i="3" s="1"/>
  <c r="K31" i="3"/>
  <c r="AT31" i="3" s="1"/>
  <c r="J31" i="3"/>
  <c r="AS31" i="3" s="1"/>
  <c r="I31" i="3"/>
  <c r="AR31" i="3" s="1"/>
  <c r="H31" i="3"/>
  <c r="AQ31" i="3" s="1"/>
  <c r="G31" i="3"/>
  <c r="AP31" i="3" s="1"/>
  <c r="F31" i="3"/>
  <c r="AO31" i="3" s="1"/>
  <c r="E31" i="3"/>
  <c r="AN31" i="3" s="1"/>
  <c r="D31" i="3"/>
  <c r="BY30" i="3"/>
  <c r="AL30" i="3"/>
  <c r="AK30" i="3"/>
  <c r="AJ30" i="3"/>
  <c r="AI30" i="3"/>
  <c r="AH30" i="3"/>
  <c r="AG30" i="3"/>
  <c r="BO30" i="3"/>
  <c r="AC30" i="3"/>
  <c r="BL30" i="3" s="1"/>
  <c r="AB30" i="3"/>
  <c r="BK30" i="3" s="1"/>
  <c r="AA30" i="3"/>
  <c r="BJ30" i="3" s="1"/>
  <c r="Z30" i="3"/>
  <c r="BI30" i="3" s="1"/>
  <c r="Y30" i="3"/>
  <c r="BH30" i="3" s="1"/>
  <c r="X30" i="3"/>
  <c r="BG30" i="3" s="1"/>
  <c r="W30" i="3"/>
  <c r="BF30" i="3" s="1"/>
  <c r="V30" i="3"/>
  <c r="BE30" i="3" s="1"/>
  <c r="U30" i="3"/>
  <c r="BD30" i="3" s="1"/>
  <c r="T30" i="3"/>
  <c r="BC30" i="3" s="1"/>
  <c r="R30" i="3"/>
  <c r="BA30" i="3" s="1"/>
  <c r="Q30" i="3"/>
  <c r="AZ30" i="3" s="1"/>
  <c r="P30" i="3"/>
  <c r="AY30" i="3" s="1"/>
  <c r="O30" i="3"/>
  <c r="AX30" i="3" s="1"/>
  <c r="N30" i="3"/>
  <c r="AW30" i="3" s="1"/>
  <c r="M30" i="3"/>
  <c r="AV30" i="3" s="1"/>
  <c r="L30" i="3"/>
  <c r="AU30" i="3" s="1"/>
  <c r="K30" i="3"/>
  <c r="AT30" i="3" s="1"/>
  <c r="J30" i="3"/>
  <c r="AS30" i="3" s="1"/>
  <c r="I30" i="3"/>
  <c r="AR30" i="3" s="1"/>
  <c r="H30" i="3"/>
  <c r="AQ30" i="3" s="1"/>
  <c r="G30" i="3"/>
  <c r="AP30" i="3" s="1"/>
  <c r="F30" i="3"/>
  <c r="AO30" i="3" s="1"/>
  <c r="E30" i="3"/>
  <c r="AN30" i="3" s="1"/>
  <c r="D30" i="3"/>
  <c r="BY29" i="3"/>
  <c r="AL29" i="3"/>
  <c r="AK29" i="3"/>
  <c r="AJ29" i="3"/>
  <c r="AI29" i="3"/>
  <c r="AH29" i="3"/>
  <c r="AG29" i="3"/>
  <c r="BO29" i="3"/>
  <c r="AC29" i="3"/>
  <c r="BL29" i="3" s="1"/>
  <c r="AB29" i="3"/>
  <c r="BK29" i="3" s="1"/>
  <c r="AA29" i="3"/>
  <c r="BJ29" i="3" s="1"/>
  <c r="Z29" i="3"/>
  <c r="BI29" i="3" s="1"/>
  <c r="Y29" i="3"/>
  <c r="BH29" i="3" s="1"/>
  <c r="X29" i="3"/>
  <c r="BG29" i="3" s="1"/>
  <c r="W29" i="3"/>
  <c r="BF29" i="3" s="1"/>
  <c r="V29" i="3"/>
  <c r="BE29" i="3" s="1"/>
  <c r="U29" i="3"/>
  <c r="BD29" i="3" s="1"/>
  <c r="T29" i="3"/>
  <c r="BC29" i="3" s="1"/>
  <c r="R29" i="3"/>
  <c r="BA29" i="3" s="1"/>
  <c r="Q29" i="3"/>
  <c r="AZ29" i="3" s="1"/>
  <c r="P29" i="3"/>
  <c r="AY29" i="3" s="1"/>
  <c r="O29" i="3"/>
  <c r="AX29" i="3" s="1"/>
  <c r="N29" i="3"/>
  <c r="AW29" i="3" s="1"/>
  <c r="M29" i="3"/>
  <c r="AV29" i="3" s="1"/>
  <c r="L29" i="3"/>
  <c r="AU29" i="3" s="1"/>
  <c r="K29" i="3"/>
  <c r="AT29" i="3" s="1"/>
  <c r="J29" i="3"/>
  <c r="AS29" i="3" s="1"/>
  <c r="I29" i="3"/>
  <c r="AR29" i="3" s="1"/>
  <c r="H29" i="3"/>
  <c r="AQ29" i="3" s="1"/>
  <c r="G29" i="3"/>
  <c r="AP29" i="3" s="1"/>
  <c r="F29" i="3"/>
  <c r="AO29" i="3" s="1"/>
  <c r="E29" i="3"/>
  <c r="AN29" i="3" s="1"/>
  <c r="D29" i="3"/>
  <c r="BY28" i="3"/>
  <c r="AL28" i="3"/>
  <c r="AK28" i="3"/>
  <c r="AJ28" i="3"/>
  <c r="AI28" i="3"/>
  <c r="AH28" i="3"/>
  <c r="BO28" i="3"/>
  <c r="AC28" i="3"/>
  <c r="BL28" i="3" s="1"/>
  <c r="AB28" i="3"/>
  <c r="BK28" i="3" s="1"/>
  <c r="AA28" i="3"/>
  <c r="BJ28" i="3" s="1"/>
  <c r="Z28" i="3"/>
  <c r="BI28" i="3" s="1"/>
  <c r="Y28" i="3"/>
  <c r="BH28" i="3" s="1"/>
  <c r="X28" i="3"/>
  <c r="BG28" i="3" s="1"/>
  <c r="W28" i="3"/>
  <c r="BF28" i="3" s="1"/>
  <c r="V28" i="3"/>
  <c r="BE28" i="3" s="1"/>
  <c r="U28" i="3"/>
  <c r="BD28" i="3" s="1"/>
  <c r="T28" i="3"/>
  <c r="BC28" i="3" s="1"/>
  <c r="R28" i="3"/>
  <c r="BA28" i="3" s="1"/>
  <c r="Q28" i="3"/>
  <c r="AZ28" i="3" s="1"/>
  <c r="P28" i="3"/>
  <c r="AY28" i="3" s="1"/>
  <c r="O28" i="3"/>
  <c r="AX28" i="3" s="1"/>
  <c r="N28" i="3"/>
  <c r="AW28" i="3" s="1"/>
  <c r="M28" i="3"/>
  <c r="AV28" i="3" s="1"/>
  <c r="L28" i="3"/>
  <c r="AU28" i="3" s="1"/>
  <c r="K28" i="3"/>
  <c r="AT28" i="3" s="1"/>
  <c r="J28" i="3"/>
  <c r="AS28" i="3" s="1"/>
  <c r="I28" i="3"/>
  <c r="AR28" i="3" s="1"/>
  <c r="H28" i="3"/>
  <c r="AQ28" i="3" s="1"/>
  <c r="G28" i="3"/>
  <c r="AP28" i="3" s="1"/>
  <c r="F28" i="3"/>
  <c r="AO28" i="3" s="1"/>
  <c r="E28" i="3"/>
  <c r="AN28" i="3" s="1"/>
  <c r="D28" i="3"/>
  <c r="BY27" i="3"/>
  <c r="AL27" i="3"/>
  <c r="AK27" i="3"/>
  <c r="AJ27" i="3"/>
  <c r="AI27" i="3"/>
  <c r="AH27" i="3"/>
  <c r="BO27" i="3"/>
  <c r="AC27" i="3"/>
  <c r="BL27" i="3" s="1"/>
  <c r="AB27" i="3"/>
  <c r="BK27" i="3" s="1"/>
  <c r="AA27" i="3"/>
  <c r="BJ27" i="3" s="1"/>
  <c r="Z27" i="3"/>
  <c r="BI27" i="3" s="1"/>
  <c r="Y27" i="3"/>
  <c r="BH27" i="3" s="1"/>
  <c r="X27" i="3"/>
  <c r="BG27" i="3" s="1"/>
  <c r="W27" i="3"/>
  <c r="BF27" i="3" s="1"/>
  <c r="V27" i="3"/>
  <c r="BE27" i="3" s="1"/>
  <c r="U27" i="3"/>
  <c r="BD27" i="3" s="1"/>
  <c r="T27" i="3"/>
  <c r="BC27" i="3" s="1"/>
  <c r="R27" i="3"/>
  <c r="BA27" i="3" s="1"/>
  <c r="Q27" i="3"/>
  <c r="AZ27" i="3" s="1"/>
  <c r="P27" i="3"/>
  <c r="AY27" i="3" s="1"/>
  <c r="O27" i="3"/>
  <c r="AX27" i="3" s="1"/>
  <c r="N27" i="3"/>
  <c r="AW27" i="3" s="1"/>
  <c r="M27" i="3"/>
  <c r="AV27" i="3" s="1"/>
  <c r="L27" i="3"/>
  <c r="AU27" i="3" s="1"/>
  <c r="K27" i="3"/>
  <c r="AT27" i="3" s="1"/>
  <c r="J27" i="3"/>
  <c r="AS27" i="3" s="1"/>
  <c r="I27" i="3"/>
  <c r="AR27" i="3" s="1"/>
  <c r="H27" i="3"/>
  <c r="AQ27" i="3" s="1"/>
  <c r="G27" i="3"/>
  <c r="AP27" i="3" s="1"/>
  <c r="F27" i="3"/>
  <c r="AO27" i="3" s="1"/>
  <c r="E27" i="3"/>
  <c r="AN27" i="3" s="1"/>
  <c r="D27" i="3"/>
  <c r="BY26" i="3"/>
  <c r="AL26" i="3"/>
  <c r="AK26" i="3"/>
  <c r="AJ26" i="3"/>
  <c r="AI26" i="3"/>
  <c r="AH26" i="3"/>
  <c r="BO26" i="3"/>
  <c r="AC26" i="3"/>
  <c r="BL26" i="3" s="1"/>
  <c r="AB26" i="3"/>
  <c r="BK26" i="3" s="1"/>
  <c r="AA26" i="3"/>
  <c r="BJ26" i="3" s="1"/>
  <c r="Z26" i="3"/>
  <c r="BI26" i="3" s="1"/>
  <c r="Y26" i="3"/>
  <c r="BH26" i="3" s="1"/>
  <c r="X26" i="3"/>
  <c r="BG26" i="3" s="1"/>
  <c r="W26" i="3"/>
  <c r="BF26" i="3" s="1"/>
  <c r="V26" i="3"/>
  <c r="BE26" i="3" s="1"/>
  <c r="U26" i="3"/>
  <c r="BD26" i="3" s="1"/>
  <c r="T26" i="3"/>
  <c r="BC26" i="3" s="1"/>
  <c r="R26" i="3"/>
  <c r="BA26" i="3" s="1"/>
  <c r="Q26" i="3"/>
  <c r="AZ26" i="3" s="1"/>
  <c r="P26" i="3"/>
  <c r="AY26" i="3" s="1"/>
  <c r="O26" i="3"/>
  <c r="AX26" i="3" s="1"/>
  <c r="N26" i="3"/>
  <c r="AW26" i="3" s="1"/>
  <c r="M26" i="3"/>
  <c r="AV26" i="3" s="1"/>
  <c r="L26" i="3"/>
  <c r="AU26" i="3" s="1"/>
  <c r="K26" i="3"/>
  <c r="AT26" i="3" s="1"/>
  <c r="J26" i="3"/>
  <c r="AS26" i="3" s="1"/>
  <c r="I26" i="3"/>
  <c r="AR26" i="3" s="1"/>
  <c r="H26" i="3"/>
  <c r="AQ26" i="3" s="1"/>
  <c r="G26" i="3"/>
  <c r="AP26" i="3" s="1"/>
  <c r="F26" i="3"/>
  <c r="AO26" i="3" s="1"/>
  <c r="E26" i="3"/>
  <c r="AN26" i="3" s="1"/>
  <c r="D26" i="3"/>
  <c r="BY25" i="3"/>
  <c r="AL25" i="3"/>
  <c r="AK25" i="3"/>
  <c r="AJ25" i="3"/>
  <c r="AI25" i="3"/>
  <c r="AH25" i="3"/>
  <c r="AG25" i="3"/>
  <c r="BO25" i="3"/>
  <c r="AC25" i="3"/>
  <c r="BL25" i="3" s="1"/>
  <c r="AB25" i="3"/>
  <c r="BK25" i="3" s="1"/>
  <c r="AA25" i="3"/>
  <c r="BJ25" i="3" s="1"/>
  <c r="Z25" i="3"/>
  <c r="BI25" i="3" s="1"/>
  <c r="Y25" i="3"/>
  <c r="BH25" i="3" s="1"/>
  <c r="X25" i="3"/>
  <c r="BG25" i="3" s="1"/>
  <c r="W25" i="3"/>
  <c r="BF25" i="3" s="1"/>
  <c r="V25" i="3"/>
  <c r="BE25" i="3" s="1"/>
  <c r="U25" i="3"/>
  <c r="BD25" i="3" s="1"/>
  <c r="T25" i="3"/>
  <c r="BC25" i="3" s="1"/>
  <c r="R25" i="3"/>
  <c r="BA25" i="3" s="1"/>
  <c r="Q25" i="3"/>
  <c r="AZ25" i="3" s="1"/>
  <c r="P25" i="3"/>
  <c r="AY25" i="3" s="1"/>
  <c r="O25" i="3"/>
  <c r="AX25" i="3" s="1"/>
  <c r="N25" i="3"/>
  <c r="AW25" i="3" s="1"/>
  <c r="M25" i="3"/>
  <c r="AV25" i="3" s="1"/>
  <c r="L25" i="3"/>
  <c r="AU25" i="3" s="1"/>
  <c r="K25" i="3"/>
  <c r="AT25" i="3" s="1"/>
  <c r="J25" i="3"/>
  <c r="AS25" i="3" s="1"/>
  <c r="I25" i="3"/>
  <c r="AR25" i="3" s="1"/>
  <c r="H25" i="3"/>
  <c r="AQ25" i="3" s="1"/>
  <c r="G25" i="3"/>
  <c r="AP25" i="3" s="1"/>
  <c r="F25" i="3"/>
  <c r="AO25" i="3" s="1"/>
  <c r="E25" i="3"/>
  <c r="AN25" i="3" s="1"/>
  <c r="D25" i="3"/>
  <c r="BY24" i="3"/>
  <c r="AL24" i="3"/>
  <c r="AK24" i="3"/>
  <c r="AJ24" i="3"/>
  <c r="AI24" i="3"/>
  <c r="AH24" i="3"/>
  <c r="AG24" i="3"/>
  <c r="BO24" i="3"/>
  <c r="AC24" i="3"/>
  <c r="BL24" i="3" s="1"/>
  <c r="AB24" i="3"/>
  <c r="BK24" i="3" s="1"/>
  <c r="AA24" i="3"/>
  <c r="BJ24" i="3" s="1"/>
  <c r="Z24" i="3"/>
  <c r="BI24" i="3" s="1"/>
  <c r="Y24" i="3"/>
  <c r="BH24" i="3" s="1"/>
  <c r="X24" i="3"/>
  <c r="BG24" i="3" s="1"/>
  <c r="W24" i="3"/>
  <c r="BF24" i="3" s="1"/>
  <c r="V24" i="3"/>
  <c r="BE24" i="3" s="1"/>
  <c r="U24" i="3"/>
  <c r="BD24" i="3" s="1"/>
  <c r="T24" i="3"/>
  <c r="BC24" i="3" s="1"/>
  <c r="R24" i="3"/>
  <c r="BA24" i="3" s="1"/>
  <c r="Q24" i="3"/>
  <c r="AZ24" i="3" s="1"/>
  <c r="P24" i="3"/>
  <c r="AY24" i="3" s="1"/>
  <c r="O24" i="3"/>
  <c r="AX24" i="3" s="1"/>
  <c r="N24" i="3"/>
  <c r="AW24" i="3" s="1"/>
  <c r="M24" i="3"/>
  <c r="AV24" i="3" s="1"/>
  <c r="L24" i="3"/>
  <c r="AU24" i="3" s="1"/>
  <c r="K24" i="3"/>
  <c r="AT24" i="3" s="1"/>
  <c r="J24" i="3"/>
  <c r="AS24" i="3" s="1"/>
  <c r="I24" i="3"/>
  <c r="AR24" i="3" s="1"/>
  <c r="H24" i="3"/>
  <c r="AQ24" i="3" s="1"/>
  <c r="G24" i="3"/>
  <c r="AP24" i="3" s="1"/>
  <c r="F24" i="3"/>
  <c r="AO24" i="3" s="1"/>
  <c r="E24" i="3"/>
  <c r="AN24" i="3" s="1"/>
  <c r="D24" i="3"/>
  <c r="BY23" i="3"/>
  <c r="AL23" i="3"/>
  <c r="AK23" i="3"/>
  <c r="AJ23" i="3"/>
  <c r="AI23" i="3"/>
  <c r="AH23" i="3"/>
  <c r="AG23" i="3"/>
  <c r="AF23" i="3"/>
  <c r="BO23" i="3" s="1"/>
  <c r="AD23" i="3"/>
  <c r="BM23" i="3" s="1"/>
  <c r="AC23" i="3"/>
  <c r="BL23" i="3" s="1"/>
  <c r="AB23" i="3"/>
  <c r="BK23" i="3" s="1"/>
  <c r="AA23" i="3"/>
  <c r="BJ23" i="3" s="1"/>
  <c r="Z23" i="3"/>
  <c r="BI23" i="3" s="1"/>
  <c r="Y23" i="3"/>
  <c r="BH23" i="3" s="1"/>
  <c r="X23" i="3"/>
  <c r="BG23" i="3" s="1"/>
  <c r="W23" i="3"/>
  <c r="BF23" i="3" s="1"/>
  <c r="V23" i="3"/>
  <c r="BE23" i="3" s="1"/>
  <c r="U23" i="3"/>
  <c r="BD23" i="3" s="1"/>
  <c r="T23" i="3"/>
  <c r="BC23" i="3" s="1"/>
  <c r="R23" i="3"/>
  <c r="BA23" i="3" s="1"/>
  <c r="Q23" i="3"/>
  <c r="AZ23" i="3" s="1"/>
  <c r="P23" i="3"/>
  <c r="AY23" i="3" s="1"/>
  <c r="O23" i="3"/>
  <c r="AX23" i="3" s="1"/>
  <c r="N23" i="3"/>
  <c r="AW23" i="3" s="1"/>
  <c r="M23" i="3"/>
  <c r="AV23" i="3" s="1"/>
  <c r="L23" i="3"/>
  <c r="AU23" i="3" s="1"/>
  <c r="K23" i="3"/>
  <c r="AT23" i="3" s="1"/>
  <c r="J23" i="3"/>
  <c r="AS23" i="3" s="1"/>
  <c r="I23" i="3"/>
  <c r="AR23" i="3" s="1"/>
  <c r="H23" i="3"/>
  <c r="AQ23" i="3" s="1"/>
  <c r="G23" i="3"/>
  <c r="AP23" i="3" s="1"/>
  <c r="F23" i="3"/>
  <c r="AO23" i="3" s="1"/>
  <c r="E23" i="3"/>
  <c r="AN23" i="3" s="1"/>
  <c r="D23" i="3"/>
  <c r="BY22" i="3"/>
  <c r="AL22" i="3"/>
  <c r="AK22" i="3"/>
  <c r="AJ22" i="3"/>
  <c r="AI22" i="3"/>
  <c r="AH22" i="3"/>
  <c r="AG22" i="3"/>
  <c r="AF22" i="3"/>
  <c r="BO22" i="3" s="1"/>
  <c r="AD22" i="3"/>
  <c r="BM22" i="3" s="1"/>
  <c r="AC22" i="3"/>
  <c r="BL22" i="3" s="1"/>
  <c r="AB22" i="3"/>
  <c r="BK22" i="3" s="1"/>
  <c r="AA22" i="3"/>
  <c r="BJ22" i="3" s="1"/>
  <c r="Z22" i="3"/>
  <c r="BI22" i="3" s="1"/>
  <c r="Y22" i="3"/>
  <c r="BH22" i="3" s="1"/>
  <c r="X22" i="3"/>
  <c r="BG22" i="3" s="1"/>
  <c r="W22" i="3"/>
  <c r="BF22" i="3" s="1"/>
  <c r="V22" i="3"/>
  <c r="BE22" i="3" s="1"/>
  <c r="U22" i="3"/>
  <c r="BD22" i="3" s="1"/>
  <c r="T22" i="3"/>
  <c r="BC22" i="3" s="1"/>
  <c r="R22" i="3"/>
  <c r="BA22" i="3" s="1"/>
  <c r="Q22" i="3"/>
  <c r="AZ22" i="3" s="1"/>
  <c r="P22" i="3"/>
  <c r="AY22" i="3" s="1"/>
  <c r="O22" i="3"/>
  <c r="AX22" i="3" s="1"/>
  <c r="N22" i="3"/>
  <c r="AW22" i="3" s="1"/>
  <c r="M22" i="3"/>
  <c r="AV22" i="3" s="1"/>
  <c r="L22" i="3"/>
  <c r="AU22" i="3" s="1"/>
  <c r="K22" i="3"/>
  <c r="AT22" i="3" s="1"/>
  <c r="J22" i="3"/>
  <c r="AS22" i="3" s="1"/>
  <c r="I22" i="3"/>
  <c r="AR22" i="3" s="1"/>
  <c r="H22" i="3"/>
  <c r="AQ22" i="3" s="1"/>
  <c r="G22" i="3"/>
  <c r="AP22" i="3" s="1"/>
  <c r="F22" i="3"/>
  <c r="AO22" i="3" s="1"/>
  <c r="E22" i="3"/>
  <c r="AN22" i="3" s="1"/>
  <c r="D22" i="3"/>
  <c r="BY21" i="3"/>
  <c r="AL21" i="3"/>
  <c r="AK21" i="3"/>
  <c r="AJ21" i="3"/>
  <c r="AI21" i="3"/>
  <c r="AH21" i="3"/>
  <c r="AG21" i="3"/>
  <c r="AF21" i="3"/>
  <c r="BO21" i="3" s="1"/>
  <c r="AC21" i="3"/>
  <c r="BL21" i="3" s="1"/>
  <c r="AB21" i="3"/>
  <c r="BK21" i="3" s="1"/>
  <c r="AA21" i="3"/>
  <c r="BJ21" i="3" s="1"/>
  <c r="Z21" i="3"/>
  <c r="BI21" i="3" s="1"/>
  <c r="Y21" i="3"/>
  <c r="BH21" i="3" s="1"/>
  <c r="X21" i="3"/>
  <c r="BG21" i="3" s="1"/>
  <c r="W21" i="3"/>
  <c r="BF21" i="3" s="1"/>
  <c r="V21" i="3"/>
  <c r="BE21" i="3" s="1"/>
  <c r="U21" i="3"/>
  <c r="BD21" i="3" s="1"/>
  <c r="T21" i="3"/>
  <c r="BC21" i="3" s="1"/>
  <c r="R21" i="3"/>
  <c r="BA21" i="3" s="1"/>
  <c r="Q21" i="3"/>
  <c r="AZ21" i="3" s="1"/>
  <c r="P21" i="3"/>
  <c r="AY21" i="3" s="1"/>
  <c r="O21" i="3"/>
  <c r="AX21" i="3" s="1"/>
  <c r="N21" i="3"/>
  <c r="AW21" i="3" s="1"/>
  <c r="M21" i="3"/>
  <c r="AV21" i="3" s="1"/>
  <c r="L21" i="3"/>
  <c r="AU21" i="3" s="1"/>
  <c r="K21" i="3"/>
  <c r="AT21" i="3" s="1"/>
  <c r="J21" i="3"/>
  <c r="AS21" i="3" s="1"/>
  <c r="I21" i="3"/>
  <c r="AR21" i="3" s="1"/>
  <c r="H21" i="3"/>
  <c r="AQ21" i="3" s="1"/>
  <c r="G21" i="3"/>
  <c r="AP21" i="3" s="1"/>
  <c r="F21" i="3"/>
  <c r="AO21" i="3" s="1"/>
  <c r="E21" i="3"/>
  <c r="AN21" i="3" s="1"/>
  <c r="D21" i="3"/>
  <c r="BY20" i="3"/>
  <c r="AL20" i="3"/>
  <c r="AK20" i="3"/>
  <c r="AJ20" i="3"/>
  <c r="AI20" i="3"/>
  <c r="AH20" i="3"/>
  <c r="AG20" i="3"/>
  <c r="AF20" i="3"/>
  <c r="BO20" i="3" s="1"/>
  <c r="AD20" i="3"/>
  <c r="BM20" i="3" s="1"/>
  <c r="AC20" i="3"/>
  <c r="BL20" i="3" s="1"/>
  <c r="AB20" i="3"/>
  <c r="BK20" i="3" s="1"/>
  <c r="AA20" i="3"/>
  <c r="BJ20" i="3" s="1"/>
  <c r="Z20" i="3"/>
  <c r="BI20" i="3" s="1"/>
  <c r="Y20" i="3"/>
  <c r="BH20" i="3" s="1"/>
  <c r="X20" i="3"/>
  <c r="BG20" i="3" s="1"/>
  <c r="W20" i="3"/>
  <c r="BF20" i="3" s="1"/>
  <c r="V20" i="3"/>
  <c r="BE20" i="3" s="1"/>
  <c r="U20" i="3"/>
  <c r="BD20" i="3" s="1"/>
  <c r="T20" i="3"/>
  <c r="BC20" i="3" s="1"/>
  <c r="R20" i="3"/>
  <c r="BA20" i="3" s="1"/>
  <c r="Q20" i="3"/>
  <c r="AZ20" i="3" s="1"/>
  <c r="P20" i="3"/>
  <c r="AY20" i="3" s="1"/>
  <c r="O20" i="3"/>
  <c r="AX20" i="3" s="1"/>
  <c r="N20" i="3"/>
  <c r="AW20" i="3" s="1"/>
  <c r="M20" i="3"/>
  <c r="AV20" i="3" s="1"/>
  <c r="L20" i="3"/>
  <c r="AU20" i="3" s="1"/>
  <c r="K20" i="3"/>
  <c r="AT20" i="3" s="1"/>
  <c r="J20" i="3"/>
  <c r="AS20" i="3" s="1"/>
  <c r="I20" i="3"/>
  <c r="AR20" i="3" s="1"/>
  <c r="H20" i="3"/>
  <c r="AQ20" i="3" s="1"/>
  <c r="G20" i="3"/>
  <c r="AP20" i="3" s="1"/>
  <c r="F20" i="3"/>
  <c r="AO20" i="3" s="1"/>
  <c r="E20" i="3"/>
  <c r="AN20" i="3" s="1"/>
  <c r="D20" i="3"/>
  <c r="BY19" i="3"/>
  <c r="AL19" i="3"/>
  <c r="AK19" i="3"/>
  <c r="AJ19" i="3"/>
  <c r="AI19" i="3"/>
  <c r="AH19" i="3"/>
  <c r="AG19" i="3"/>
  <c r="AF19" i="3"/>
  <c r="BO19" i="3" s="1"/>
  <c r="AD19" i="3"/>
  <c r="BM19" i="3" s="1"/>
  <c r="AC19" i="3"/>
  <c r="BL19" i="3" s="1"/>
  <c r="AB19" i="3"/>
  <c r="BK19" i="3" s="1"/>
  <c r="AA19" i="3"/>
  <c r="BJ19" i="3" s="1"/>
  <c r="Z19" i="3"/>
  <c r="BI19" i="3" s="1"/>
  <c r="Y19" i="3"/>
  <c r="BH19" i="3" s="1"/>
  <c r="X19" i="3"/>
  <c r="BG19" i="3" s="1"/>
  <c r="W19" i="3"/>
  <c r="BF19" i="3" s="1"/>
  <c r="V19" i="3"/>
  <c r="BE19" i="3" s="1"/>
  <c r="U19" i="3"/>
  <c r="BD19" i="3" s="1"/>
  <c r="T19" i="3"/>
  <c r="BC19" i="3" s="1"/>
  <c r="R19" i="3"/>
  <c r="BA19" i="3" s="1"/>
  <c r="Q19" i="3"/>
  <c r="AZ19" i="3" s="1"/>
  <c r="P19" i="3"/>
  <c r="AY19" i="3" s="1"/>
  <c r="O19" i="3"/>
  <c r="AX19" i="3" s="1"/>
  <c r="N19" i="3"/>
  <c r="AW19" i="3" s="1"/>
  <c r="M19" i="3"/>
  <c r="AV19" i="3" s="1"/>
  <c r="L19" i="3"/>
  <c r="AU19" i="3" s="1"/>
  <c r="K19" i="3"/>
  <c r="AT19" i="3" s="1"/>
  <c r="J19" i="3"/>
  <c r="AS19" i="3" s="1"/>
  <c r="I19" i="3"/>
  <c r="AR19" i="3" s="1"/>
  <c r="H19" i="3"/>
  <c r="AQ19" i="3" s="1"/>
  <c r="G19" i="3"/>
  <c r="AP19" i="3" s="1"/>
  <c r="F19" i="3"/>
  <c r="AO19" i="3" s="1"/>
  <c r="E19" i="3"/>
  <c r="AN19" i="3" s="1"/>
  <c r="BY18" i="3"/>
  <c r="AL18" i="3"/>
  <c r="AK18" i="3"/>
  <c r="AJ18" i="3"/>
  <c r="AI18" i="3"/>
  <c r="AH18" i="3"/>
  <c r="AG18" i="3"/>
  <c r="AF18" i="3"/>
  <c r="BO18" i="3" s="1"/>
  <c r="AD18" i="3"/>
  <c r="BM18" i="3" s="1"/>
  <c r="AC18" i="3"/>
  <c r="BL18" i="3" s="1"/>
  <c r="AB18" i="3"/>
  <c r="BK18" i="3" s="1"/>
  <c r="AA18" i="3"/>
  <c r="BJ18" i="3" s="1"/>
  <c r="Z18" i="3"/>
  <c r="BI18" i="3" s="1"/>
  <c r="Y18" i="3"/>
  <c r="BH18" i="3" s="1"/>
  <c r="X18" i="3"/>
  <c r="BG18" i="3" s="1"/>
  <c r="W18" i="3"/>
  <c r="BF18" i="3" s="1"/>
  <c r="V18" i="3"/>
  <c r="BE18" i="3" s="1"/>
  <c r="U18" i="3"/>
  <c r="BD18" i="3" s="1"/>
  <c r="T18" i="3"/>
  <c r="BC18" i="3" s="1"/>
  <c r="R18" i="3"/>
  <c r="BA18" i="3" s="1"/>
  <c r="Q18" i="3"/>
  <c r="AZ18" i="3" s="1"/>
  <c r="P18" i="3"/>
  <c r="AY18" i="3" s="1"/>
  <c r="O18" i="3"/>
  <c r="AX18" i="3" s="1"/>
  <c r="N18" i="3"/>
  <c r="AW18" i="3" s="1"/>
  <c r="M18" i="3"/>
  <c r="AV18" i="3" s="1"/>
  <c r="L18" i="3"/>
  <c r="AU18" i="3" s="1"/>
  <c r="K18" i="3"/>
  <c r="AT18" i="3" s="1"/>
  <c r="J18" i="3"/>
  <c r="AS18" i="3" s="1"/>
  <c r="I18" i="3"/>
  <c r="AR18" i="3" s="1"/>
  <c r="H18" i="3"/>
  <c r="AQ18" i="3" s="1"/>
  <c r="G18" i="3"/>
  <c r="AP18" i="3" s="1"/>
  <c r="F18" i="3"/>
  <c r="AO18" i="3" s="1"/>
  <c r="E18" i="3"/>
  <c r="AN18" i="3" s="1"/>
  <c r="D18" i="3"/>
  <c r="BY17" i="3"/>
  <c r="AL17" i="3"/>
  <c r="AK17" i="3"/>
  <c r="AJ17" i="3"/>
  <c r="AI17" i="3"/>
  <c r="AH17" i="3"/>
  <c r="AG17" i="3"/>
  <c r="AF17" i="3"/>
  <c r="BO17" i="3" s="1"/>
  <c r="AD17" i="3"/>
  <c r="BM17" i="3" s="1"/>
  <c r="AC17" i="3"/>
  <c r="BL17" i="3" s="1"/>
  <c r="AB17" i="3"/>
  <c r="BK17" i="3" s="1"/>
  <c r="AA17" i="3"/>
  <c r="BJ17" i="3" s="1"/>
  <c r="Z17" i="3"/>
  <c r="BI17" i="3" s="1"/>
  <c r="Y17" i="3"/>
  <c r="BH17" i="3" s="1"/>
  <c r="X17" i="3"/>
  <c r="BG17" i="3" s="1"/>
  <c r="W17" i="3"/>
  <c r="BF17" i="3" s="1"/>
  <c r="V17" i="3"/>
  <c r="BE17" i="3" s="1"/>
  <c r="U17" i="3"/>
  <c r="BD17" i="3" s="1"/>
  <c r="T17" i="3"/>
  <c r="BC17" i="3" s="1"/>
  <c r="R17" i="3"/>
  <c r="BA17" i="3" s="1"/>
  <c r="Q17" i="3"/>
  <c r="AZ17" i="3" s="1"/>
  <c r="P17" i="3"/>
  <c r="AY17" i="3" s="1"/>
  <c r="O17" i="3"/>
  <c r="AX17" i="3" s="1"/>
  <c r="N17" i="3"/>
  <c r="AW17" i="3" s="1"/>
  <c r="M17" i="3"/>
  <c r="AV17" i="3" s="1"/>
  <c r="L17" i="3"/>
  <c r="AU17" i="3" s="1"/>
  <c r="K17" i="3"/>
  <c r="AT17" i="3" s="1"/>
  <c r="J17" i="3"/>
  <c r="AS17" i="3" s="1"/>
  <c r="I17" i="3"/>
  <c r="AR17" i="3" s="1"/>
  <c r="H17" i="3"/>
  <c r="AQ17" i="3" s="1"/>
  <c r="G17" i="3"/>
  <c r="AP17" i="3" s="1"/>
  <c r="F17" i="3"/>
  <c r="AO17" i="3" s="1"/>
  <c r="E17" i="3"/>
  <c r="AN17" i="3" s="1"/>
  <c r="D17" i="3"/>
  <c r="BY16" i="3"/>
  <c r="AL16" i="3"/>
  <c r="AK16" i="3"/>
  <c r="AJ16" i="3"/>
  <c r="AI16" i="3"/>
  <c r="AH16" i="3"/>
  <c r="AG16" i="3"/>
  <c r="AF16" i="3"/>
  <c r="BO16" i="3" s="1"/>
  <c r="AD16" i="3"/>
  <c r="BM16" i="3" s="1"/>
  <c r="AC16" i="3"/>
  <c r="BL16" i="3" s="1"/>
  <c r="AB16" i="3"/>
  <c r="BK16" i="3" s="1"/>
  <c r="AA16" i="3"/>
  <c r="BJ16" i="3" s="1"/>
  <c r="Z16" i="3"/>
  <c r="BI16" i="3" s="1"/>
  <c r="Y16" i="3"/>
  <c r="BH16" i="3" s="1"/>
  <c r="X16" i="3"/>
  <c r="BG16" i="3" s="1"/>
  <c r="W16" i="3"/>
  <c r="BF16" i="3" s="1"/>
  <c r="V16" i="3"/>
  <c r="BE16" i="3" s="1"/>
  <c r="U16" i="3"/>
  <c r="BD16" i="3" s="1"/>
  <c r="T16" i="3"/>
  <c r="BC16" i="3" s="1"/>
  <c r="R16" i="3"/>
  <c r="BA16" i="3" s="1"/>
  <c r="Q16" i="3"/>
  <c r="AZ16" i="3" s="1"/>
  <c r="P16" i="3"/>
  <c r="AY16" i="3" s="1"/>
  <c r="O16" i="3"/>
  <c r="AX16" i="3" s="1"/>
  <c r="N16" i="3"/>
  <c r="AW16" i="3" s="1"/>
  <c r="M16" i="3"/>
  <c r="AV16" i="3" s="1"/>
  <c r="L16" i="3"/>
  <c r="AU16" i="3" s="1"/>
  <c r="K16" i="3"/>
  <c r="AT16" i="3" s="1"/>
  <c r="J16" i="3"/>
  <c r="AS16" i="3" s="1"/>
  <c r="I16" i="3"/>
  <c r="AR16" i="3" s="1"/>
  <c r="H16" i="3"/>
  <c r="AQ16" i="3" s="1"/>
  <c r="G16" i="3"/>
  <c r="AP16" i="3" s="1"/>
  <c r="F16" i="3"/>
  <c r="AO16" i="3" s="1"/>
  <c r="E16" i="3"/>
  <c r="AN16" i="3" s="1"/>
  <c r="D16" i="3"/>
  <c r="B16" i="3"/>
  <c r="CF16" i="3" s="1"/>
  <c r="C16" i="13" s="1"/>
  <c r="BY15" i="3"/>
  <c r="AL15" i="3"/>
  <c r="AK15" i="3"/>
  <c r="AJ15" i="3"/>
  <c r="AI15" i="3"/>
  <c r="AH15" i="3"/>
  <c r="AG15" i="3"/>
  <c r="AF15" i="3"/>
  <c r="BO15" i="3" s="1"/>
  <c r="AC15" i="3"/>
  <c r="BL15" i="3" s="1"/>
  <c r="AB15" i="3"/>
  <c r="BK15" i="3" s="1"/>
  <c r="AA15" i="3"/>
  <c r="BJ15" i="3" s="1"/>
  <c r="Z15" i="3"/>
  <c r="BI15" i="3" s="1"/>
  <c r="Y15" i="3"/>
  <c r="BH15" i="3" s="1"/>
  <c r="X15" i="3"/>
  <c r="BG15" i="3" s="1"/>
  <c r="W15" i="3"/>
  <c r="BF15" i="3" s="1"/>
  <c r="V15" i="3"/>
  <c r="BE15" i="3" s="1"/>
  <c r="U15" i="3"/>
  <c r="BD15" i="3" s="1"/>
  <c r="T15" i="3"/>
  <c r="BC15" i="3" s="1"/>
  <c r="R15" i="3"/>
  <c r="BA15" i="3" s="1"/>
  <c r="Q15" i="3"/>
  <c r="AZ15" i="3" s="1"/>
  <c r="P15" i="3"/>
  <c r="AY15" i="3" s="1"/>
  <c r="O15" i="3"/>
  <c r="AX15" i="3" s="1"/>
  <c r="N15" i="3"/>
  <c r="AW15" i="3" s="1"/>
  <c r="M15" i="3"/>
  <c r="AV15" i="3" s="1"/>
  <c r="L15" i="3"/>
  <c r="AU15" i="3" s="1"/>
  <c r="K15" i="3"/>
  <c r="AT15" i="3" s="1"/>
  <c r="J15" i="3"/>
  <c r="AS15" i="3" s="1"/>
  <c r="I15" i="3"/>
  <c r="AR15" i="3" s="1"/>
  <c r="H15" i="3"/>
  <c r="AQ15" i="3" s="1"/>
  <c r="G15" i="3"/>
  <c r="AP15" i="3" s="1"/>
  <c r="F15" i="3"/>
  <c r="AO15" i="3" s="1"/>
  <c r="E15" i="3"/>
  <c r="AN15" i="3" s="1"/>
  <c r="D15" i="3"/>
  <c r="B15" i="3"/>
  <c r="CF15" i="3" s="1"/>
  <c r="C15" i="13" s="1"/>
  <c r="BY14" i="3"/>
  <c r="AL14" i="3"/>
  <c r="AK14" i="3"/>
  <c r="AJ14" i="3"/>
  <c r="AI14" i="3"/>
  <c r="AH14" i="3"/>
  <c r="AG14" i="3"/>
  <c r="AF14" i="3"/>
  <c r="BO14" i="3" s="1"/>
  <c r="AD14" i="3"/>
  <c r="BM14" i="3" s="1"/>
  <c r="AC14" i="3"/>
  <c r="BL14" i="3" s="1"/>
  <c r="AB14" i="3"/>
  <c r="BK14" i="3" s="1"/>
  <c r="AA14" i="3"/>
  <c r="BJ14" i="3" s="1"/>
  <c r="Z14" i="3"/>
  <c r="BI14" i="3" s="1"/>
  <c r="Y14" i="3"/>
  <c r="BH14" i="3" s="1"/>
  <c r="X14" i="3"/>
  <c r="BG14" i="3" s="1"/>
  <c r="W14" i="3"/>
  <c r="BF14" i="3" s="1"/>
  <c r="V14" i="3"/>
  <c r="BE14" i="3" s="1"/>
  <c r="U14" i="3"/>
  <c r="BD14" i="3" s="1"/>
  <c r="T14" i="3"/>
  <c r="BC14" i="3" s="1"/>
  <c r="R14" i="3"/>
  <c r="BA14" i="3" s="1"/>
  <c r="Q14" i="3"/>
  <c r="AZ14" i="3" s="1"/>
  <c r="P14" i="3"/>
  <c r="AY14" i="3" s="1"/>
  <c r="O14" i="3"/>
  <c r="AX14" i="3" s="1"/>
  <c r="N14" i="3"/>
  <c r="AW14" i="3" s="1"/>
  <c r="M14" i="3"/>
  <c r="AV14" i="3" s="1"/>
  <c r="L14" i="3"/>
  <c r="AU14" i="3" s="1"/>
  <c r="K14" i="3"/>
  <c r="AT14" i="3" s="1"/>
  <c r="J14" i="3"/>
  <c r="AS14" i="3" s="1"/>
  <c r="I14" i="3"/>
  <c r="AR14" i="3" s="1"/>
  <c r="H14" i="3"/>
  <c r="AQ14" i="3" s="1"/>
  <c r="G14" i="3"/>
  <c r="AP14" i="3" s="1"/>
  <c r="F14" i="3"/>
  <c r="AO14" i="3" s="1"/>
  <c r="E14" i="3"/>
  <c r="AN14" i="3" s="1"/>
  <c r="D14" i="3"/>
  <c r="BY13" i="3"/>
  <c r="AL13" i="3"/>
  <c r="AK13" i="3"/>
  <c r="AJ13" i="3"/>
  <c r="AI13" i="3"/>
  <c r="AH13" i="3"/>
  <c r="AG13" i="3"/>
  <c r="AF13" i="3"/>
  <c r="BO13" i="3" s="1"/>
  <c r="AD13" i="3"/>
  <c r="BM13" i="3" s="1"/>
  <c r="AC13" i="3"/>
  <c r="BL13" i="3" s="1"/>
  <c r="AB13" i="3"/>
  <c r="BK13" i="3" s="1"/>
  <c r="AA13" i="3"/>
  <c r="BJ13" i="3" s="1"/>
  <c r="Z13" i="3"/>
  <c r="BI13" i="3" s="1"/>
  <c r="Y13" i="3"/>
  <c r="BH13" i="3" s="1"/>
  <c r="X13" i="3"/>
  <c r="BG13" i="3" s="1"/>
  <c r="W13" i="3"/>
  <c r="BF13" i="3" s="1"/>
  <c r="V13" i="3"/>
  <c r="BE13" i="3" s="1"/>
  <c r="U13" i="3"/>
  <c r="BD13" i="3" s="1"/>
  <c r="T13" i="3"/>
  <c r="BC13" i="3" s="1"/>
  <c r="R13" i="3"/>
  <c r="BA13" i="3" s="1"/>
  <c r="Q13" i="3"/>
  <c r="AZ13" i="3" s="1"/>
  <c r="P13" i="3"/>
  <c r="AY13" i="3" s="1"/>
  <c r="O13" i="3"/>
  <c r="AX13" i="3" s="1"/>
  <c r="N13" i="3"/>
  <c r="AW13" i="3" s="1"/>
  <c r="M13" i="3"/>
  <c r="AV13" i="3" s="1"/>
  <c r="L13" i="3"/>
  <c r="AU13" i="3" s="1"/>
  <c r="K13" i="3"/>
  <c r="AT13" i="3" s="1"/>
  <c r="J13" i="3"/>
  <c r="AS13" i="3" s="1"/>
  <c r="I13" i="3"/>
  <c r="AR13" i="3" s="1"/>
  <c r="H13" i="3"/>
  <c r="AQ13" i="3" s="1"/>
  <c r="G13" i="3"/>
  <c r="AP13" i="3" s="1"/>
  <c r="F13" i="3"/>
  <c r="AO13" i="3" s="1"/>
  <c r="E13" i="3"/>
  <c r="AN13" i="3" s="1"/>
  <c r="D13" i="3"/>
  <c r="B13" i="3"/>
  <c r="CF13" i="3" s="1"/>
  <c r="C13" i="13" s="1"/>
  <c r="BY12" i="3"/>
  <c r="AL12" i="3"/>
  <c r="AK12" i="3"/>
  <c r="AJ12" i="3"/>
  <c r="AI12" i="3"/>
  <c r="AH12" i="3"/>
  <c r="AG12" i="3"/>
  <c r="AF12" i="3"/>
  <c r="BO12" i="3" s="1"/>
  <c r="AD12" i="3"/>
  <c r="BM12" i="3" s="1"/>
  <c r="AC12" i="3"/>
  <c r="BL12" i="3" s="1"/>
  <c r="AB12" i="3"/>
  <c r="BK12" i="3" s="1"/>
  <c r="AA12" i="3"/>
  <c r="BJ12" i="3" s="1"/>
  <c r="Z12" i="3"/>
  <c r="BI12" i="3" s="1"/>
  <c r="Y12" i="3"/>
  <c r="BH12" i="3" s="1"/>
  <c r="X12" i="3"/>
  <c r="BG12" i="3" s="1"/>
  <c r="W12" i="3"/>
  <c r="BF12" i="3" s="1"/>
  <c r="V12" i="3"/>
  <c r="BE12" i="3" s="1"/>
  <c r="U12" i="3"/>
  <c r="BD12" i="3" s="1"/>
  <c r="T12" i="3"/>
  <c r="BC12" i="3" s="1"/>
  <c r="R12" i="3"/>
  <c r="BA12" i="3" s="1"/>
  <c r="Q12" i="3"/>
  <c r="AZ12" i="3" s="1"/>
  <c r="P12" i="3"/>
  <c r="AY12" i="3" s="1"/>
  <c r="O12" i="3"/>
  <c r="AX12" i="3" s="1"/>
  <c r="N12" i="3"/>
  <c r="AW12" i="3" s="1"/>
  <c r="M12" i="3"/>
  <c r="AV12" i="3" s="1"/>
  <c r="L12" i="3"/>
  <c r="AU12" i="3" s="1"/>
  <c r="K12" i="3"/>
  <c r="AT12" i="3" s="1"/>
  <c r="J12" i="3"/>
  <c r="AS12" i="3" s="1"/>
  <c r="I12" i="3"/>
  <c r="AR12" i="3" s="1"/>
  <c r="H12" i="3"/>
  <c r="AQ12" i="3" s="1"/>
  <c r="G12" i="3"/>
  <c r="AP12" i="3" s="1"/>
  <c r="F12" i="3"/>
  <c r="AO12" i="3" s="1"/>
  <c r="E12" i="3"/>
  <c r="AN12" i="3" s="1"/>
  <c r="D12" i="3"/>
  <c r="BY11" i="3"/>
  <c r="AL11" i="3"/>
  <c r="AK11" i="3"/>
  <c r="AJ11" i="3"/>
  <c r="AI11" i="3"/>
  <c r="AH11" i="3"/>
  <c r="AG11" i="3"/>
  <c r="AF11" i="3"/>
  <c r="BO11" i="3" s="1"/>
  <c r="AD11" i="3"/>
  <c r="BM11" i="3" s="1"/>
  <c r="AC11" i="3"/>
  <c r="BL11" i="3" s="1"/>
  <c r="AB11" i="3"/>
  <c r="BK11" i="3" s="1"/>
  <c r="AA11" i="3"/>
  <c r="BJ11" i="3" s="1"/>
  <c r="Z11" i="3"/>
  <c r="BI11" i="3" s="1"/>
  <c r="Y11" i="3"/>
  <c r="BH11" i="3" s="1"/>
  <c r="X11" i="3"/>
  <c r="BG11" i="3" s="1"/>
  <c r="W11" i="3"/>
  <c r="BF11" i="3" s="1"/>
  <c r="V11" i="3"/>
  <c r="BE11" i="3" s="1"/>
  <c r="U11" i="3"/>
  <c r="BD11" i="3" s="1"/>
  <c r="T11" i="3"/>
  <c r="BC11" i="3" s="1"/>
  <c r="R11" i="3"/>
  <c r="BA11" i="3" s="1"/>
  <c r="Q11" i="3"/>
  <c r="AZ11" i="3" s="1"/>
  <c r="P11" i="3"/>
  <c r="AY11" i="3" s="1"/>
  <c r="O11" i="3"/>
  <c r="AX11" i="3" s="1"/>
  <c r="N11" i="3"/>
  <c r="AW11" i="3" s="1"/>
  <c r="M11" i="3"/>
  <c r="AV11" i="3" s="1"/>
  <c r="L11" i="3"/>
  <c r="AU11" i="3" s="1"/>
  <c r="K11" i="3"/>
  <c r="AT11" i="3" s="1"/>
  <c r="J11" i="3"/>
  <c r="AS11" i="3" s="1"/>
  <c r="I11" i="3"/>
  <c r="AR11" i="3" s="1"/>
  <c r="H11" i="3"/>
  <c r="AQ11" i="3" s="1"/>
  <c r="G11" i="3"/>
  <c r="AP11" i="3" s="1"/>
  <c r="F11" i="3"/>
  <c r="AO11" i="3" s="1"/>
  <c r="E11" i="3"/>
  <c r="AN11" i="3" s="1"/>
  <c r="D11" i="3"/>
  <c r="BY10" i="3"/>
  <c r="AL10" i="3"/>
  <c r="AK10" i="3"/>
  <c r="AJ10" i="3"/>
  <c r="AI10" i="3"/>
  <c r="AH10" i="3"/>
  <c r="AG10" i="3"/>
  <c r="AF10" i="3"/>
  <c r="BO10" i="3" s="1"/>
  <c r="AD10" i="3"/>
  <c r="BM10" i="3" s="1"/>
  <c r="AC10" i="3"/>
  <c r="BL10" i="3" s="1"/>
  <c r="AB10" i="3"/>
  <c r="BK10" i="3" s="1"/>
  <c r="AA10" i="3"/>
  <c r="BJ10" i="3" s="1"/>
  <c r="Z10" i="3"/>
  <c r="BI10" i="3" s="1"/>
  <c r="Y10" i="3"/>
  <c r="BH10" i="3" s="1"/>
  <c r="X10" i="3"/>
  <c r="BG10" i="3" s="1"/>
  <c r="W10" i="3"/>
  <c r="BF10" i="3" s="1"/>
  <c r="V10" i="3"/>
  <c r="BE10" i="3" s="1"/>
  <c r="U10" i="3"/>
  <c r="BD10" i="3" s="1"/>
  <c r="T10" i="3"/>
  <c r="BC10" i="3" s="1"/>
  <c r="R10" i="3"/>
  <c r="BA10" i="3" s="1"/>
  <c r="Q10" i="3"/>
  <c r="AZ10" i="3" s="1"/>
  <c r="P10" i="3"/>
  <c r="AY10" i="3" s="1"/>
  <c r="O10" i="3"/>
  <c r="AX10" i="3" s="1"/>
  <c r="N10" i="3"/>
  <c r="AW10" i="3" s="1"/>
  <c r="M10" i="3"/>
  <c r="AV10" i="3" s="1"/>
  <c r="L10" i="3"/>
  <c r="AU10" i="3" s="1"/>
  <c r="K10" i="3"/>
  <c r="AT10" i="3" s="1"/>
  <c r="J10" i="3"/>
  <c r="AS10" i="3" s="1"/>
  <c r="I10" i="3"/>
  <c r="AR10" i="3" s="1"/>
  <c r="H10" i="3"/>
  <c r="AQ10" i="3" s="1"/>
  <c r="G10" i="3"/>
  <c r="AP10" i="3" s="1"/>
  <c r="F10" i="3"/>
  <c r="AO10" i="3" s="1"/>
  <c r="E10" i="3"/>
  <c r="AN10" i="3" s="1"/>
  <c r="D10" i="3"/>
  <c r="B10" i="3"/>
  <c r="CF10" i="3" s="1"/>
  <c r="C10" i="13" s="1"/>
  <c r="BY9" i="3"/>
  <c r="AL9" i="3"/>
  <c r="AK9" i="3"/>
  <c r="AJ9" i="3"/>
  <c r="AI9" i="3"/>
  <c r="AH9" i="3"/>
  <c r="AF9" i="3"/>
  <c r="BO9" i="3" s="1"/>
  <c r="AD9" i="3"/>
  <c r="BM9" i="3" s="1"/>
  <c r="AC9" i="3"/>
  <c r="BL9" i="3" s="1"/>
  <c r="AB9" i="3"/>
  <c r="BK9" i="3" s="1"/>
  <c r="AA9" i="3"/>
  <c r="BJ9" i="3" s="1"/>
  <c r="Z9" i="3"/>
  <c r="BI9" i="3" s="1"/>
  <c r="Y9" i="3"/>
  <c r="BH9" i="3" s="1"/>
  <c r="X9" i="3"/>
  <c r="BG9" i="3" s="1"/>
  <c r="W9" i="3"/>
  <c r="BF9" i="3" s="1"/>
  <c r="V9" i="3"/>
  <c r="BE9" i="3" s="1"/>
  <c r="U9" i="3"/>
  <c r="BD9" i="3" s="1"/>
  <c r="T9" i="3"/>
  <c r="BC9" i="3" s="1"/>
  <c r="R9" i="3"/>
  <c r="BA9" i="3" s="1"/>
  <c r="Q9" i="3"/>
  <c r="AZ9" i="3" s="1"/>
  <c r="P9" i="3"/>
  <c r="AY9" i="3" s="1"/>
  <c r="O9" i="3"/>
  <c r="AX9" i="3" s="1"/>
  <c r="N9" i="3"/>
  <c r="AW9" i="3" s="1"/>
  <c r="M9" i="3"/>
  <c r="AV9" i="3" s="1"/>
  <c r="L9" i="3"/>
  <c r="AU9" i="3" s="1"/>
  <c r="K9" i="3"/>
  <c r="AT9" i="3" s="1"/>
  <c r="J9" i="3"/>
  <c r="AS9" i="3" s="1"/>
  <c r="I9" i="3"/>
  <c r="AR9" i="3" s="1"/>
  <c r="H9" i="3"/>
  <c r="AQ9" i="3" s="1"/>
  <c r="G9" i="3"/>
  <c r="AP9" i="3" s="1"/>
  <c r="F9" i="3"/>
  <c r="AO9" i="3" s="1"/>
  <c r="E9" i="3"/>
  <c r="AN9" i="3" s="1"/>
  <c r="D9" i="3"/>
  <c r="B9" i="3"/>
  <c r="CF9" i="3" s="1"/>
  <c r="C9" i="13" s="1"/>
  <c r="BY8" i="3"/>
  <c r="AL8" i="3"/>
  <c r="AK8" i="3"/>
  <c r="AJ8" i="3"/>
  <c r="AI8" i="3"/>
  <c r="AH8" i="3"/>
  <c r="AG8" i="3"/>
  <c r="AF8" i="3"/>
  <c r="BO8" i="3" s="1"/>
  <c r="AD8" i="3"/>
  <c r="BM8" i="3" s="1"/>
  <c r="AC8" i="3"/>
  <c r="BL8" i="3" s="1"/>
  <c r="AB8" i="3"/>
  <c r="BK8" i="3" s="1"/>
  <c r="AA8" i="3"/>
  <c r="BJ8" i="3" s="1"/>
  <c r="Z8" i="3"/>
  <c r="BI8" i="3" s="1"/>
  <c r="Y8" i="3"/>
  <c r="BH8" i="3" s="1"/>
  <c r="X8" i="3"/>
  <c r="BG8" i="3" s="1"/>
  <c r="W8" i="3"/>
  <c r="BF8" i="3" s="1"/>
  <c r="V8" i="3"/>
  <c r="BE8" i="3" s="1"/>
  <c r="U8" i="3"/>
  <c r="BD8" i="3" s="1"/>
  <c r="T8" i="3"/>
  <c r="BC8" i="3" s="1"/>
  <c r="R8" i="3"/>
  <c r="BA8" i="3" s="1"/>
  <c r="Q8" i="3"/>
  <c r="AZ8" i="3" s="1"/>
  <c r="P8" i="3"/>
  <c r="AY8" i="3" s="1"/>
  <c r="O8" i="3"/>
  <c r="AX8" i="3" s="1"/>
  <c r="N8" i="3"/>
  <c r="AW8" i="3" s="1"/>
  <c r="M8" i="3"/>
  <c r="AV8" i="3" s="1"/>
  <c r="L8" i="3"/>
  <c r="AU8" i="3" s="1"/>
  <c r="K8" i="3"/>
  <c r="AT8" i="3" s="1"/>
  <c r="J8" i="3"/>
  <c r="AS8" i="3" s="1"/>
  <c r="I8" i="3"/>
  <c r="AR8" i="3" s="1"/>
  <c r="H8" i="3"/>
  <c r="AQ8" i="3" s="1"/>
  <c r="G8" i="3"/>
  <c r="AP8" i="3" s="1"/>
  <c r="F8" i="3"/>
  <c r="AO8" i="3" s="1"/>
  <c r="E8" i="3"/>
  <c r="AN8" i="3" s="1"/>
  <c r="D8" i="3"/>
  <c r="B8" i="3"/>
  <c r="CF8" i="3" s="1"/>
  <c r="C8" i="13" s="1"/>
  <c r="BY7" i="3"/>
  <c r="AL7" i="3"/>
  <c r="AK7" i="3"/>
  <c r="AJ7" i="3"/>
  <c r="AI7" i="3"/>
  <c r="AH7" i="3"/>
  <c r="AG7" i="3"/>
  <c r="AF7" i="3"/>
  <c r="BO7" i="3" s="1"/>
  <c r="AD7" i="3"/>
  <c r="BM7" i="3" s="1"/>
  <c r="AC7" i="3"/>
  <c r="BL7" i="3" s="1"/>
  <c r="AB7" i="3"/>
  <c r="BK7" i="3" s="1"/>
  <c r="AA7" i="3"/>
  <c r="BJ7" i="3" s="1"/>
  <c r="Z7" i="3"/>
  <c r="BI7" i="3" s="1"/>
  <c r="Y7" i="3"/>
  <c r="BH7" i="3" s="1"/>
  <c r="X7" i="3"/>
  <c r="BG7" i="3" s="1"/>
  <c r="W7" i="3"/>
  <c r="BF7" i="3" s="1"/>
  <c r="V7" i="3"/>
  <c r="BE7" i="3" s="1"/>
  <c r="U7" i="3"/>
  <c r="BD7" i="3" s="1"/>
  <c r="T7" i="3"/>
  <c r="BC7" i="3" s="1"/>
  <c r="R7" i="3"/>
  <c r="BA7" i="3" s="1"/>
  <c r="Q7" i="3"/>
  <c r="AZ7" i="3" s="1"/>
  <c r="P7" i="3"/>
  <c r="AY7" i="3" s="1"/>
  <c r="O7" i="3"/>
  <c r="AX7" i="3" s="1"/>
  <c r="N7" i="3"/>
  <c r="AW7" i="3" s="1"/>
  <c r="M7" i="3"/>
  <c r="AV7" i="3" s="1"/>
  <c r="L7" i="3"/>
  <c r="AU7" i="3" s="1"/>
  <c r="K7" i="3"/>
  <c r="AT7" i="3" s="1"/>
  <c r="J7" i="3"/>
  <c r="AS7" i="3" s="1"/>
  <c r="I7" i="3"/>
  <c r="AR7" i="3" s="1"/>
  <c r="H7" i="3"/>
  <c r="AQ7" i="3" s="1"/>
  <c r="G7" i="3"/>
  <c r="AP7" i="3" s="1"/>
  <c r="F7" i="3"/>
  <c r="AO7" i="3" s="1"/>
  <c r="E7" i="3"/>
  <c r="AN7" i="3" s="1"/>
  <c r="D7" i="3"/>
  <c r="B7" i="3"/>
  <c r="CF7" i="3" s="1"/>
  <c r="C7" i="13" s="1"/>
  <c r="BY6" i="3"/>
  <c r="AL6" i="3"/>
  <c r="AK6" i="3"/>
  <c r="AJ6" i="3"/>
  <c r="AI6" i="3"/>
  <c r="AH6" i="3"/>
  <c r="AG6" i="3"/>
  <c r="AF6" i="3"/>
  <c r="BO6" i="3" s="1"/>
  <c r="AD6" i="3"/>
  <c r="BM6" i="3" s="1"/>
  <c r="AC6" i="3"/>
  <c r="BL6" i="3" s="1"/>
  <c r="AB6" i="3"/>
  <c r="BK6" i="3" s="1"/>
  <c r="AA6" i="3"/>
  <c r="BJ6" i="3" s="1"/>
  <c r="Z6" i="3"/>
  <c r="BI6" i="3" s="1"/>
  <c r="Y6" i="3"/>
  <c r="BH6" i="3" s="1"/>
  <c r="X6" i="3"/>
  <c r="BG6" i="3" s="1"/>
  <c r="W6" i="3"/>
  <c r="BF6" i="3" s="1"/>
  <c r="V6" i="3"/>
  <c r="BE6" i="3" s="1"/>
  <c r="U6" i="3"/>
  <c r="BD6" i="3" s="1"/>
  <c r="T6" i="3"/>
  <c r="BC6" i="3" s="1"/>
  <c r="R6" i="3"/>
  <c r="BA6" i="3" s="1"/>
  <c r="Q6" i="3"/>
  <c r="AZ6" i="3" s="1"/>
  <c r="P6" i="3"/>
  <c r="AY6" i="3" s="1"/>
  <c r="O6" i="3"/>
  <c r="AX6" i="3" s="1"/>
  <c r="N6" i="3"/>
  <c r="AW6" i="3" s="1"/>
  <c r="M6" i="3"/>
  <c r="AV6" i="3" s="1"/>
  <c r="L6" i="3"/>
  <c r="AU6" i="3" s="1"/>
  <c r="K6" i="3"/>
  <c r="AT6" i="3" s="1"/>
  <c r="J6" i="3"/>
  <c r="AS6" i="3" s="1"/>
  <c r="I6" i="3"/>
  <c r="AR6" i="3" s="1"/>
  <c r="H6" i="3"/>
  <c r="AQ6" i="3" s="1"/>
  <c r="G6" i="3"/>
  <c r="AP6" i="3" s="1"/>
  <c r="F6" i="3"/>
  <c r="AO6" i="3" s="1"/>
  <c r="E6" i="3"/>
  <c r="AN6" i="3" s="1"/>
  <c r="D6" i="3"/>
  <c r="B6" i="3"/>
  <c r="CF6" i="3" s="1"/>
  <c r="C6" i="13" s="1"/>
  <c r="BY5" i="3"/>
  <c r="AL5" i="3"/>
  <c r="AK5" i="3"/>
  <c r="AJ5" i="3"/>
  <c r="AI5" i="3"/>
  <c r="AH5" i="3"/>
  <c r="AG5" i="3"/>
  <c r="AF5" i="3"/>
  <c r="BO5" i="3" s="1"/>
  <c r="AD5" i="3"/>
  <c r="BM5" i="3" s="1"/>
  <c r="AC5" i="3"/>
  <c r="BL5" i="3" s="1"/>
  <c r="AB5" i="3"/>
  <c r="BK5" i="3" s="1"/>
  <c r="AA5" i="3"/>
  <c r="BJ5" i="3" s="1"/>
  <c r="Z5" i="3"/>
  <c r="BI5" i="3" s="1"/>
  <c r="Y5" i="3"/>
  <c r="BH5" i="3" s="1"/>
  <c r="X5" i="3"/>
  <c r="BG5" i="3" s="1"/>
  <c r="W5" i="3"/>
  <c r="BF5" i="3" s="1"/>
  <c r="V5" i="3"/>
  <c r="BE5" i="3" s="1"/>
  <c r="U5" i="3"/>
  <c r="BD5" i="3" s="1"/>
  <c r="T5" i="3"/>
  <c r="BC5" i="3" s="1"/>
  <c r="R5" i="3"/>
  <c r="BA5" i="3" s="1"/>
  <c r="Q5" i="3"/>
  <c r="AZ5" i="3" s="1"/>
  <c r="P5" i="3"/>
  <c r="AY5" i="3" s="1"/>
  <c r="O5" i="3"/>
  <c r="AX5" i="3" s="1"/>
  <c r="N5" i="3"/>
  <c r="AW5" i="3" s="1"/>
  <c r="M5" i="3"/>
  <c r="AV5" i="3" s="1"/>
  <c r="L5" i="3"/>
  <c r="AU5" i="3" s="1"/>
  <c r="K5" i="3"/>
  <c r="AT5" i="3" s="1"/>
  <c r="J5" i="3"/>
  <c r="AS5" i="3" s="1"/>
  <c r="I5" i="3"/>
  <c r="AR5" i="3" s="1"/>
  <c r="H5" i="3"/>
  <c r="AQ5" i="3" s="1"/>
  <c r="G5" i="3"/>
  <c r="AP5" i="3" s="1"/>
  <c r="F5" i="3"/>
  <c r="AO5" i="3" s="1"/>
  <c r="E5" i="3"/>
  <c r="AN5" i="3" s="1"/>
  <c r="D5" i="3"/>
  <c r="B5" i="3"/>
  <c r="CF5" i="3" s="1"/>
  <c r="C5" i="13" s="1"/>
  <c r="BY4" i="3"/>
  <c r="AL4" i="3"/>
  <c r="AK4" i="3"/>
  <c r="AJ4" i="3"/>
  <c r="AI4" i="3"/>
  <c r="AH4" i="3"/>
  <c r="AG4" i="3"/>
  <c r="AF4" i="3"/>
  <c r="BO4" i="3" s="1"/>
  <c r="AD4" i="3"/>
  <c r="BM4" i="3" s="1"/>
  <c r="AC4" i="3"/>
  <c r="BL4" i="3" s="1"/>
  <c r="AB4" i="3"/>
  <c r="BK4" i="3" s="1"/>
  <c r="AA4" i="3"/>
  <c r="BJ4" i="3" s="1"/>
  <c r="Z4" i="3"/>
  <c r="BI4" i="3" s="1"/>
  <c r="Y4" i="3"/>
  <c r="BH4" i="3" s="1"/>
  <c r="X4" i="3"/>
  <c r="BG4" i="3" s="1"/>
  <c r="W4" i="3"/>
  <c r="BF4" i="3" s="1"/>
  <c r="V4" i="3"/>
  <c r="BE4" i="3" s="1"/>
  <c r="U4" i="3"/>
  <c r="BD4" i="3" s="1"/>
  <c r="T4" i="3"/>
  <c r="BC4" i="3" s="1"/>
  <c r="R4" i="3"/>
  <c r="BA4" i="3" s="1"/>
  <c r="Q4" i="3"/>
  <c r="AZ4" i="3" s="1"/>
  <c r="P4" i="3"/>
  <c r="AY4" i="3" s="1"/>
  <c r="O4" i="3"/>
  <c r="AX4" i="3" s="1"/>
  <c r="N4" i="3"/>
  <c r="AW4" i="3" s="1"/>
  <c r="M4" i="3"/>
  <c r="AV4" i="3" s="1"/>
  <c r="L4" i="3"/>
  <c r="AU4" i="3" s="1"/>
  <c r="K4" i="3"/>
  <c r="AT4" i="3" s="1"/>
  <c r="J4" i="3"/>
  <c r="AS4" i="3" s="1"/>
  <c r="I4" i="3"/>
  <c r="AR4" i="3" s="1"/>
  <c r="H4" i="3"/>
  <c r="AQ4" i="3" s="1"/>
  <c r="G4" i="3"/>
  <c r="AP4" i="3" s="1"/>
  <c r="F4" i="3"/>
  <c r="AO4" i="3" s="1"/>
  <c r="E4" i="3"/>
  <c r="AN4" i="3" s="1"/>
  <c r="D4" i="3"/>
  <c r="B4" i="3"/>
  <c r="CF4" i="3" s="1"/>
  <c r="C4" i="13" s="1"/>
  <c r="BY3" i="3"/>
  <c r="AL3" i="3"/>
  <c r="AK3" i="3"/>
  <c r="AJ3" i="3"/>
  <c r="AI3" i="3"/>
  <c r="AH3" i="3"/>
  <c r="AG3" i="3"/>
  <c r="AF3" i="3"/>
  <c r="BO3" i="3" s="1"/>
  <c r="AD3" i="3"/>
  <c r="BM3" i="3" s="1"/>
  <c r="AC3" i="3"/>
  <c r="BL3" i="3" s="1"/>
  <c r="AB3" i="3"/>
  <c r="BK3" i="3" s="1"/>
  <c r="AA3" i="3"/>
  <c r="BJ3" i="3" s="1"/>
  <c r="Z3" i="3"/>
  <c r="BI3" i="3" s="1"/>
  <c r="Y3" i="3"/>
  <c r="BH3" i="3" s="1"/>
  <c r="X3" i="3"/>
  <c r="BG3" i="3" s="1"/>
  <c r="W3" i="3"/>
  <c r="BF3" i="3" s="1"/>
  <c r="V3" i="3"/>
  <c r="BE3" i="3" s="1"/>
  <c r="U3" i="3"/>
  <c r="BD3" i="3" s="1"/>
  <c r="T3" i="3"/>
  <c r="BC3" i="3" s="1"/>
  <c r="R3" i="3"/>
  <c r="BA3" i="3" s="1"/>
  <c r="Q3" i="3"/>
  <c r="AZ3" i="3" s="1"/>
  <c r="P3" i="3"/>
  <c r="AY3" i="3" s="1"/>
  <c r="O3" i="3"/>
  <c r="AX3" i="3" s="1"/>
  <c r="N3" i="3"/>
  <c r="AW3" i="3" s="1"/>
  <c r="M3" i="3"/>
  <c r="AV3" i="3" s="1"/>
  <c r="L3" i="3"/>
  <c r="AU3" i="3" s="1"/>
  <c r="K3" i="3"/>
  <c r="AT3" i="3" s="1"/>
  <c r="J3" i="3"/>
  <c r="AS3" i="3" s="1"/>
  <c r="I3" i="3"/>
  <c r="AR3" i="3" s="1"/>
  <c r="H3" i="3"/>
  <c r="AQ3" i="3" s="1"/>
  <c r="G3" i="3"/>
  <c r="AP3" i="3" s="1"/>
  <c r="F3" i="3"/>
  <c r="AO3" i="3" s="1"/>
  <c r="E3" i="3"/>
  <c r="AN3" i="3" s="1"/>
  <c r="D3" i="3"/>
  <c r="BY2" i="3"/>
  <c r="AL2" i="3"/>
  <c r="AK2" i="3"/>
  <c r="AJ2" i="3"/>
  <c r="AI2" i="3"/>
  <c r="AH2" i="3"/>
  <c r="AG2" i="3"/>
  <c r="AF2" i="3"/>
  <c r="BO2" i="3" s="1"/>
  <c r="AC2" i="3"/>
  <c r="BL2" i="3" s="1"/>
  <c r="AB2" i="3"/>
  <c r="BK2" i="3" s="1"/>
  <c r="AA2" i="3"/>
  <c r="BJ2" i="3" s="1"/>
  <c r="Z2" i="3"/>
  <c r="BI2" i="3" s="1"/>
  <c r="Y2" i="3"/>
  <c r="BH2" i="3" s="1"/>
  <c r="X2" i="3"/>
  <c r="BG2" i="3" s="1"/>
  <c r="W2" i="3"/>
  <c r="BF2" i="3" s="1"/>
  <c r="V2" i="3"/>
  <c r="BE2" i="3" s="1"/>
  <c r="U2" i="3"/>
  <c r="BD2" i="3" s="1"/>
  <c r="T2" i="3"/>
  <c r="BC2" i="3" s="1"/>
  <c r="R2" i="3"/>
  <c r="BA2" i="3" s="1"/>
  <c r="Q2" i="3"/>
  <c r="AZ2" i="3" s="1"/>
  <c r="P2" i="3"/>
  <c r="AY2" i="3" s="1"/>
  <c r="O2" i="3"/>
  <c r="AX2" i="3" s="1"/>
  <c r="N2" i="3"/>
  <c r="AW2" i="3" s="1"/>
  <c r="M2" i="3"/>
  <c r="AV2" i="3" s="1"/>
  <c r="L2" i="3"/>
  <c r="AU2" i="3" s="1"/>
  <c r="K2" i="3"/>
  <c r="AT2" i="3" s="1"/>
  <c r="J2" i="3"/>
  <c r="AS2" i="3" s="1"/>
  <c r="I2" i="3"/>
  <c r="AR2" i="3" s="1"/>
  <c r="H2" i="3"/>
  <c r="AQ2" i="3" s="1"/>
  <c r="G2" i="3"/>
  <c r="AP2" i="3" s="1"/>
  <c r="F2" i="3"/>
  <c r="AO2" i="3" s="1"/>
  <c r="E2" i="3"/>
  <c r="AN2" i="3" s="1"/>
  <c r="D2" i="3"/>
  <c r="B2" i="3"/>
  <c r="CF2" i="3" s="1"/>
  <c r="C2" i="13" s="1"/>
  <c r="R157" i="2"/>
  <c r="Q157" i="2"/>
  <c r="P157" i="2"/>
  <c r="O157" i="2"/>
  <c r="N157" i="2"/>
  <c r="M157" i="2"/>
  <c r="H156" i="2"/>
  <c r="I153" i="2"/>
  <c r="H153" i="2"/>
  <c r="I151" i="2"/>
  <c r="H148" i="2"/>
  <c r="Y140" i="2"/>
  <c r="H136" i="2"/>
  <c r="I134" i="2"/>
  <c r="Y155" i="2" s="1"/>
  <c r="Y132" i="2"/>
  <c r="H130" i="2"/>
  <c r="G130" i="2"/>
  <c r="Y116" i="2"/>
  <c r="G109" i="2"/>
  <c r="Y90" i="2"/>
  <c r="N89" i="2"/>
  <c r="N87" i="2"/>
  <c r="Y86" i="2"/>
  <c r="M78" i="2"/>
  <c r="K78" i="2"/>
  <c r="M77" i="2"/>
  <c r="K77" i="2"/>
  <c r="M76" i="2"/>
  <c r="K76" i="2"/>
  <c r="M74" i="2"/>
  <c r="K74" i="2"/>
  <c r="Y73" i="2"/>
  <c r="M73" i="2"/>
  <c r="K73" i="2"/>
  <c r="Y66" i="2"/>
  <c r="Y60" i="2"/>
  <c r="H24" i="2" s="1"/>
  <c r="Y51" i="2"/>
  <c r="Y47" i="2"/>
  <c r="Y46" i="2"/>
  <c r="Y40" i="2"/>
  <c r="Y23" i="2"/>
  <c r="H21" i="2" s="1"/>
  <c r="H22" i="2"/>
  <c r="H19" i="2"/>
  <c r="H18" i="2"/>
  <c r="Y13" i="2"/>
  <c r="J13" i="2"/>
  <c r="J12" i="2"/>
  <c r="H12" i="2"/>
  <c r="K9" i="2"/>
  <c r="H9" i="2"/>
  <c r="K8" i="2"/>
  <c r="Y6" i="2"/>
  <c r="S4" i="2"/>
  <c r="AG9" i="3"/>
  <c r="BP9" i="3" s="1"/>
  <c r="AM6" i="3" l="1"/>
  <c r="AM2" i="3"/>
  <c r="AM5" i="3"/>
  <c r="AM9" i="3"/>
  <c r="AM19" i="3"/>
  <c r="AM22" i="3"/>
  <c r="AM24" i="3"/>
  <c r="AM26" i="3"/>
  <c r="AM27" i="3"/>
  <c r="AM30" i="3"/>
  <c r="AM32" i="3"/>
  <c r="AM36" i="3"/>
  <c r="AM4" i="3"/>
  <c r="AM8" i="3"/>
  <c r="AM13" i="3"/>
  <c r="AM16" i="3"/>
  <c r="AM28" i="3"/>
  <c r="AM33" i="3"/>
  <c r="AM3" i="3"/>
  <c r="AM7" i="3"/>
  <c r="AM10" i="3"/>
  <c r="AM12" i="3"/>
  <c r="AM15" i="3"/>
  <c r="AM18" i="3"/>
  <c r="AM21" i="3"/>
  <c r="AM23" i="3"/>
  <c r="AM25" i="3"/>
  <c r="AM29" i="3"/>
  <c r="AM31" i="3"/>
  <c r="AM34" i="3"/>
  <c r="AM14" i="3"/>
  <c r="AM17" i="3"/>
  <c r="AM20" i="3"/>
  <c r="AM35" i="3"/>
  <c r="S24" i="3"/>
  <c r="BB24" i="3" s="1"/>
  <c r="G113" i="7"/>
  <c r="P111" i="7"/>
  <c r="H23" i="2"/>
  <c r="BP14" i="3"/>
  <c r="S6" i="3"/>
  <c r="BB6" i="3" s="1"/>
  <c r="BP12" i="3"/>
  <c r="BP16" i="3"/>
  <c r="BP15" i="3"/>
  <c r="S4" i="3"/>
  <c r="BB4" i="3" s="1"/>
  <c r="H25" i="2"/>
  <c r="N78" i="2"/>
  <c r="S19" i="3"/>
  <c r="BB19" i="3" s="1"/>
  <c r="BP24" i="3"/>
  <c r="S3" i="3"/>
  <c r="BB3" i="3" s="1"/>
  <c r="BP4" i="3"/>
  <c r="BP6" i="3"/>
  <c r="S9" i="3"/>
  <c r="BB9" i="3" s="1"/>
  <c r="S10" i="3"/>
  <c r="BB10" i="3" s="1"/>
  <c r="BP19" i="3"/>
  <c r="S26" i="3"/>
  <c r="BB26" i="3" s="1"/>
  <c r="BP28" i="3"/>
  <c r="BP29" i="3"/>
  <c r="BP33" i="3"/>
  <c r="N77" i="2"/>
  <c r="BP3" i="3"/>
  <c r="S8" i="3"/>
  <c r="BB8" i="3" s="1"/>
  <c r="BP18" i="3"/>
  <c r="S21" i="3"/>
  <c r="BB21" i="3" s="1"/>
  <c r="S30" i="3"/>
  <c r="BB30" i="3" s="1"/>
  <c r="S34" i="3"/>
  <c r="BB34" i="3" s="1"/>
  <c r="BP2" i="3"/>
  <c r="S5" i="3"/>
  <c r="BB5" i="3" s="1"/>
  <c r="S7" i="3"/>
  <c r="BB7" i="3" s="1"/>
  <c r="BP17" i="3"/>
  <c r="S20" i="3"/>
  <c r="BB20" i="3" s="1"/>
  <c r="BP23" i="3"/>
  <c r="S25" i="3"/>
  <c r="BB25" i="3" s="1"/>
  <c r="BP32" i="3"/>
  <c r="BP27" i="3"/>
  <c r="S28" i="3"/>
  <c r="BB28" i="3" s="1"/>
  <c r="S29" i="3"/>
  <c r="BB29" i="3" s="1"/>
  <c r="S33" i="3"/>
  <c r="BB33" i="3" s="1"/>
  <c r="BP36" i="3"/>
  <c r="BP11" i="3"/>
  <c r="BP13" i="3"/>
  <c r="S18" i="3"/>
  <c r="BB18" i="3" s="1"/>
  <c r="BP22" i="3"/>
  <c r="BP31" i="3"/>
  <c r="BP35" i="3"/>
  <c r="S2" i="3"/>
  <c r="BB2" i="3" s="1"/>
  <c r="BP10" i="3"/>
  <c r="S17" i="3"/>
  <c r="BB17" i="3" s="1"/>
  <c r="S23" i="3"/>
  <c r="BB23" i="3" s="1"/>
  <c r="BP26" i="3"/>
  <c r="S32" i="3"/>
  <c r="BB32" i="3" s="1"/>
  <c r="CS113" i="7"/>
  <c r="BP8" i="3"/>
  <c r="S12" i="3"/>
  <c r="BB12" i="3" s="1"/>
  <c r="S14" i="3"/>
  <c r="BB14" i="3" s="1"/>
  <c r="S15" i="3"/>
  <c r="BB15" i="3" s="1"/>
  <c r="S16" i="3"/>
  <c r="BB16" i="3" s="1"/>
  <c r="BP21" i="3"/>
  <c r="S27" i="3"/>
  <c r="BB27" i="3" s="1"/>
  <c r="BP30" i="3"/>
  <c r="BP34" i="3"/>
  <c r="S36" i="3"/>
  <c r="BB36" i="3" s="1"/>
  <c r="BP5" i="3"/>
  <c r="BP7" i="3"/>
  <c r="S11" i="3"/>
  <c r="BB11" i="3" s="1"/>
  <c r="S13" i="3"/>
  <c r="BB13" i="3" s="1"/>
  <c r="BP20" i="3"/>
  <c r="S22" i="3"/>
  <c r="BB22" i="3" s="1"/>
  <c r="BP25" i="3"/>
  <c r="S31" i="3"/>
  <c r="BB31" i="3" s="1"/>
  <c r="CA113" i="7"/>
  <c r="N74" i="2"/>
  <c r="P55" i="7"/>
  <c r="CJ113" i="7"/>
  <c r="H163" i="2"/>
  <c r="I163" i="2" s="1"/>
  <c r="Y142" i="2" s="1"/>
  <c r="N76" i="2"/>
  <c r="M159" i="2"/>
  <c r="H20" i="2"/>
  <c r="N73" i="2"/>
  <c r="BR113" i="7"/>
  <c r="Y111" i="7"/>
  <c r="AZ111" i="7"/>
  <c r="G55" i="7"/>
  <c r="G56" i="7" s="1"/>
  <c r="P57" i="7" s="1"/>
  <c r="AM11" i="3"/>
  <c r="P56" i="7" l="1"/>
  <c r="Y57" i="7" s="1"/>
  <c r="Y56" i="7" s="1"/>
  <c r="AH57" i="7" s="1"/>
  <c r="AH56" i="7" s="1"/>
  <c r="BT27" i="3"/>
  <c r="BT28" i="3"/>
  <c r="BT33" i="3"/>
  <c r="BT29" i="3"/>
  <c r="BT9" i="3"/>
  <c r="BT36" i="3"/>
  <c r="BS9" i="3"/>
  <c r="BS2" i="3"/>
  <c r="BS20" i="3"/>
  <c r="BS14" i="3"/>
  <c r="BS31" i="3"/>
  <c r="BS25" i="3"/>
  <c r="BS21" i="3"/>
  <c r="BS15" i="3"/>
  <c r="BS10" i="3"/>
  <c r="BS3" i="3"/>
  <c r="BS28" i="3"/>
  <c r="BS13" i="3"/>
  <c r="BS4" i="3"/>
  <c r="BS32" i="3"/>
  <c r="BS27" i="3"/>
  <c r="BS24" i="3"/>
  <c r="BS19" i="3"/>
  <c r="BS5" i="3"/>
  <c r="BS6" i="3"/>
  <c r="BT16" i="3"/>
  <c r="BS17" i="3"/>
  <c r="BS34" i="3"/>
  <c r="BS29" i="3"/>
  <c r="BS23" i="3"/>
  <c r="BS18" i="3"/>
  <c r="BS12" i="3"/>
  <c r="BS7" i="3"/>
  <c r="BS33" i="3"/>
  <c r="BS16" i="3"/>
  <c r="BS8" i="3"/>
  <c r="BS36" i="3"/>
  <c r="BS30" i="3"/>
  <c r="BS26" i="3"/>
  <c r="BS22" i="3"/>
  <c r="BS11" i="3"/>
  <c r="BT14" i="3"/>
  <c r="BT2" i="3"/>
  <c r="BT18" i="3"/>
  <c r="BT13" i="3"/>
  <c r="BT31" i="3"/>
  <c r="BT6" i="3"/>
  <c r="BT23" i="3"/>
  <c r="BT8" i="3"/>
  <c r="BT11" i="3"/>
  <c r="BT17" i="3"/>
  <c r="BT5" i="3"/>
  <c r="BT21" i="3"/>
  <c r="BT4" i="3"/>
  <c r="BT12" i="3"/>
  <c r="BT32" i="3"/>
  <c r="BT20" i="3"/>
  <c r="BT26" i="3"/>
  <c r="BT19" i="3"/>
  <c r="BT34" i="3"/>
  <c r="BT22" i="3"/>
  <c r="BT15" i="3"/>
  <c r="BT25" i="3"/>
  <c r="BT7" i="3"/>
  <c r="BT30" i="3"/>
  <c r="BT10" i="3"/>
  <c r="BT3" i="3"/>
  <c r="BT24" i="3"/>
  <c r="S35" i="3"/>
  <c r="P113" i="7"/>
  <c r="Y113" i="7" s="1"/>
  <c r="N83" i="2"/>
  <c r="CA15" i="3"/>
  <c r="CA9" i="3"/>
  <c r="CA17" i="3"/>
  <c r="CA11" i="3"/>
  <c r="CA34" i="3"/>
  <c r="CA31" i="3"/>
  <c r="CA28" i="3"/>
  <c r="CA3" i="3"/>
  <c r="CA22" i="3"/>
  <c r="CA10" i="3"/>
  <c r="CA13" i="3"/>
  <c r="CA18" i="3"/>
  <c r="CA29" i="3"/>
  <c r="CA30" i="3"/>
  <c r="CA2" i="3"/>
  <c r="CA12" i="3"/>
  <c r="CA33" i="3"/>
  <c r="CA5" i="3"/>
  <c r="CA25" i="3"/>
  <c r="CA4" i="3"/>
  <c r="CA8" i="3"/>
  <c r="CA36" i="3"/>
  <c r="CA19" i="3"/>
  <c r="CA27" i="3"/>
  <c r="CA26" i="3"/>
  <c r="CA16" i="3"/>
  <c r="CA32" i="3"/>
  <c r="CA20" i="3"/>
  <c r="CA24" i="3"/>
  <c r="CA21" i="3"/>
  <c r="CA6" i="3"/>
  <c r="CA7" i="3"/>
  <c r="CA23" i="3"/>
  <c r="CA14" i="3"/>
  <c r="BB35" i="3" l="1"/>
  <c r="BT35" i="3" s="1"/>
  <c r="BS35" i="3"/>
  <c r="P115" i="7"/>
  <c r="Y115" i="7"/>
  <c r="AH113" i="7"/>
  <c r="CA35" i="3"/>
  <c r="AH115" i="7" l="1"/>
  <c r="AQ113" i="7"/>
  <c r="AQ115" i="7" l="1"/>
  <c r="AZ113" i="7"/>
  <c r="AZ118" i="7" l="1"/>
  <c r="AZ115" i="7"/>
  <c r="BI113" i="7"/>
  <c r="BI115" i="7" s="1"/>
</calcChain>
</file>

<file path=xl/sharedStrings.xml><?xml version="1.0" encoding="utf-8"?>
<sst xmlns="http://schemas.openxmlformats.org/spreadsheetml/2006/main" count="7574" uniqueCount="634">
  <si>
    <t>PROPIETARIOS RESIDENCIAS AURORA</t>
  </si>
  <si>
    <t>APARTAMENTO</t>
  </si>
  <si>
    <t>C.I.</t>
  </si>
  <si>
    <t>NOMBRE</t>
  </si>
  <si>
    <t>ALICUOTA</t>
  </si>
  <si>
    <t>NO COM1</t>
  </si>
  <si>
    <t>NO COM2</t>
  </si>
  <si>
    <t>NO COM3</t>
  </si>
  <si>
    <t>NO COM4</t>
  </si>
  <si>
    <t>NO COM5</t>
  </si>
  <si>
    <t>NO COM6</t>
  </si>
  <si>
    <t>NO COM7</t>
  </si>
  <si>
    <t>APTO. 101</t>
  </si>
  <si>
    <t>JOSE DAVID APONTE</t>
  </si>
  <si>
    <t>GNC01</t>
  </si>
  <si>
    <t>GNC02</t>
  </si>
  <si>
    <t>GNC03</t>
  </si>
  <si>
    <t>APTO. 102</t>
  </si>
  <si>
    <t>APTO. 103</t>
  </si>
  <si>
    <t>APTO. 104</t>
  </si>
  <si>
    <t>MIRIAN DE SUAREZ</t>
  </si>
  <si>
    <t>APTO. 201</t>
  </si>
  <si>
    <t>JESENIA FUENTES DE JIMENEZ</t>
  </si>
  <si>
    <t>APTO. 202</t>
  </si>
  <si>
    <t>LUIS CHIRINOS</t>
  </si>
  <si>
    <t>APTO. 203</t>
  </si>
  <si>
    <t>HECTOR SILVA</t>
  </si>
  <si>
    <t>APTO. 204</t>
  </si>
  <si>
    <t>MIREYA TOLEDO</t>
  </si>
  <si>
    <t>APTO. 301</t>
  </si>
  <si>
    <t>ANA MARIA GRATEROL DE GIL</t>
  </si>
  <si>
    <t>APTO. 302</t>
  </si>
  <si>
    <t>APTO. 303</t>
  </si>
  <si>
    <t>JOSE CONTRERAS</t>
  </si>
  <si>
    <t>APTO. 304</t>
  </si>
  <si>
    <t>JUAN CARLOS FIGUEROA</t>
  </si>
  <si>
    <t>APTO. 401</t>
  </si>
  <si>
    <t>APTO. 402</t>
  </si>
  <si>
    <t>NELSON DI GIOGIA</t>
  </si>
  <si>
    <t>APTO. 403</t>
  </si>
  <si>
    <t>APTO. 404</t>
  </si>
  <si>
    <t>APTO. 501</t>
  </si>
  <si>
    <t>JACQUELINE CABEZA</t>
  </si>
  <si>
    <t>APTO. 502</t>
  </si>
  <si>
    <t>APTO. 503</t>
  </si>
  <si>
    <t>APTO. 504</t>
  </si>
  <si>
    <t>MARIO GUEVARA</t>
  </si>
  <si>
    <t>PENT HOUSE 1</t>
  </si>
  <si>
    <t>VERKIS GALICIA</t>
  </si>
  <si>
    <t>PENT HOUSE 2</t>
  </si>
  <si>
    <t>CESAR RAMIREZ</t>
  </si>
  <si>
    <t>OFICINA 1</t>
  </si>
  <si>
    <t>JUDITH BOTARDO</t>
  </si>
  <si>
    <t>OFICINA 2</t>
  </si>
  <si>
    <t>OFICINA 3</t>
  </si>
  <si>
    <t>V.C. CONSTRUCCIONES</t>
  </si>
  <si>
    <t>OFICINA 4</t>
  </si>
  <si>
    <t>ELEAZAR ROSA AREVALO</t>
  </si>
  <si>
    <t>OFICINA 5</t>
  </si>
  <si>
    <t>DIVINA DIVININ C.A.</t>
  </si>
  <si>
    <t>OFICINA 6</t>
  </si>
  <si>
    <t>OFICINA 7</t>
  </si>
  <si>
    <t>BETTY GONZALEZ</t>
  </si>
  <si>
    <t>Local 1</t>
  </si>
  <si>
    <t>Local 2</t>
  </si>
  <si>
    <t>ODONTOIMAGEN CAGUA C.A.</t>
  </si>
  <si>
    <t>Local 3</t>
  </si>
  <si>
    <t>MANUEL CLEMENTE</t>
  </si>
  <si>
    <t>Local 4</t>
  </si>
  <si>
    <t>Local 5</t>
  </si>
  <si>
    <t>Local 6</t>
  </si>
  <si>
    <t>MARLENE CORTEZ</t>
  </si>
  <si>
    <r>
      <t>JAIME MONTA</t>
    </r>
    <r>
      <rPr>
        <sz val="11"/>
        <color theme="1"/>
        <rFont val="MS Mincho"/>
        <family val="3"/>
        <charset val="128"/>
      </rPr>
      <t>Ñ</t>
    </r>
    <r>
      <rPr>
        <sz val="11"/>
        <color theme="1"/>
        <rFont val="FangSong"/>
        <family val="3"/>
        <charset val="134"/>
      </rPr>
      <t>EZ</t>
    </r>
  </si>
  <si>
    <t>TOTAL GASTOS CONDOMINIO</t>
  </si>
  <si>
    <t xml:space="preserve">CORPOELEC </t>
  </si>
  <si>
    <t>100003424374</t>
  </si>
  <si>
    <t>CÓDIGO</t>
  </si>
  <si>
    <t>DESCRIPCIÓN</t>
  </si>
  <si>
    <t>MONTO</t>
  </si>
  <si>
    <t>FECHA</t>
  </si>
  <si>
    <t>MES</t>
  </si>
  <si>
    <t>GC001</t>
  </si>
  <si>
    <t>HONORARIOS PROFESIONALES SRA. HAIDEE CORONADO</t>
  </si>
  <si>
    <t>NOVIEMBRE</t>
  </si>
  <si>
    <t>HONORARIOS PROFESIONALES SR. MIGUEL LOPEZ</t>
  </si>
  <si>
    <t>ENERO</t>
  </si>
  <si>
    <t>BOLSAS</t>
  </si>
  <si>
    <t>GC003</t>
  </si>
  <si>
    <t>BOMBILLOS Y MAT. REPARACION</t>
  </si>
  <si>
    <t>GC019</t>
  </si>
  <si>
    <t>CORPOELEC</t>
  </si>
  <si>
    <t>GC005</t>
  </si>
  <si>
    <t>ELECTRICIDAD</t>
  </si>
  <si>
    <t>ASEO</t>
  </si>
  <si>
    <t>GC006</t>
  </si>
  <si>
    <t>AGUA</t>
  </si>
  <si>
    <t>HONORARIOS</t>
  </si>
  <si>
    <t>deuda Mari</t>
  </si>
  <si>
    <t>?</t>
  </si>
  <si>
    <t>GC008</t>
  </si>
  <si>
    <t>MATERIAL DE OFICINA Y ADMINISTRACIÓN</t>
  </si>
  <si>
    <t>GAS</t>
  </si>
  <si>
    <t>Jaime</t>
  </si>
  <si>
    <t>GC010</t>
  </si>
  <si>
    <t>MANTENIMIENTO ASCENSOR</t>
  </si>
  <si>
    <t>BOMBILLOS</t>
  </si>
  <si>
    <t>José</t>
  </si>
  <si>
    <t>GC011</t>
  </si>
  <si>
    <t>MANTENIMIENTO BOMBA DE AGUA</t>
  </si>
  <si>
    <t>REPARACION</t>
  </si>
  <si>
    <t>ACHIQUE</t>
  </si>
  <si>
    <t>GC002</t>
  </si>
  <si>
    <t>MATERIALES DE LIMPIEZA</t>
  </si>
  <si>
    <t>FUMIGACIÓN CUARTO BASURA Y BAJANTE</t>
  </si>
  <si>
    <t>Reparación Bomba de Agua y compra de Bombillos</t>
  </si>
  <si>
    <t>LIMPIEZA</t>
  </si>
  <si>
    <t>LIMPIEZA BOMBA DE ACHIQUE</t>
  </si>
  <si>
    <t>RAPARACION LUZ PASILLO</t>
  </si>
  <si>
    <t>GC016</t>
  </si>
  <si>
    <t>FONDO</t>
  </si>
  <si>
    <t>JULIO</t>
  </si>
  <si>
    <t>FEBRERO</t>
  </si>
  <si>
    <t>DETERGENTE</t>
  </si>
  <si>
    <t>CLORO</t>
  </si>
  <si>
    <t>DICIEMBRE</t>
  </si>
  <si>
    <t>MARZO</t>
  </si>
  <si>
    <t>ABRIL</t>
  </si>
  <si>
    <t>MAYO</t>
  </si>
  <si>
    <t>JUNIO</t>
  </si>
  <si>
    <t>REP.Y MONTAJE PROTECTOR MOTOR PORTÓN</t>
  </si>
  <si>
    <t>Sócate con cadena</t>
  </si>
  <si>
    <t>GAS (incentivo a camión feb. Marzo)</t>
  </si>
  <si>
    <t>PRESTACIONES CONSERJE</t>
  </si>
  <si>
    <t>PREVICION + INPC</t>
  </si>
  <si>
    <t>ARTÍCULO</t>
  </si>
  <si>
    <t>SEMANAL</t>
  </si>
  <si>
    <t>TOTAL</t>
  </si>
  <si>
    <t>PVP</t>
  </si>
  <si>
    <t>INCP</t>
  </si>
  <si>
    <t>TOTAL BS</t>
  </si>
  <si>
    <t>AUMENTO TRAB</t>
  </si>
  <si>
    <t>COLETO</t>
  </si>
  <si>
    <t>JABON</t>
  </si>
  <si>
    <t>DESINFECTANTE</t>
  </si>
  <si>
    <t>DIF. PRESTACIONES</t>
  </si>
  <si>
    <t>HONORARIOS TRABAJADOR RESIDENCIAL</t>
  </si>
  <si>
    <t>AGOSTO</t>
  </si>
  <si>
    <t>LIQUIDACION TRABAJADOR RESIDENCIAL</t>
  </si>
  <si>
    <t>PREVICION + INPC 248%</t>
  </si>
  <si>
    <t>SEPTIEMBRE</t>
  </si>
  <si>
    <t>COMPRA DE 50 BOLSAS</t>
  </si>
  <si>
    <t>PREVICION + INPC 223,1%</t>
  </si>
  <si>
    <t>OCTUBRE</t>
  </si>
  <si>
    <t>Provisión para Bombillos</t>
  </si>
  <si>
    <t>Aceite para ascensor</t>
  </si>
  <si>
    <t>Provisión para Limpieza</t>
  </si>
  <si>
    <t>Provisión para imprevistos</t>
  </si>
  <si>
    <t>INPC 233,3% (basado en 1424)</t>
  </si>
  <si>
    <t>Productos de limpieza</t>
  </si>
  <si>
    <t>INPC 200% (basado en )</t>
  </si>
  <si>
    <t>jul</t>
  </si>
  <si>
    <t>ago</t>
  </si>
  <si>
    <t>sept</t>
  </si>
  <si>
    <t>oct</t>
  </si>
  <si>
    <t>tanque</t>
  </si>
  <si>
    <t>Mora</t>
  </si>
  <si>
    <t>Apto 102</t>
  </si>
  <si>
    <t>Apto 104</t>
  </si>
  <si>
    <t>Apto 402</t>
  </si>
  <si>
    <t>Loc 3</t>
  </si>
  <si>
    <t>Loc 4</t>
  </si>
  <si>
    <t>Loc 5</t>
  </si>
  <si>
    <t>Loc 6</t>
  </si>
  <si>
    <t>Of 4</t>
  </si>
  <si>
    <t>Of 5</t>
  </si>
  <si>
    <t>Of 6</t>
  </si>
  <si>
    <t>Total</t>
  </si>
  <si>
    <t>APTO-LOCAL-OFIC.</t>
  </si>
  <si>
    <t>PROPIETARIO</t>
  </si>
  <si>
    <t>GC004</t>
  </si>
  <si>
    <t>GC007</t>
  </si>
  <si>
    <t>GC009</t>
  </si>
  <si>
    <t>GC012</t>
  </si>
  <si>
    <t>GC013</t>
  </si>
  <si>
    <t>GC014</t>
  </si>
  <si>
    <t>GC015</t>
  </si>
  <si>
    <t>GC017</t>
  </si>
  <si>
    <t>GC018</t>
  </si>
  <si>
    <t>GC100</t>
  </si>
  <si>
    <t>GC101</t>
  </si>
  <si>
    <t>GC102</t>
  </si>
  <si>
    <t>GC103</t>
  </si>
  <si>
    <t>GC104</t>
  </si>
  <si>
    <t>GC105</t>
  </si>
  <si>
    <t>GNC04</t>
  </si>
  <si>
    <t>GNC05</t>
  </si>
  <si>
    <t>GNC06</t>
  </si>
  <si>
    <t>GNC07</t>
  </si>
  <si>
    <t>GNC08</t>
  </si>
  <si>
    <t>GNC09</t>
  </si>
  <si>
    <t>GNC10</t>
  </si>
  <si>
    <t>ALC01</t>
  </si>
  <si>
    <t>ALC02</t>
  </si>
  <si>
    <t>ALC03</t>
  </si>
  <si>
    <t>ALC04</t>
  </si>
  <si>
    <t>ALC05</t>
  </si>
  <si>
    <t>ALC06</t>
  </si>
  <si>
    <t>ALC07</t>
  </si>
  <si>
    <t>ALC08</t>
  </si>
  <si>
    <t>ALC09</t>
  </si>
  <si>
    <t>ALC10</t>
  </si>
  <si>
    <t>ALC11</t>
  </si>
  <si>
    <t>ALC12</t>
  </si>
  <si>
    <t>ALC13</t>
  </si>
  <si>
    <t>ALC14</t>
  </si>
  <si>
    <t>ALC15</t>
  </si>
  <si>
    <t>ALC16</t>
  </si>
  <si>
    <t>ALC17</t>
  </si>
  <si>
    <t>ALC18</t>
  </si>
  <si>
    <t>ALC19</t>
  </si>
  <si>
    <t>ALC100</t>
  </si>
  <si>
    <t>ALC101</t>
  </si>
  <si>
    <t>ALC102</t>
  </si>
  <si>
    <t>ALC103</t>
  </si>
  <si>
    <t>ALC104</t>
  </si>
  <si>
    <t>ALC105</t>
  </si>
  <si>
    <t>ALCNC01</t>
  </si>
  <si>
    <t>ALCNC02</t>
  </si>
  <si>
    <t>ALCNC03</t>
  </si>
  <si>
    <t>ALCNC04</t>
  </si>
  <si>
    <t>ALCNC05</t>
  </si>
  <si>
    <t>SUBTOTAL</t>
  </si>
  <si>
    <t>SUBALI</t>
  </si>
  <si>
    <t>TOTALAL</t>
  </si>
  <si>
    <t>EMAIL</t>
  </si>
  <si>
    <t>ADICIONALES</t>
  </si>
  <si>
    <t>DEUDA</t>
  </si>
  <si>
    <t>Aalic</t>
  </si>
  <si>
    <t>Texto</t>
  </si>
  <si>
    <t>numlet</t>
  </si>
  <si>
    <t>leonela1585@gmail.com</t>
  </si>
  <si>
    <t>mariaeugeniaramirezrangel@gmail.com</t>
  </si>
  <si>
    <t>divinadivinin@hotmail.com</t>
  </si>
  <si>
    <t>marco.jimenez1791@gmail.com</t>
  </si>
  <si>
    <t>Luigui516chirino5079624@gmail.com</t>
  </si>
  <si>
    <t>hec_jes46@hotmail.com</t>
  </si>
  <si>
    <t>ToledoMireya3@gmail.com</t>
  </si>
  <si>
    <t>eudomargil@hotmail.com</t>
  </si>
  <si>
    <t>ALBA ARVELAIZ</t>
  </si>
  <si>
    <t>albarvelaiz@gmail.com</t>
  </si>
  <si>
    <t>jose64contreras@gmail.com</t>
  </si>
  <si>
    <t>juancarlos100361@gmail.com</t>
  </si>
  <si>
    <t>aucegumo@hotmail.com</t>
  </si>
  <si>
    <t>fabian_delaurentis@hotmail.com</t>
  </si>
  <si>
    <t>jaimemonta@gmail.com</t>
  </si>
  <si>
    <t>erpc2005@hotmail.com</t>
  </si>
  <si>
    <t>mariaes2000@hotmail.com</t>
  </si>
  <si>
    <t>WALTER OSORIO</t>
  </si>
  <si>
    <t>waloso27@gmail.com</t>
  </si>
  <si>
    <t>nixander429@hotmail.com</t>
  </si>
  <si>
    <t>guevaramar@cantv.net</t>
  </si>
  <si>
    <t>verkis4@hotmail.com</t>
  </si>
  <si>
    <t>MARIVEL NAVAS</t>
  </si>
  <si>
    <t>marivelgranas@gmail.com</t>
  </si>
  <si>
    <t>LOCAL 1</t>
  </si>
  <si>
    <t>isi0404@hotmail.com</t>
  </si>
  <si>
    <t>LOCAL 2</t>
  </si>
  <si>
    <t>odontoimagenca2017@gmail.com</t>
  </si>
  <si>
    <t>LOCAL 3</t>
  </si>
  <si>
    <t>clementelectronic@hotmail.com</t>
  </si>
  <si>
    <t>LOCAL 4</t>
  </si>
  <si>
    <t>janesilvacysne@gmail.com</t>
  </si>
  <si>
    <t>LOCAL 5</t>
  </si>
  <si>
    <t>LOCAL 6</t>
  </si>
  <si>
    <t>TRANSPORTEBOTARDO@hotmail.com</t>
  </si>
  <si>
    <t>jennysreyesb@hotmail.com</t>
  </si>
  <si>
    <t>mundosensorial@hotmail.com</t>
  </si>
  <si>
    <t>*</t>
  </si>
  <si>
    <t>PAGOS</t>
  </si>
  <si>
    <t>GASTOS</t>
  </si>
  <si>
    <t>DIFERENCIA</t>
  </si>
  <si>
    <t>LIBRO DIARIO RESIDENCIAS AURORA</t>
  </si>
  <si>
    <t>DEBE</t>
  </si>
  <si>
    <t>HABER</t>
  </si>
  <si>
    <t>Fondo Reserva</t>
  </si>
  <si>
    <t>ENE. 2018</t>
  </si>
  <si>
    <t>FEB. 2018</t>
  </si>
  <si>
    <t>MAR. 2018</t>
  </si>
  <si>
    <t>ABR. 2018</t>
  </si>
  <si>
    <t>MAY. 2018</t>
  </si>
  <si>
    <t>JUN. 2018</t>
  </si>
  <si>
    <t>JUL. 2018</t>
  </si>
  <si>
    <t>AGO. 2018</t>
  </si>
  <si>
    <t>SEP. 2018</t>
  </si>
  <si>
    <t>OCT. 2018</t>
  </si>
  <si>
    <t>NOV. 2018</t>
  </si>
  <si>
    <t>PREVICION(PRESUPUESTO PARA MAYO) + INPC 41,55%</t>
  </si>
  <si>
    <t>PRESTACIONES CONSERJE Y DIFERENCIA DE ARREGLO.</t>
  </si>
  <si>
    <t>Fecha:</t>
  </si>
  <si>
    <t>Gastos comunes</t>
  </si>
  <si>
    <t>Código Gasto</t>
  </si>
  <si>
    <t>Monto:</t>
  </si>
  <si>
    <t>Gastos no comunes</t>
  </si>
  <si>
    <t xml:space="preserve">Monto: </t>
  </si>
  <si>
    <t>GASTOS COMUNES MENSUAL</t>
  </si>
  <si>
    <t>COD.</t>
  </si>
  <si>
    <t>EGRESO1</t>
  </si>
  <si>
    <t>EGRESO2</t>
  </si>
  <si>
    <t>EGRESO3</t>
  </si>
  <si>
    <t>EGRESO4</t>
  </si>
  <si>
    <t>EGRESO5</t>
  </si>
  <si>
    <t>EGRESO6</t>
  </si>
  <si>
    <t>EGRESO7</t>
  </si>
  <si>
    <t>EGRESO8</t>
  </si>
  <si>
    <t>EGRESO9</t>
  </si>
  <si>
    <t>SUELDO DE TRABAJADOR</t>
  </si>
  <si>
    <t>MATERIALES DE OFICINA Y ADMINISTRATIVOS</t>
  </si>
  <si>
    <t>PRESTACIONES TRABAJADOR DOMICILIARIO</t>
  </si>
  <si>
    <t>HIDROPÁEZ</t>
  </si>
  <si>
    <t>PREVISIÓN MAYO</t>
  </si>
  <si>
    <t>ASEO URBANO</t>
  </si>
  <si>
    <t>SUMINISTRO E INSTALACIONES ELECTRICAS</t>
  </si>
  <si>
    <t>MANTENIMIENTO PUERTAS DE ENTRADA</t>
  </si>
  <si>
    <t>MANTENIMIENTO ESTACIONAMIENTO</t>
  </si>
  <si>
    <t>MANTENIMIENTO EQUIPOS DE SEGURIDAD</t>
  </si>
  <si>
    <t>GASTOS ADMINISTRATIVOS</t>
  </si>
  <si>
    <t>GASTOS EXTRAORDINARIOS</t>
  </si>
  <si>
    <t>OTROS</t>
  </si>
  <si>
    <t>TOTAL GASTOS COMUNES</t>
  </si>
  <si>
    <t>GASTOS NO COMUNES MENSUAL</t>
  </si>
  <si>
    <t>ASCENSOR</t>
  </si>
  <si>
    <t>LIMPIEZA ESCALERAS</t>
  </si>
  <si>
    <t>ASEO AREA DE FIESTA</t>
  </si>
  <si>
    <t>TOTAL GASTOS NO COMUNES</t>
  </si>
  <si>
    <t>INPC 141,75% (basado en 19.200)</t>
  </si>
  <si>
    <t>Unidad</t>
  </si>
  <si>
    <t>RELACIÓN DE PAGOS CONDOMINIO</t>
  </si>
  <si>
    <t>INPC 53,70% (basado en 145.618)</t>
  </si>
  <si>
    <t>Compra cisternas agua</t>
  </si>
  <si>
    <t>Deuda:</t>
  </si>
  <si>
    <t>Total:</t>
  </si>
  <si>
    <t>Alícuota</t>
  </si>
  <si>
    <t>Canc.</t>
  </si>
  <si>
    <t>email</t>
  </si>
  <si>
    <t>|</t>
  </si>
  <si>
    <t>Porcentaje</t>
  </si>
  <si>
    <t>Primer pago 20/04/19 214624,00</t>
  </si>
  <si>
    <t>INPC 27,20% (basado en 122.178)</t>
  </si>
  <si>
    <t>COLUMNA</t>
  </si>
  <si>
    <t>BD</t>
  </si>
  <si>
    <t>Deuda</t>
  </si>
  <si>
    <t>Dólar</t>
  </si>
  <si>
    <t>UNI</t>
  </si>
  <si>
    <t>dólar</t>
  </si>
  <si>
    <t>Administración 50 $ al cambio 15/05/19</t>
  </si>
  <si>
    <t>Tambor 200 lts p/basura.</t>
  </si>
  <si>
    <t>INPC 18,10% (basado en 193.819)</t>
  </si>
  <si>
    <t>Falta P/pagar</t>
  </si>
  <si>
    <t>En cuenta:</t>
  </si>
  <si>
    <t>gileudomar@gmail.com</t>
  </si>
  <si>
    <t>Tambor 200 lts p/basura. (corte tapa y agarre)</t>
  </si>
  <si>
    <t>Administración 50 $ al cambio 03/06/19</t>
  </si>
  <si>
    <t>Productos de limpieza y veneno ratas</t>
  </si>
  <si>
    <t>INPC abril según BCV 33,78% (basado en 353.157,15)</t>
  </si>
  <si>
    <t>MANTENIMIENTO ASCENSOR + 2 lt aceite</t>
  </si>
  <si>
    <t>Colocación maya, escombros, tapado hueco.</t>
  </si>
  <si>
    <t>Administración 50 $ al cambio 01/07/19</t>
  </si>
  <si>
    <t>INPC mayo según AN 31,30% (basado en 545.200,)</t>
  </si>
  <si>
    <t>Relay de llamada ascensor piso 1</t>
  </si>
  <si>
    <t>INPC mayo según AN 24,8% (basado en 436.400,00)</t>
  </si>
  <si>
    <t>Impresión recibos</t>
  </si>
  <si>
    <t>PEDRO CHACON</t>
  </si>
  <si>
    <t>Aceite ascensor</t>
  </si>
  <si>
    <t>Administración 50 $ al cambio 02/09/19</t>
  </si>
  <si>
    <t>INPC julio según AN 33,8% (basado en 538.700,00)</t>
  </si>
  <si>
    <t>PAGAN GAS</t>
  </si>
  <si>
    <t>DEUDA2</t>
  </si>
  <si>
    <t>mariogue19011954@gmail.com</t>
  </si>
  <si>
    <t>DEUDA3</t>
  </si>
  <si>
    <t>MANTENIMIENTO ASCENSOR + 1 lt aceite</t>
  </si>
  <si>
    <t>Administración 50 $ al cambio 02/11/19</t>
  </si>
  <si>
    <t>Administración 50 $ al cambio 01/10/19</t>
  </si>
  <si>
    <t>Bombillos LED para Lobby y pisos</t>
  </si>
  <si>
    <t>Cuota reparación ascensor</t>
  </si>
  <si>
    <t>INPC Septiembre según AN 23,5% (basado en 1300000,00)</t>
  </si>
  <si>
    <t>DEUDA DÓLAR</t>
  </si>
  <si>
    <t>Cuota reparación ascensor + Rectificador</t>
  </si>
  <si>
    <t>Administración 50 $ al cambio 01/12/19</t>
  </si>
  <si>
    <t>INPC Noviembre según AN 20,19% (basado en 1450000,00)</t>
  </si>
  <si>
    <t>Suministro e instalac. Lámparas y sócates estac.</t>
  </si>
  <si>
    <t>Bombillos normales p/pisos</t>
  </si>
  <si>
    <t>Circuito y lámpara entrada/interior estacionamiento</t>
  </si>
  <si>
    <t>Administración 50 $ al cambio 02/02/20</t>
  </si>
  <si>
    <t>INPC Noviembre según AN 20,19% (basado en 2229000,00)</t>
  </si>
  <si>
    <t>Colocación Relai de comando ascensor.</t>
  </si>
  <si>
    <t>INPC Diciembre según AN 35,8% (basado en1681000,00)</t>
  </si>
  <si>
    <t>impresión de recibos.</t>
  </si>
  <si>
    <t>Material de mantenimiento electrico</t>
  </si>
  <si>
    <t>Diferencia mano de obra rep. Ascensor.</t>
  </si>
  <si>
    <t>Reparación Bomba de agua y comprar cisterna</t>
  </si>
  <si>
    <t>Reparación cableado y ajustes Portón estac.</t>
  </si>
  <si>
    <t>Reparación y soldaduras hidroneumático agua</t>
  </si>
  <si>
    <t>Administración 50 $ al cambio 01/03/20</t>
  </si>
  <si>
    <t>INPC Enero según AN 65,4% (basado en 3947700,00)</t>
  </si>
  <si>
    <t>Administración 50 $ al cambio 01/04/20 BCV</t>
  </si>
  <si>
    <t>Reparación inductor parad piso 1 ascensor</t>
  </si>
  <si>
    <t>Limpieza estacionamiento y bote de basura</t>
  </si>
  <si>
    <t>INPC Enero según AN 22,4% (basado en 3522500,00)</t>
  </si>
  <si>
    <t>Mantenimiento portón estacionam. y grasa</t>
  </si>
  <si>
    <t>INPC Marzo según AN 21,2% (basado en 7029000,00)</t>
  </si>
  <si>
    <t>Diferencia pago de Corpoelec abril</t>
  </si>
  <si>
    <t>Bombillo LED blanco. (3)</t>
  </si>
  <si>
    <t>Administración 50 $ al cambio 31/05/20 BCV</t>
  </si>
  <si>
    <t>Otros</t>
  </si>
  <si>
    <t>INPC Abril según AN 80,0% (basado en 7423125,00)</t>
  </si>
  <si>
    <t>AURA MORA</t>
  </si>
  <si>
    <t>Limpieza rampa estacionam. y rejilla desagüe</t>
  </si>
  <si>
    <t>Sum. y colocación enganche de puerta ascensor</t>
  </si>
  <si>
    <t>Administración 50 $ al cambio 28/06/20 BCV</t>
  </si>
  <si>
    <t>INPC Mayo según B.C.V. 38,5% (basado en 6076000,00)</t>
  </si>
  <si>
    <t>DEUDA4</t>
  </si>
  <si>
    <t>Reparación pulmón sistema de agua. (dólares)</t>
  </si>
  <si>
    <t>Sum. y colocación bandeja e inductor niv. Piso</t>
  </si>
  <si>
    <t>Administración 50 $ al cambio 31/07/20 BCV</t>
  </si>
  <si>
    <t>INPC Mayo según A.N. 19,5% (basado en 6031000,00)</t>
  </si>
  <si>
    <r>
      <t>Pago movil (Venezuela) 04243407687 C.I. 8790431 -Cta. Ahorro. B. VENEZUELA 01020215930100065216 Eudomar Gil  gileudomar</t>
    </r>
    <r>
      <rPr>
        <b/>
        <sz val="11"/>
        <color theme="1"/>
        <rFont val="Calibri"/>
        <family val="2"/>
        <scheme val="minor"/>
      </rPr>
      <t>@gmail.com</t>
    </r>
  </si>
  <si>
    <t>HONORARIOS LOURDES GARCIA</t>
  </si>
  <si>
    <t>Tambor para basura</t>
  </si>
  <si>
    <t>Sum. y colocación Relai llamada interna ascensor</t>
  </si>
  <si>
    <t>Administración 50 $ al cambio 28/08/20 BCV</t>
  </si>
  <si>
    <t xml:space="preserve">Reparación sistema de agua. </t>
  </si>
  <si>
    <t>INPC Julio seg A.N. 55,05% (basado en 15590000,00)</t>
  </si>
  <si>
    <t>Cant. Meses deuda</t>
  </si>
  <si>
    <t>Deuda Bs</t>
  </si>
  <si>
    <t>TOTAL MORA</t>
  </si>
  <si>
    <t>Aceite para ascensor.</t>
  </si>
  <si>
    <t>Administración 50 $ al cambio 01/10/20 BCV</t>
  </si>
  <si>
    <t>INPC Julio seg A.N. 25,04% (basado en 11160000,00)</t>
  </si>
  <si>
    <t>Iguales</t>
  </si>
  <si>
    <t>MANTENIMIENTO ASCENSOR 30 * 456.000</t>
  </si>
  <si>
    <t>INPC Septiembre seg A.N. 30,00% (basado en 11160000,00)</t>
  </si>
  <si>
    <t>Administración 50 $ al cambio 01/11/20 BCV</t>
  </si>
  <si>
    <t>Rep. Sello bomba de agua/Destape tanquilla/Soldar y pintar Hidron.</t>
  </si>
  <si>
    <t xml:space="preserve">Administración 50 $ </t>
  </si>
  <si>
    <t xml:space="preserve">MANTENIMIENTO ASCENSOR 30 </t>
  </si>
  <si>
    <t>Aceite para ascensor (2).</t>
  </si>
  <si>
    <t>Bombillos normales Y 2 halógenos entrada.</t>
  </si>
  <si>
    <t>Liquidación personal de limpieza.</t>
  </si>
  <si>
    <t>Bombillos normales y Led.</t>
  </si>
  <si>
    <t>Transmisores (2) y fusiles ascensor</t>
  </si>
  <si>
    <t>REPARACIÓN ASCENSOR</t>
  </si>
  <si>
    <t>Reparación pulmón de bomba de agua</t>
  </si>
  <si>
    <t>Suministro y reparac. Panel eléctrico de bomba.</t>
  </si>
  <si>
    <t xml:space="preserve"> MAYO</t>
  </si>
  <si>
    <t>Soldadura epóxica para reparación pulmón</t>
  </si>
  <si>
    <t>Deuda de gas</t>
  </si>
  <si>
    <t>Breaker 110 para tablero principal</t>
  </si>
  <si>
    <t>Reparación filtración pared lobby, escalera, sotano</t>
  </si>
  <si>
    <t>ELECTRICIDAD (Junio y Julio)</t>
  </si>
  <si>
    <t>Reparación Lobby y arreglo puerta acceso sótano</t>
  </si>
  <si>
    <t>MANTENIMIENTO ASCENSOR 30 + diferencia dólar</t>
  </si>
  <si>
    <t>Reparación ascensor.</t>
  </si>
  <si>
    <t>Soldadura tanque hidroneumático.</t>
  </si>
  <si>
    <t>Trabajo electricidad hembrilla puerta estacionam.</t>
  </si>
  <si>
    <t>MORA</t>
  </si>
  <si>
    <t>Sum. e instalación cabezales de contactor.</t>
  </si>
  <si>
    <t>Reparación bomba # 1, materiales y M.O.</t>
  </si>
  <si>
    <t>christina9269@hotmail.com</t>
  </si>
  <si>
    <t>Compra válvula check 2"</t>
  </si>
  <si>
    <t>Veneno para ratas.</t>
  </si>
  <si>
    <t xml:space="preserve">INPC </t>
  </si>
  <si>
    <t>IMPRESIÓN</t>
  </si>
  <si>
    <t>Cambio 2 tarjeta mando y rep. Freno ascensor.</t>
  </si>
  <si>
    <t>TIAN YIN</t>
  </si>
  <si>
    <t>rep.comercializadora2122@gmail.com </t>
  </si>
  <si>
    <t>Destape tubería aguas blancas y reparac. Medidor.</t>
  </si>
  <si>
    <t>Reparación Portón estacionamiento edificio.</t>
  </si>
  <si>
    <t>Limpieza tuberia, llave paso, medidor y guayas.</t>
  </si>
  <si>
    <t>Arreglo ascensor y cambio base de puerta ppal.</t>
  </si>
  <si>
    <t>Reparación base y micro chip Portón estac.</t>
  </si>
  <si>
    <t xml:space="preserve">Administración 100 $ </t>
  </si>
  <si>
    <t>Materiales y lámina acrílica (tubería externa).</t>
  </si>
  <si>
    <t>Reparación ascensor carrito y base plástica.</t>
  </si>
  <si>
    <t>Instalación tubería y conexión para bomba agua.</t>
  </si>
  <si>
    <t>Limpieza y destape inidoros estacionamiento.</t>
  </si>
  <si>
    <t>ADMINISTRACION</t>
  </si>
  <si>
    <t>Compra tambor para basura.</t>
  </si>
  <si>
    <t>Reparación puerta y enganche de cabina ASCENSOR</t>
  </si>
  <si>
    <t>Reparación portón y soldadura (mano de obra)</t>
  </si>
  <si>
    <t>Compra de ruedas y carrucha.</t>
  </si>
  <si>
    <t>Bombillos y sócate</t>
  </si>
  <si>
    <t>trabymas2212@gmail.com</t>
  </si>
  <si>
    <t>Compra resina y rep. Tubo tanque de agua.</t>
  </si>
  <si>
    <t>Compra de grasa y revisión del portón estacionam.</t>
  </si>
  <si>
    <t>Reparación bomba de agua, tablero eléctrico.</t>
  </si>
  <si>
    <t>Reparación del portón y soldadura.</t>
  </si>
  <si>
    <t>jacquelinecabezag@yahoo.es</t>
  </si>
  <si>
    <t>Reparación micro switche del portón y tornillo.</t>
  </si>
  <si>
    <t>Cambio de relay de mando patín puerta ascensor.</t>
  </si>
  <si>
    <t>TOTAL + MORA</t>
  </si>
  <si>
    <t>Reparación pulmón de bomba de agua.</t>
  </si>
  <si>
    <t>Reparación compresor bomba de agua</t>
  </si>
  <si>
    <t>Arreglo ascensor, mano de obra</t>
  </si>
  <si>
    <t xml:space="preserve">Ajuste por aumento inflacionario </t>
  </si>
  <si>
    <t>Reparación y soldadura pulmón bomba de agua</t>
  </si>
  <si>
    <t>ABONO 7,2</t>
  </si>
  <si>
    <t>jennysreyesb@gmail.com</t>
  </si>
  <si>
    <t>Reparación tubo de bomba (mat. Y mano de obra)</t>
  </si>
  <si>
    <t>Chequeo y revisión ascensor (previo reparación)</t>
  </si>
  <si>
    <t>Arreglo ascensor</t>
  </si>
  <si>
    <t>Compra relay temporizador bomba y cables</t>
  </si>
  <si>
    <t>Reparación micro switch portón estacionamiento</t>
  </si>
  <si>
    <t>Compra tambor 200 k para basura</t>
  </si>
  <si>
    <t>Purga y vaciado pulmón de bomba de agua.</t>
  </si>
  <si>
    <t>Reparación y montaje motor de portón est.</t>
  </si>
  <si>
    <t>Suministro, eparación y montaje tarjeta de portón est.</t>
  </si>
  <si>
    <t>Destape y limpieza inodoros estacionamiento.</t>
  </si>
  <si>
    <t>Compra e instalación lámparas pasillo mezzanina</t>
  </si>
  <si>
    <t>Compra e instalación 2 rejillas de piso.</t>
  </si>
  <si>
    <t>Rep. y montaje tubo encofrado (tubo plast.) y mat.</t>
  </si>
  <si>
    <t>Total deuda 26 meses Hidrocentro</t>
  </si>
  <si>
    <t>Dólares</t>
  </si>
  <si>
    <t>HIDROCENTRO 300 $ 1/2 deuda + 65 $ mes dic.</t>
  </si>
  <si>
    <t>Rep. Tubo y compra materiales bomba 1</t>
  </si>
  <si>
    <t>Rep. Huecos pulmón sistema hidráulico</t>
  </si>
  <si>
    <t>Compra adornos y arreglos de navidad</t>
  </si>
  <si>
    <t>Rep. 4 Huecos nuevos pulmón sistema hidráulico</t>
  </si>
  <si>
    <t>HIDROCENTRO 300 $ 1/2 deuda</t>
  </si>
  <si>
    <t>HIDROCENTRO Dic. - Enero</t>
  </si>
  <si>
    <t>Rep. Micro switch portón y repuesto.</t>
  </si>
  <si>
    <t>Compr e instalac. contactor cabina ascensor.</t>
  </si>
  <si>
    <t>HIDROCENTRO Marzo-Abril</t>
  </si>
  <si>
    <t>ELECTRICIDAD + Relleno Sanitario 58$</t>
  </si>
  <si>
    <t>Destape cañería principal</t>
  </si>
  <si>
    <t>Presostato 2, relai sec. 2, llave esp. Cable tape y mano de obra</t>
  </si>
  <si>
    <t>Protector trif., riel, pila, tornillos y mano o.</t>
  </si>
  <si>
    <t>Reparación pulmón (lámina, elect, mano o.)</t>
  </si>
  <si>
    <t>DEUDA A MAYO 24</t>
  </si>
  <si>
    <t>LOC 5</t>
  </si>
  <si>
    <t>HASTA MAYO 22</t>
  </si>
  <si>
    <t>INT 3% ANUAL MAYO 22</t>
  </si>
  <si>
    <t>Reparación avería ascensor.</t>
  </si>
  <si>
    <t xml:space="preserve">HIDROCENTRO </t>
  </si>
  <si>
    <t>Reparación ascensor (2) - Repuestos y M. de O.</t>
  </si>
  <si>
    <t>Mantenimiento y revisión Portón.</t>
  </si>
  <si>
    <t>Abonó 750 Mayo24 y 250 agosto 24</t>
  </si>
  <si>
    <t>Sum. Colocación tarjeta llamada de ascensor</t>
  </si>
  <si>
    <t>Reparac. Bomba achique, platin. Y flotante</t>
  </si>
  <si>
    <t>Rep.tensor de correa, resortes puerta ascensor</t>
  </si>
  <si>
    <t>Suministro e Instalación 2 bombillos E40 + sócates y cable.</t>
  </si>
  <si>
    <t>Llave, Codo, Anillo y Unión 1 1/2 pulg e instalación.</t>
  </si>
  <si>
    <t>Otros.</t>
  </si>
  <si>
    <t>ELECTRICIDAD 75$ + Relleno Sanitario 65$</t>
  </si>
  <si>
    <t>Suministro/Instalación sistema presión constante agua.</t>
  </si>
  <si>
    <t>ELECTRICIDAD 85$ + Relleno Sanitario 70$</t>
  </si>
  <si>
    <t>Reparación sist. Eléctrico, presostato, fusilería.</t>
  </si>
  <si>
    <t>Reparación bomba #1.</t>
  </si>
  <si>
    <t>WUILIANA VAZQUEZ</t>
  </si>
  <si>
    <t>ELECTRICIDAD 90$ + Relleno Sanitario 70$</t>
  </si>
  <si>
    <t>Fumigación completa áreas comunes edificio.</t>
  </si>
  <si>
    <t>ABONÓ 30</t>
  </si>
  <si>
    <t>TASA</t>
  </si>
  <si>
    <t>Texto pdf</t>
  </si>
  <si>
    <t>GOMITAS_MANPECA</t>
  </si>
  <si>
    <t xml:space="preserve">BANCO BICENTENARIO BANCO UNIVERSAL C.A.
</t>
  </si>
  <si>
    <t>ANDREINA</t>
  </si>
  <si>
    <t>BANCO BICENTENARIO</t>
  </si>
  <si>
    <t xml:space="preserve">REP. COMERCIALIZADORA </t>
  </si>
  <si>
    <t>GOMITAS MANPECA</t>
  </si>
  <si>
    <t>ELECTRICIDAD 95$ + Relleno Sanitario 75$</t>
  </si>
  <si>
    <t>Rep. En instación dos (2) microswitch piso 4 y 5</t>
  </si>
  <si>
    <t>OSMARY BRICEÑO</t>
  </si>
  <si>
    <t>Sum/Inst. 3 contactores ATTA - PB y pisos</t>
  </si>
  <si>
    <t>Sum/Inst. Rectif. De llamadas y circ. Seguridad.</t>
  </si>
  <si>
    <t xml:space="preserve">MANTENIMIENTO ASCENSOR </t>
  </si>
  <si>
    <t>Sum/Inst. 2 contactor de dirección ascensor</t>
  </si>
  <si>
    <t>Destape y limpieza c/guaya tanquilla portón.</t>
  </si>
  <si>
    <t xml:space="preserve">Destape, limpieza y mant. Ala #2 PH - PB </t>
  </si>
  <si>
    <t>Fumigación áreas comunes y bajante basura.</t>
  </si>
  <si>
    <t>Mantenim. Freno ascensor, graduación bandas</t>
  </si>
  <si>
    <t>Rep. y corrección banderas y topes de piso ascensor.</t>
  </si>
  <si>
    <t>bettygonz193@gmail.com</t>
  </si>
  <si>
    <t>JOSÉ ÁVILA</t>
  </si>
  <si>
    <t>ELECTRICIDAD 75$ + Relleno Sanitario 95$</t>
  </si>
  <si>
    <t>Apertura Puerta, sum/coloc cerradura, m/o.</t>
  </si>
  <si>
    <t>Destape cañerias edificio Aurora.</t>
  </si>
  <si>
    <t>Sum/instal. Microswitch piso 5, cableado y bobina</t>
  </si>
  <si>
    <t>S/I microswitch, targ selector, reiter p/velocidad PH y PB</t>
  </si>
  <si>
    <t>Reparación tuberías aguas blancas estacionam.</t>
  </si>
  <si>
    <t>YEYSY ALEJANDRA TABAREZ</t>
  </si>
  <si>
    <t>ELECTRICIDAD 80$ + Relleno Sanitario 95$</t>
  </si>
  <si>
    <t>ABONO 20 $ OCTUBRE</t>
  </si>
  <si>
    <t>Asunto</t>
  </si>
  <si>
    <t>Cuerpo</t>
  </si>
  <si>
    <t>Adjunto</t>
  </si>
  <si>
    <t>osmary14@gmail.com</t>
  </si>
  <si>
    <t>aletabares1980@gmail.com</t>
  </si>
  <si>
    <t>Inversiones20avila@gmail.com</t>
  </si>
  <si>
    <t>ELECTRICIDAD 85$ + Relleno Sanitario 95$</t>
  </si>
  <si>
    <t>8 Lámparas-bombillos-9damper, apagador, m/obra.</t>
  </si>
  <si>
    <t>Rev. Y mant. Portón y Control p/Sra. limpieza.</t>
  </si>
  <si>
    <t>Arreglos navideños.</t>
  </si>
  <si>
    <t>rmaxgli@gmail.com</t>
  </si>
  <si>
    <t>ELECTRICIDAD 90$ + Relleno Sanitario 95$</t>
  </si>
  <si>
    <t xml:space="preserve">Administración 150 $ </t>
  </si>
  <si>
    <t>MONTO RECIBO</t>
  </si>
  <si>
    <t>A pagar</t>
  </si>
  <si>
    <t>AÑO</t>
  </si>
  <si>
    <t>INT MORA</t>
  </si>
  <si>
    <t>P</t>
  </si>
  <si>
    <t>ELECTRICIDAD 95$ + Relleno Sanitario 95$</t>
  </si>
  <si>
    <t>Sum. Y Coloc. 7 bombillos-sócate y cableado</t>
  </si>
  <si>
    <t>Mantenimiento portón</t>
  </si>
  <si>
    <t>Fumigación áreas Comunes.</t>
  </si>
  <si>
    <t>ENE. 2026</t>
  </si>
  <si>
    <t>FEB. 2026</t>
  </si>
  <si>
    <t>MAR. 2026</t>
  </si>
  <si>
    <t>Deuda actual</t>
  </si>
  <si>
    <t>Deuda acum.</t>
  </si>
  <si>
    <t>ABR. 2026</t>
  </si>
  <si>
    <t>Reparación cerradura portón e instalación.</t>
  </si>
  <si>
    <t>Sum/Coloc. 2 relés aux. de protección ascensor</t>
  </si>
  <si>
    <t>Compra 2 patines (rodamientos), portón.</t>
  </si>
  <si>
    <t>Reparación tarjeta,freno, riel y patines portón.</t>
  </si>
  <si>
    <t>Reparación tubo de agua + materiales.</t>
  </si>
  <si>
    <t>Limpieza y cometido de güaya tanquilla portón.</t>
  </si>
  <si>
    <t>Sum. e instalación micro switch puerta ascensor.</t>
  </si>
  <si>
    <t>ELECTRICIDAD  + Relleno Sanitario</t>
  </si>
  <si>
    <t>Compra cilíndro puerta principal.</t>
  </si>
  <si>
    <t>Fondo de Reserva 10%</t>
  </si>
  <si>
    <t>Cuota por alquiler de conserjería</t>
  </si>
  <si>
    <t>Recibo de Condominio Julio 2026</t>
  </si>
  <si>
    <t>Se coloca el ingreso extra por alquiler de conserjería y se resta del monto total de gastos, para luego calcular la alícuota y el 10% de fondo de reserva.</t>
  </si>
  <si>
    <t>Se elimina el ajuste por inflación por sugerencia de los opropietarios al considerarlo no acorde, en vez de ello, se está colocando el Fondo de reserva del 10% de los gastos, de acuerdo a la Ley y al Libro decondominio del edificio.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</si>
</sst>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 * #,##0.00_ ;_ * \-#,##0.00_ ;_ * &quot;-&quot;??_ ;_ @_ "/>
    <numFmt numFmtId="164" formatCode="_-* #,##0.00\ &quot;€&quot;_-;\-* #,##0.00\ &quot;€&quot;_-;_-* &quot;-&quot;??\ &quot;€&quot;_-;_-@_-"/>
    <numFmt numFmtId="165" formatCode="_-* #,##0.00\ _€_-;\-* #,##0.00\ _€_-;_-* &quot;-&quot;??\ _€_-;_-@_-"/>
    <numFmt numFmtId="166" formatCode="&quot;Bs. F&quot;\ #,##0.00"/>
    <numFmt numFmtId="167" formatCode="mmmm\-yyyy"/>
    <numFmt numFmtId="168" formatCode="[$-F800]dddd\,\ mmmm\ dd\,\ yyyy"/>
    <numFmt numFmtId="169" formatCode="_ [$Bs.-200A]* #,##0.00_ ;_ [$Bs.-200A]* \-#,##0.00_ ;_ [$Bs.-200A]* &quot;-&quot;??_ ;_ @_ "/>
    <numFmt numFmtId="170" formatCode="_ * #,##0_ ;_ * \-#,##0_ ;_ * &quot;-&quot;??_ ;_ @_ "/>
    <numFmt numFmtId="171" formatCode="_-* #,##0\ _€_-;\-* #,##0\ _€_-;_-* &quot;-&quot;??\ _€_-;_-@_-"/>
    <numFmt numFmtId="172" formatCode="#,##0.00\ [$USD]"/>
    <numFmt numFmtId="173" formatCode="0.0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sz val="11"/>
      <color theme="1"/>
      <name val="FangSong"/>
      <family val="3"/>
      <charset val="134"/>
    </font>
    <font>
      <sz val="11"/>
      <color theme="1"/>
      <name val="MS Mincho"/>
      <family val="3"/>
      <charset val="128"/>
    </font>
    <font>
      <sz val="11"/>
      <color rgb="FF000000"/>
      <name val="FangSong"/>
      <family val="3"/>
      <charset val="134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lbertus Extra Bold"/>
      <family val="2"/>
    </font>
    <font>
      <sz val="10"/>
      <color theme="1"/>
      <name val="Calibri"/>
      <family val="2"/>
      <scheme val="minor"/>
    </font>
    <font>
      <sz val="8"/>
      <color theme="1" tint="0.499984740745262"/>
      <name val="Calibri"/>
      <family val="1"/>
      <scheme val="minor"/>
    </font>
    <font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8" tint="-0.249977111117893"/>
      <name val="Tw Cen MT Condensed Extra Bold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5F29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rgb="FFAC6F11"/>
      </left>
      <right/>
      <top style="double">
        <color rgb="FFAC6F11"/>
      </top>
      <bottom style="thin">
        <color rgb="FFC6C6A6"/>
      </bottom>
      <diagonal/>
    </border>
    <border>
      <left/>
      <right/>
      <top style="double">
        <color rgb="FFAC6F11"/>
      </top>
      <bottom style="thin">
        <color rgb="FFC6C6A6"/>
      </bottom>
      <diagonal/>
    </border>
    <border>
      <left/>
      <right style="double">
        <color rgb="FFAC6F11"/>
      </right>
      <top style="double">
        <color rgb="FFAC6F11"/>
      </top>
      <bottom style="thin">
        <color rgb="FFC6C6A6"/>
      </bottom>
      <diagonal/>
    </border>
    <border>
      <left style="double">
        <color rgb="FFAC6F11"/>
      </left>
      <right style="double">
        <color rgb="FFAC6F11"/>
      </right>
      <top style="double">
        <color rgb="FFAC6F11"/>
      </top>
      <bottom style="thin">
        <color rgb="FFC6C6A6"/>
      </bottom>
      <diagonal/>
    </border>
    <border>
      <left style="double">
        <color rgb="FFAC6F11"/>
      </left>
      <right/>
      <top style="thin">
        <color rgb="FFC6C6A6"/>
      </top>
      <bottom style="thin">
        <color rgb="FFC6C6A6"/>
      </bottom>
      <diagonal/>
    </border>
    <border>
      <left/>
      <right style="double">
        <color rgb="FFAC6F11"/>
      </right>
      <top style="thin">
        <color rgb="FFC6C6A6"/>
      </top>
      <bottom style="thin">
        <color rgb="FFC6C6A6"/>
      </bottom>
      <diagonal/>
    </border>
    <border>
      <left style="double">
        <color rgb="FFAC6F11"/>
      </left>
      <right style="double">
        <color rgb="FFAC6F11"/>
      </right>
      <top style="thin">
        <color rgb="FFC6C6A6"/>
      </top>
      <bottom style="thin">
        <color rgb="FFC6C6A6"/>
      </bottom>
      <diagonal/>
    </border>
    <border>
      <left style="double">
        <color rgb="FFAC6F11"/>
      </left>
      <right/>
      <top style="thin">
        <color rgb="FFC6C6A6"/>
      </top>
      <bottom style="double">
        <color rgb="FFAC6F11"/>
      </bottom>
      <diagonal/>
    </border>
    <border>
      <left/>
      <right/>
      <top style="thin">
        <color rgb="FFC6C6A6"/>
      </top>
      <bottom style="double">
        <color rgb="FFAC6F11"/>
      </bottom>
      <diagonal/>
    </border>
    <border>
      <left/>
      <right style="double">
        <color rgb="FFAC6F11"/>
      </right>
      <top style="thin">
        <color rgb="FFC6C6A6"/>
      </top>
      <bottom style="double">
        <color rgb="FFAC6F11"/>
      </bottom>
      <diagonal/>
    </border>
    <border>
      <left style="double">
        <color rgb="FFAC6F11"/>
      </left>
      <right style="double">
        <color rgb="FFAC6F11"/>
      </right>
      <top style="thin">
        <color rgb="FFC6C6A6"/>
      </top>
      <bottom style="double">
        <color rgb="FFAC6F11"/>
      </bottom>
      <diagonal/>
    </border>
    <border>
      <left style="double">
        <color rgb="FFAC6F11"/>
      </left>
      <right style="hair">
        <color rgb="FFC6C6A6"/>
      </right>
      <top/>
      <bottom style="thin">
        <color rgb="FFC6C6A6"/>
      </bottom>
      <diagonal/>
    </border>
    <border>
      <left/>
      <right/>
      <top/>
      <bottom style="thin">
        <color rgb="FFC6C6A6"/>
      </bottom>
      <diagonal/>
    </border>
    <border>
      <left/>
      <right style="double">
        <color rgb="FFAC6F11"/>
      </right>
      <top/>
      <bottom style="thin">
        <color rgb="FFC6C6A6"/>
      </bottom>
      <diagonal/>
    </border>
    <border>
      <left style="double">
        <color rgb="FFAC6F11"/>
      </left>
      <right style="hair">
        <color rgb="FFC6C6A6"/>
      </right>
      <top style="thin">
        <color rgb="FFC6C6A6"/>
      </top>
      <bottom style="thin">
        <color rgb="FFC6C6A6"/>
      </bottom>
      <diagonal/>
    </border>
    <border>
      <left/>
      <right/>
      <top style="thin">
        <color rgb="FFC6C6A6"/>
      </top>
      <bottom style="thin">
        <color rgb="FFC6C6A6"/>
      </bottom>
      <diagonal/>
    </border>
    <border>
      <left style="double">
        <color rgb="FFAC6F11"/>
      </left>
      <right/>
      <top style="thin">
        <color rgb="FFC6C6A6"/>
      </top>
      <bottom/>
      <diagonal/>
    </border>
    <border>
      <left style="double">
        <color rgb="FFAC6F11"/>
      </left>
      <right style="hair">
        <color rgb="FFC6C6A6"/>
      </right>
      <top style="thin">
        <color rgb="FFC6C6A6"/>
      </top>
      <bottom/>
      <diagonal/>
    </border>
    <border>
      <left/>
      <right/>
      <top style="thin">
        <color rgb="FFC6C6A6"/>
      </top>
      <bottom/>
      <diagonal/>
    </border>
    <border>
      <left/>
      <right style="double">
        <color rgb="FFAC6F11"/>
      </right>
      <top style="thin">
        <color rgb="FFC6C6A6"/>
      </top>
      <bottom/>
      <diagonal/>
    </border>
    <border>
      <left style="double">
        <color rgb="FFAC6F11"/>
      </left>
      <right/>
      <top style="thin">
        <color rgb="FFC6C6A6"/>
      </top>
      <bottom style="thin">
        <color theme="0" tint="-0.24994659260841701"/>
      </bottom>
      <diagonal/>
    </border>
    <border>
      <left style="double">
        <color rgb="FFAC6F11"/>
      </left>
      <right style="double">
        <color rgb="FFAC6F11"/>
      </right>
      <top style="thin">
        <color rgb="FFC6C6A6"/>
      </top>
      <bottom/>
      <diagonal/>
    </border>
    <border>
      <left style="double">
        <color rgb="FFAC6F11"/>
      </left>
      <right style="hair">
        <color rgb="FFC6C6A6"/>
      </right>
      <top style="thin">
        <color rgb="FFC6C6A6"/>
      </top>
      <bottom style="medium">
        <color rgb="FFAC6F11"/>
      </bottom>
      <diagonal/>
    </border>
    <border>
      <left/>
      <right/>
      <top style="thin">
        <color rgb="FFC6C6A6"/>
      </top>
      <bottom style="medium">
        <color rgb="FFAC6F11"/>
      </bottom>
      <diagonal/>
    </border>
    <border>
      <left/>
      <right style="double">
        <color rgb="FFAC6F11"/>
      </right>
      <top style="thin">
        <color rgb="FFC6C6A6"/>
      </top>
      <bottom style="medium">
        <color rgb="FFAC6F11"/>
      </bottom>
      <diagonal/>
    </border>
    <border>
      <left style="double">
        <color rgb="FFAC6F11"/>
      </left>
      <right/>
      <top style="thin">
        <color theme="0" tint="-0.24994659260841701"/>
      </top>
      <bottom style="medium">
        <color rgb="FFAC6F11"/>
      </bottom>
      <diagonal/>
    </border>
    <border>
      <left style="double">
        <color rgb="FFAC6F11"/>
      </left>
      <right style="double">
        <color rgb="FFAC6F11"/>
      </right>
      <top style="thin">
        <color rgb="FFC6C6A6"/>
      </top>
      <bottom style="medium">
        <color rgb="FFAC6F11"/>
      </bottom>
      <diagonal/>
    </border>
    <border>
      <left style="double">
        <color rgb="FFAC6F11"/>
      </left>
      <right style="double">
        <color rgb="FFAC6F11"/>
      </right>
      <top/>
      <bottom style="thin">
        <color rgb="FFC6C6A6"/>
      </bottom>
      <diagonal/>
    </border>
    <border>
      <left style="double">
        <color rgb="FFAC6F11"/>
      </left>
      <right style="hair">
        <color rgb="FFC6C6A6"/>
      </right>
      <top style="thin">
        <color rgb="FFC6C6A6"/>
      </top>
      <bottom style="double">
        <color rgb="FFAC6F11"/>
      </bottom>
      <diagonal/>
    </border>
    <border>
      <left style="double">
        <color theme="3" tint="0.39994506668294322"/>
      </left>
      <right/>
      <top style="double">
        <color theme="3" tint="0.39994506668294322"/>
      </top>
      <bottom style="thin">
        <color rgb="FFC6C6A6"/>
      </bottom>
      <diagonal/>
    </border>
    <border>
      <left/>
      <right style="double">
        <color theme="3" tint="0.39991454817346722"/>
      </right>
      <top style="double">
        <color theme="3" tint="0.39994506668294322"/>
      </top>
      <bottom style="thin">
        <color rgb="FFC6C6A6"/>
      </bottom>
      <diagonal/>
    </border>
    <border>
      <left style="double">
        <color theme="3" tint="0.39991454817346722"/>
      </left>
      <right style="double">
        <color theme="3" tint="0.39994506668294322"/>
      </right>
      <top style="double">
        <color theme="3" tint="0.39994506668294322"/>
      </top>
      <bottom style="thin">
        <color rgb="FFC6C6A6"/>
      </bottom>
      <diagonal/>
    </border>
    <border>
      <left style="double">
        <color theme="3" tint="0.39994506668294322"/>
      </left>
      <right style="double">
        <color theme="3" tint="0.39991454817346722"/>
      </right>
      <top style="double">
        <color theme="3" tint="0.39994506668294322"/>
      </top>
      <bottom style="thin">
        <color rgb="FFC6C6A6"/>
      </bottom>
      <diagonal/>
    </border>
    <border>
      <left style="double">
        <color theme="3" tint="0.39994506668294322"/>
      </left>
      <right/>
      <top style="thin">
        <color rgb="FFC6C6A6"/>
      </top>
      <bottom style="thin">
        <color rgb="FFC6C6A6"/>
      </bottom>
      <diagonal/>
    </border>
    <border>
      <left/>
      <right style="double">
        <color theme="3" tint="0.39991454817346722"/>
      </right>
      <top style="thin">
        <color rgb="FFC6C6A6"/>
      </top>
      <bottom style="thin">
        <color rgb="FFC6C6A6"/>
      </bottom>
      <diagonal/>
    </border>
    <border>
      <left style="double">
        <color theme="3" tint="0.39991454817346722"/>
      </left>
      <right style="double">
        <color theme="3" tint="0.39994506668294322"/>
      </right>
      <top style="thin">
        <color rgb="FFC6C6A6"/>
      </top>
      <bottom style="thin">
        <color rgb="FFC6C6A6"/>
      </bottom>
      <diagonal/>
    </border>
    <border>
      <left style="double">
        <color theme="3" tint="0.39994506668294322"/>
      </left>
      <right style="double">
        <color theme="3" tint="0.39991454817346722"/>
      </right>
      <top style="thin">
        <color rgb="FFC6C6A6"/>
      </top>
      <bottom style="thin">
        <color rgb="FFC6C6A6"/>
      </bottom>
      <diagonal/>
    </border>
    <border>
      <left style="double">
        <color theme="3" tint="0.39994506668294322"/>
      </left>
      <right/>
      <top style="thin">
        <color rgb="FFC6C6A6"/>
      </top>
      <bottom style="double">
        <color theme="3" tint="0.39991454817346722"/>
      </bottom>
      <diagonal/>
    </border>
    <border>
      <left/>
      <right style="double">
        <color theme="3" tint="0.39991454817346722"/>
      </right>
      <top style="thin">
        <color rgb="FFC6C6A6"/>
      </top>
      <bottom style="double">
        <color theme="3" tint="0.39991454817346722"/>
      </bottom>
      <diagonal/>
    </border>
    <border>
      <left style="double">
        <color theme="3" tint="0.39991454817346722"/>
      </left>
      <right style="double">
        <color theme="3" tint="0.39994506668294322"/>
      </right>
      <top style="thin">
        <color rgb="FFC6C6A6"/>
      </top>
      <bottom style="double">
        <color theme="3" tint="0.39988402966399123"/>
      </bottom>
      <diagonal/>
    </border>
    <border>
      <left style="double">
        <color theme="3" tint="0.39994506668294322"/>
      </left>
      <right style="double">
        <color theme="3" tint="0.39991454817346722"/>
      </right>
      <top style="thin">
        <color rgb="FFC6C6A6"/>
      </top>
      <bottom style="double">
        <color theme="3" tint="0.39991454817346722"/>
      </bottom>
      <diagonal/>
    </border>
    <border>
      <left style="double">
        <color theme="3" tint="0.39994506668294322"/>
      </left>
      <right style="hair">
        <color rgb="FFC6C6A6"/>
      </right>
      <top style="double">
        <color theme="3" tint="0.39991454817346722"/>
      </top>
      <bottom style="thin">
        <color rgb="FFC6C6A6"/>
      </bottom>
      <diagonal/>
    </border>
    <border>
      <left style="hair">
        <color rgb="FFC6C6A6"/>
      </left>
      <right style="double">
        <color theme="3" tint="0.39994506668294322"/>
      </right>
      <top style="double">
        <color theme="3" tint="0.39991454817346722"/>
      </top>
      <bottom style="thin">
        <color rgb="FFC6C6A6"/>
      </bottom>
      <diagonal/>
    </border>
    <border>
      <left/>
      <right style="double">
        <color theme="3" tint="0.39991454817346722"/>
      </right>
      <top style="double">
        <color theme="3" tint="0.39991454817346722"/>
      </top>
      <bottom style="thin">
        <color rgb="FFC6C6A6"/>
      </bottom>
      <diagonal/>
    </border>
    <border>
      <left style="double">
        <color theme="3" tint="0.39991454817346722"/>
      </left>
      <right style="double">
        <color theme="3" tint="0.39988402966399123"/>
      </right>
      <top style="double">
        <color theme="3" tint="0.39988402966399123"/>
      </top>
      <bottom style="thin">
        <color rgb="FFC6C6A6"/>
      </bottom>
      <diagonal/>
    </border>
    <border>
      <left/>
      <right style="double">
        <color theme="3" tint="0.39991454817346722"/>
      </right>
      <top/>
      <bottom style="thin">
        <color rgb="FFC6C6A6"/>
      </bottom>
      <diagonal/>
    </border>
    <border>
      <left style="double">
        <color theme="3" tint="0.39994506668294322"/>
      </left>
      <right style="hair">
        <color rgb="FFC6C6A6"/>
      </right>
      <top style="thin">
        <color rgb="FFC6C6A6"/>
      </top>
      <bottom style="thin">
        <color rgb="FFC6C6A6"/>
      </bottom>
      <diagonal/>
    </border>
    <border>
      <left style="hair">
        <color rgb="FFC6C6A6"/>
      </left>
      <right style="double">
        <color theme="3" tint="0.39994506668294322"/>
      </right>
      <top style="thin">
        <color rgb="FFC6C6A6"/>
      </top>
      <bottom style="thin">
        <color rgb="FFC6C6A6"/>
      </bottom>
      <diagonal/>
    </border>
    <border>
      <left style="double">
        <color theme="3" tint="0.39991454817346722"/>
      </left>
      <right style="double">
        <color theme="3" tint="0.39988402966399123"/>
      </right>
      <top style="thin">
        <color rgb="FFC6C6A6"/>
      </top>
      <bottom/>
      <diagonal/>
    </border>
    <border>
      <left style="double">
        <color theme="3" tint="0.39994506668294322"/>
      </left>
      <right style="hair">
        <color rgb="FFC6C6A6"/>
      </right>
      <top style="thin">
        <color rgb="FFC6C6A6"/>
      </top>
      <bottom/>
      <diagonal/>
    </border>
    <border>
      <left style="hair">
        <color rgb="FFC6C6A6"/>
      </left>
      <right style="double">
        <color theme="3" tint="0.39994506668294322"/>
      </right>
      <top style="thin">
        <color rgb="FFC6C6A6"/>
      </top>
      <bottom/>
      <diagonal/>
    </border>
    <border>
      <left/>
      <right style="double">
        <color theme="3" tint="0.39991454817346722"/>
      </right>
      <top style="thin">
        <color rgb="FFC6C6A6"/>
      </top>
      <bottom/>
      <diagonal/>
    </border>
    <border>
      <left style="double">
        <color theme="3" tint="0.39991454817346722"/>
      </left>
      <right style="double">
        <color theme="3" tint="0.39988402966399123"/>
      </right>
      <top style="thin">
        <color rgb="FFC6C6A6"/>
      </top>
      <bottom style="thin">
        <color theme="0" tint="-0.24994659260841701"/>
      </bottom>
      <diagonal/>
    </border>
    <border>
      <left style="double">
        <color theme="3" tint="0.39991454817346722"/>
      </left>
      <right style="double">
        <color theme="3" tint="0.39988402966399123"/>
      </right>
      <top style="thin">
        <color theme="0" tint="-0.24994659260841701"/>
      </top>
      <bottom/>
      <diagonal/>
    </border>
    <border>
      <left style="double">
        <color theme="3" tint="0.39988402966399123"/>
      </left>
      <right style="double">
        <color theme="3" tint="0.39991454817346722"/>
      </right>
      <top style="thin">
        <color rgb="FFC6C6A6"/>
      </top>
      <bottom/>
      <diagonal/>
    </border>
    <border>
      <left style="double">
        <color theme="3" tint="0.39994506668294322"/>
      </left>
      <right style="hair">
        <color rgb="FFC6C6A6"/>
      </right>
      <top style="medium">
        <color theme="3" tint="0.39991454817346722"/>
      </top>
      <bottom style="thin">
        <color rgb="FFC6C6A6"/>
      </bottom>
      <diagonal/>
    </border>
    <border>
      <left style="hair">
        <color rgb="FFC6C6A6"/>
      </left>
      <right style="double">
        <color theme="3" tint="0.39994506668294322"/>
      </right>
      <top style="medium">
        <color theme="3" tint="0.39991454817346722"/>
      </top>
      <bottom style="thin">
        <color rgb="FFC6C6A6"/>
      </bottom>
      <diagonal/>
    </border>
    <border>
      <left/>
      <right style="double">
        <color theme="3" tint="0.39991454817346722"/>
      </right>
      <top style="medium">
        <color theme="3" tint="0.39991454817346722"/>
      </top>
      <bottom style="thin">
        <color rgb="FFC6C6A6"/>
      </bottom>
      <diagonal/>
    </border>
    <border>
      <left style="double">
        <color theme="3" tint="0.39991454817346722"/>
      </left>
      <right style="double">
        <color theme="3" tint="0.39988402966399123"/>
      </right>
      <top style="medium">
        <color theme="3" tint="0.39991454817346722"/>
      </top>
      <bottom style="thin">
        <color rgb="FFC6C6A6"/>
      </bottom>
      <diagonal/>
    </border>
    <border>
      <left style="double">
        <color theme="3" tint="0.39994506668294322"/>
      </left>
      <right style="hair">
        <color rgb="FFC6C6A6"/>
      </right>
      <top style="thin">
        <color rgb="FFC6C6A6"/>
      </top>
      <bottom style="medium">
        <color theme="3" tint="0.39991454817346722"/>
      </bottom>
      <diagonal/>
    </border>
    <border>
      <left style="hair">
        <color rgb="FFC6C6A6"/>
      </left>
      <right style="double">
        <color theme="3" tint="0.39994506668294322"/>
      </right>
      <top style="thin">
        <color rgb="FFC6C6A6"/>
      </top>
      <bottom style="medium">
        <color theme="3" tint="0.39991454817346722"/>
      </bottom>
      <diagonal/>
    </border>
    <border>
      <left/>
      <right style="double">
        <color theme="3" tint="0.39991454817346722"/>
      </right>
      <top style="thin">
        <color rgb="FFC6C6A6"/>
      </top>
      <bottom style="medium">
        <color theme="3" tint="0.39991454817346722"/>
      </bottom>
      <diagonal/>
    </border>
    <border>
      <left style="double">
        <color theme="3" tint="0.39991454817346722"/>
      </left>
      <right style="double">
        <color theme="3" tint="0.39988402966399123"/>
      </right>
      <top style="thin">
        <color theme="0" tint="-0.24994659260841701"/>
      </top>
      <bottom style="medium">
        <color theme="3" tint="0.39991454817346722"/>
      </bottom>
      <diagonal/>
    </border>
    <border>
      <left style="double">
        <color theme="3" tint="0.39988402966399123"/>
      </left>
      <right style="double">
        <color theme="3" tint="0.39991454817346722"/>
      </right>
      <top style="thin">
        <color rgb="FFC6C6A6"/>
      </top>
      <bottom style="medium">
        <color theme="3" tint="0.39991454817346722"/>
      </bottom>
      <diagonal/>
    </border>
    <border>
      <left style="double">
        <color theme="3" tint="0.39994506668294322"/>
      </left>
      <right style="hair">
        <color rgb="FFC6C6A6"/>
      </right>
      <top style="thin">
        <color rgb="FFC6C6A6"/>
      </top>
      <bottom style="double">
        <color theme="3" tint="0.39991454817346722"/>
      </bottom>
      <diagonal/>
    </border>
    <border>
      <left style="hair">
        <color rgb="FFC6C6A6"/>
      </left>
      <right style="double">
        <color theme="3" tint="0.39994506668294322"/>
      </right>
      <top style="thin">
        <color rgb="FFC6C6A6"/>
      </top>
      <bottom style="double">
        <color theme="3" tint="0.39991454817346722"/>
      </bottom>
      <diagonal/>
    </border>
    <border>
      <left style="double">
        <color theme="3" tint="0.39991454817346722"/>
      </left>
      <right style="double">
        <color theme="3" tint="0.39988402966399123"/>
      </right>
      <top style="thin">
        <color rgb="FFC6C6A6"/>
      </top>
      <bottom style="double">
        <color theme="3" tint="0.399914548173467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84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49" fontId="0" fillId="0" borderId="0" xfId="0" applyNumberFormat="1"/>
    <xf numFmtId="0" fontId="3" fillId="0" borderId="2" xfId="0" applyFont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2" xfId="0" applyBorder="1"/>
    <xf numFmtId="165" fontId="0" fillId="0" borderId="0" xfId="1" applyFont="1"/>
    <xf numFmtId="0" fontId="0" fillId="4" borderId="2" xfId="0" applyFill="1" applyBorder="1"/>
    <xf numFmtId="0" fontId="0" fillId="4" borderId="0" xfId="0" applyFill="1"/>
    <xf numFmtId="10" fontId="0" fillId="0" borderId="0" xfId="0" applyNumberFormat="1"/>
    <xf numFmtId="165" fontId="0" fillId="0" borderId="2" xfId="1" applyFont="1" applyBorder="1"/>
    <xf numFmtId="2" fontId="0" fillId="0" borderId="0" xfId="0" applyNumberFormat="1"/>
    <xf numFmtId="0" fontId="2" fillId="5" borderId="0" xfId="0" applyFont="1" applyFill="1"/>
    <xf numFmtId="49" fontId="2" fillId="5" borderId="0" xfId="0" applyNumberFormat="1" applyFont="1" applyFill="1"/>
    <xf numFmtId="0" fontId="0" fillId="6" borderId="3" xfId="0" applyFill="1" applyBorder="1" applyAlignment="1">
      <alignment horizontal="center"/>
    </xf>
    <xf numFmtId="0" fontId="0" fillId="6" borderId="3" xfId="0" applyFill="1" applyBorder="1"/>
    <xf numFmtId="2" fontId="0" fillId="6" borderId="3" xfId="0" applyNumberFormat="1" applyFill="1" applyBorder="1"/>
    <xf numFmtId="166" fontId="0" fillId="6" borderId="3" xfId="0" applyNumberFormat="1" applyFill="1" applyBorder="1"/>
    <xf numFmtId="49" fontId="11" fillId="6" borderId="3" xfId="3" applyNumberFormat="1" applyFill="1" applyBorder="1"/>
    <xf numFmtId="49" fontId="0" fillId="6" borderId="3" xfId="0" applyNumberFormat="1" applyFill="1" applyBorder="1" applyAlignment="1">
      <alignment wrapText="1"/>
    </xf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2" fontId="0" fillId="0" borderId="3" xfId="0" applyNumberFormat="1" applyBorder="1"/>
    <xf numFmtId="166" fontId="0" fillId="0" borderId="3" xfId="0" applyNumberFormat="1" applyBorder="1"/>
    <xf numFmtId="49" fontId="11" fillId="0" borderId="3" xfId="3" applyNumberFormat="1" applyBorder="1"/>
    <xf numFmtId="167" fontId="0" fillId="0" borderId="3" xfId="0" applyNumberFormat="1" applyBorder="1"/>
    <xf numFmtId="0" fontId="11" fillId="0" borderId="3" xfId="3" applyBorder="1"/>
    <xf numFmtId="165" fontId="0" fillId="0" borderId="3" xfId="0" applyNumberFormat="1" applyBorder="1"/>
    <xf numFmtId="0" fontId="0" fillId="6" borderId="4" xfId="0" applyFill="1" applyBorder="1"/>
    <xf numFmtId="165" fontId="0" fillId="6" borderId="3" xfId="0" applyNumberFormat="1" applyFill="1" applyBorder="1"/>
    <xf numFmtId="0" fontId="12" fillId="0" borderId="5" xfId="0" applyFont="1" applyBorder="1"/>
    <xf numFmtId="2" fontId="0" fillId="7" borderId="2" xfId="0" applyNumberFormat="1" applyFill="1" applyBorder="1"/>
    <xf numFmtId="0" fontId="11" fillId="6" borderId="3" xfId="3" applyFill="1" applyBorder="1"/>
    <xf numFmtId="166" fontId="0" fillId="0" borderId="0" xfId="0" applyNumberFormat="1"/>
    <xf numFmtId="167" fontId="0" fillId="0" borderId="0" xfId="0" applyNumberFormat="1"/>
    <xf numFmtId="0" fontId="3" fillId="0" borderId="0" xfId="0" applyFont="1" applyAlignment="1">
      <alignment horizontal="left" vertical="center" indent="1"/>
    </xf>
    <xf numFmtId="0" fontId="13" fillId="8" borderId="0" xfId="0" applyFont="1" applyFill="1" applyAlignment="1">
      <alignment horizontal="center"/>
    </xf>
    <xf numFmtId="0" fontId="14" fillId="0" borderId="0" xfId="0" applyFont="1" applyAlignment="1">
      <alignment horizontal="left" vertical="center" indent="1"/>
    </xf>
    <xf numFmtId="0" fontId="3" fillId="8" borderId="2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165" fontId="0" fillId="9" borderId="2" xfId="1" applyFont="1" applyFill="1" applyBorder="1"/>
    <xf numFmtId="165" fontId="0" fillId="0" borderId="0" xfId="0" applyNumberFormat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15" fillId="7" borderId="0" xfId="0" applyFont="1" applyFill="1"/>
    <xf numFmtId="0" fontId="15" fillId="7" borderId="11" xfId="0" applyFont="1" applyFill="1" applyBorder="1"/>
    <xf numFmtId="0" fontId="15" fillId="7" borderId="12" xfId="0" applyFont="1" applyFill="1" applyBorder="1"/>
    <xf numFmtId="0" fontId="15" fillId="7" borderId="13" xfId="0" applyFont="1" applyFill="1" applyBorder="1"/>
    <xf numFmtId="0" fontId="15" fillId="7" borderId="14" xfId="0" applyFont="1" applyFill="1" applyBorder="1"/>
    <xf numFmtId="0" fontId="15" fillId="7" borderId="15" xfId="0" applyFont="1" applyFill="1" applyBorder="1" applyAlignment="1">
      <alignment horizontal="center"/>
    </xf>
    <xf numFmtId="0" fontId="15" fillId="7" borderId="17" xfId="0" applyFont="1" applyFill="1" applyBorder="1" applyAlignment="1">
      <alignment horizontal="center"/>
    </xf>
    <xf numFmtId="0" fontId="15" fillId="7" borderId="18" xfId="0" applyFont="1" applyFill="1" applyBorder="1"/>
    <xf numFmtId="0" fontId="15" fillId="7" borderId="19" xfId="0" applyFont="1" applyFill="1" applyBorder="1"/>
    <xf numFmtId="0" fontId="15" fillId="7" borderId="20" xfId="0" applyFont="1" applyFill="1" applyBorder="1"/>
    <xf numFmtId="0" fontId="15" fillId="7" borderId="21" xfId="0" applyFont="1" applyFill="1" applyBorder="1"/>
    <xf numFmtId="0" fontId="15" fillId="7" borderId="0" xfId="0" applyFont="1" applyFill="1" applyAlignment="1">
      <alignment horizontal="center"/>
    </xf>
    <xf numFmtId="0" fontId="15" fillId="7" borderId="22" xfId="0" applyFont="1" applyFill="1" applyBorder="1"/>
    <xf numFmtId="0" fontId="15" fillId="7" borderId="23" xfId="0" applyFont="1" applyFill="1" applyBorder="1"/>
    <xf numFmtId="0" fontId="16" fillId="7" borderId="22" xfId="0" applyFont="1" applyFill="1" applyBorder="1"/>
    <xf numFmtId="0" fontId="16" fillId="7" borderId="24" xfId="0" applyFont="1" applyFill="1" applyBorder="1"/>
    <xf numFmtId="165" fontId="16" fillId="7" borderId="11" xfId="2" applyNumberFormat="1" applyFont="1" applyFill="1" applyBorder="1" applyAlignment="1">
      <alignment horizontal="right"/>
    </xf>
    <xf numFmtId="0" fontId="16" fillId="7" borderId="14" xfId="0" applyFont="1" applyFill="1" applyBorder="1"/>
    <xf numFmtId="0" fontId="16" fillId="7" borderId="23" xfId="0" applyFont="1" applyFill="1" applyBorder="1"/>
    <xf numFmtId="0" fontId="15" fillId="7" borderId="25" xfId="0" applyFont="1" applyFill="1" applyBorder="1"/>
    <xf numFmtId="0" fontId="15" fillId="7" borderId="26" xfId="0" applyFont="1" applyFill="1" applyBorder="1"/>
    <xf numFmtId="0" fontId="16" fillId="7" borderId="25" xfId="0" applyFont="1" applyFill="1" applyBorder="1"/>
    <xf numFmtId="0" fontId="16" fillId="7" borderId="16" xfId="0" applyFont="1" applyFill="1" applyBorder="1"/>
    <xf numFmtId="165" fontId="16" fillId="7" borderId="27" xfId="2" applyNumberFormat="1" applyFont="1" applyFill="1" applyBorder="1" applyAlignment="1">
      <alignment horizontal="right"/>
    </xf>
    <xf numFmtId="0" fontId="16" fillId="7" borderId="17" xfId="0" applyFont="1" applyFill="1" applyBorder="1"/>
    <xf numFmtId="0" fontId="16" fillId="7" borderId="26" xfId="0" applyFont="1" applyFill="1" applyBorder="1"/>
    <xf numFmtId="165" fontId="16" fillId="7" borderId="27" xfId="1" applyFont="1" applyFill="1" applyBorder="1" applyAlignment="1">
      <alignment horizontal="right"/>
    </xf>
    <xf numFmtId="0" fontId="15" fillId="7" borderId="28" xfId="0" applyFont="1" applyFill="1" applyBorder="1"/>
    <xf numFmtId="0" fontId="15" fillId="7" borderId="29" xfId="0" applyFont="1" applyFill="1" applyBorder="1"/>
    <xf numFmtId="0" fontId="16" fillId="7" borderId="28" xfId="0" applyFont="1" applyFill="1" applyBorder="1"/>
    <xf numFmtId="0" fontId="16" fillId="7" borderId="30" xfId="0" applyFont="1" applyFill="1" applyBorder="1"/>
    <xf numFmtId="165" fontId="16" fillId="7" borderId="31" xfId="1" applyFont="1" applyFill="1" applyBorder="1" applyAlignment="1">
      <alignment horizontal="right"/>
    </xf>
    <xf numFmtId="0" fontId="16" fillId="7" borderId="32" xfId="0" applyFont="1" applyFill="1" applyBorder="1"/>
    <xf numFmtId="0" fontId="16" fillId="7" borderId="29" xfId="0" applyFont="1" applyFill="1" applyBorder="1"/>
    <xf numFmtId="0" fontId="15" fillId="7" borderId="33" xfId="0" applyFont="1" applyFill="1" applyBorder="1"/>
    <xf numFmtId="0" fontId="15" fillId="7" borderId="34" xfId="0" applyFont="1" applyFill="1" applyBorder="1"/>
    <xf numFmtId="0" fontId="16" fillId="7" borderId="33" xfId="0" applyFont="1" applyFill="1" applyBorder="1"/>
    <xf numFmtId="0" fontId="16" fillId="7" borderId="35" xfId="0" applyFont="1" applyFill="1" applyBorder="1"/>
    <xf numFmtId="165" fontId="16" fillId="7" borderId="36" xfId="1" applyFont="1" applyFill="1" applyBorder="1" applyAlignment="1">
      <alignment horizontal="right"/>
    </xf>
    <xf numFmtId="0" fontId="16" fillId="7" borderId="37" xfId="0" applyFont="1" applyFill="1" applyBorder="1"/>
    <xf numFmtId="0" fontId="16" fillId="7" borderId="34" xfId="0" applyFont="1" applyFill="1" applyBorder="1"/>
    <xf numFmtId="0" fontId="14" fillId="0" borderId="0" xfId="0" applyFont="1"/>
    <xf numFmtId="0" fontId="16" fillId="7" borderId="38" xfId="0" applyFont="1" applyFill="1" applyBorder="1"/>
    <xf numFmtId="165" fontId="16" fillId="7" borderId="37" xfId="1" applyFont="1" applyFill="1" applyBorder="1"/>
    <xf numFmtId="165" fontId="16" fillId="7" borderId="38" xfId="1" applyFont="1" applyFill="1" applyBorder="1"/>
    <xf numFmtId="165" fontId="16" fillId="7" borderId="17" xfId="1" applyFont="1" applyFill="1" applyBorder="1"/>
    <xf numFmtId="165" fontId="16" fillId="7" borderId="32" xfId="1" applyFont="1" applyFill="1" applyBorder="1"/>
    <xf numFmtId="165" fontId="16" fillId="7" borderId="17" xfId="0" applyNumberFormat="1" applyFont="1" applyFill="1" applyBorder="1"/>
    <xf numFmtId="165" fontId="16" fillId="7" borderId="32" xfId="0" applyNumberFormat="1" applyFont="1" applyFill="1" applyBorder="1"/>
    <xf numFmtId="165" fontId="16" fillId="7" borderId="37" xfId="0" applyNumberFormat="1" applyFont="1" applyFill="1" applyBorder="1"/>
    <xf numFmtId="165" fontId="16" fillId="7" borderId="38" xfId="0" applyNumberFormat="1" applyFont="1" applyFill="1" applyBorder="1"/>
    <xf numFmtId="0" fontId="15" fillId="7" borderId="39" xfId="0" applyFont="1" applyFill="1" applyBorder="1"/>
    <xf numFmtId="0" fontId="16" fillId="7" borderId="39" xfId="0" applyFont="1" applyFill="1" applyBorder="1"/>
    <xf numFmtId="0" fontId="16" fillId="7" borderId="20" xfId="0" applyFont="1" applyFill="1" applyBorder="1"/>
    <xf numFmtId="0" fontId="16" fillId="7" borderId="19" xfId="0" applyFont="1" applyFill="1" applyBorder="1"/>
    <xf numFmtId="165" fontId="16" fillId="7" borderId="21" xfId="0" applyNumberFormat="1" applyFont="1" applyFill="1" applyBorder="1"/>
    <xf numFmtId="0" fontId="15" fillId="7" borderId="40" xfId="0" applyFont="1" applyFill="1" applyBorder="1"/>
    <xf numFmtId="0" fontId="15" fillId="7" borderId="41" xfId="0" applyFont="1" applyFill="1" applyBorder="1"/>
    <xf numFmtId="0" fontId="15" fillId="7" borderId="42" xfId="0" applyFont="1" applyFill="1" applyBorder="1"/>
    <xf numFmtId="0" fontId="15" fillId="7" borderId="43" xfId="0" applyFont="1" applyFill="1" applyBorder="1"/>
    <xf numFmtId="0" fontId="15" fillId="7" borderId="46" xfId="0" applyFont="1" applyFill="1" applyBorder="1" applyAlignment="1">
      <alignment horizontal="center"/>
    </xf>
    <xf numFmtId="0" fontId="15" fillId="7" borderId="47" xfId="0" applyFont="1" applyFill="1" applyBorder="1" applyAlignment="1">
      <alignment horizontal="center"/>
    </xf>
    <xf numFmtId="0" fontId="15" fillId="7" borderId="48" xfId="0" applyFont="1" applyFill="1" applyBorder="1"/>
    <xf numFmtId="0" fontId="15" fillId="7" borderId="49" xfId="0" applyFont="1" applyFill="1" applyBorder="1"/>
    <xf numFmtId="0" fontId="15" fillId="7" borderId="50" xfId="0" applyFont="1" applyFill="1" applyBorder="1"/>
    <xf numFmtId="0" fontId="15" fillId="7" borderId="51" xfId="0" applyFont="1" applyFill="1" applyBorder="1"/>
    <xf numFmtId="0" fontId="15" fillId="7" borderId="52" xfId="0" applyFont="1" applyFill="1" applyBorder="1"/>
    <xf numFmtId="0" fontId="15" fillId="7" borderId="53" xfId="0" applyFont="1" applyFill="1" applyBorder="1"/>
    <xf numFmtId="0" fontId="16" fillId="7" borderId="52" xfId="0" applyFont="1" applyFill="1" applyBorder="1"/>
    <xf numFmtId="0" fontId="16" fillId="7" borderId="54" xfId="0" applyFont="1" applyFill="1" applyBorder="1"/>
    <xf numFmtId="165" fontId="16" fillId="7" borderId="55" xfId="2" applyNumberFormat="1" applyFont="1" applyFill="1" applyBorder="1" applyAlignment="1">
      <alignment horizontal="right"/>
    </xf>
    <xf numFmtId="0" fontId="16" fillId="7" borderId="56" xfId="0" applyFont="1" applyFill="1" applyBorder="1"/>
    <xf numFmtId="0" fontId="15" fillId="7" borderId="57" xfId="0" applyFont="1" applyFill="1" applyBorder="1"/>
    <xf numFmtId="0" fontId="15" fillId="7" borderId="58" xfId="0" applyFont="1" applyFill="1" applyBorder="1"/>
    <xf numFmtId="0" fontId="16" fillId="7" borderId="57" xfId="0" applyFont="1" applyFill="1" applyBorder="1"/>
    <xf numFmtId="0" fontId="16" fillId="7" borderId="45" xfId="0" applyFont="1" applyFill="1" applyBorder="1"/>
    <xf numFmtId="165" fontId="16" fillId="7" borderId="59" xfId="2" applyNumberFormat="1" applyFont="1" applyFill="1" applyBorder="1" applyAlignment="1">
      <alignment horizontal="right"/>
    </xf>
    <xf numFmtId="165" fontId="16" fillId="7" borderId="59" xfId="1" applyFont="1" applyFill="1" applyBorder="1" applyAlignment="1">
      <alignment horizontal="right"/>
    </xf>
    <xf numFmtId="0" fontId="15" fillId="7" borderId="60" xfId="0" applyFont="1" applyFill="1" applyBorder="1"/>
    <xf numFmtId="0" fontId="15" fillId="7" borderId="61" xfId="0" applyFont="1" applyFill="1" applyBorder="1"/>
    <xf numFmtId="0" fontId="16" fillId="7" borderId="60" xfId="0" applyFont="1" applyFill="1" applyBorder="1"/>
    <xf numFmtId="0" fontId="16" fillId="7" borderId="62" xfId="0" applyFont="1" applyFill="1" applyBorder="1"/>
    <xf numFmtId="165" fontId="16" fillId="7" borderId="63" xfId="1" applyFont="1" applyFill="1" applyBorder="1" applyAlignment="1">
      <alignment horizontal="right"/>
    </xf>
    <xf numFmtId="165" fontId="16" fillId="7" borderId="64" xfId="1" applyFont="1" applyFill="1" applyBorder="1" applyAlignment="1">
      <alignment horizontal="right"/>
    </xf>
    <xf numFmtId="0" fontId="16" fillId="7" borderId="65" xfId="0" applyFont="1" applyFill="1" applyBorder="1"/>
    <xf numFmtId="0" fontId="15" fillId="7" borderId="66" xfId="0" applyFont="1" applyFill="1" applyBorder="1"/>
    <xf numFmtId="0" fontId="15" fillId="7" borderId="67" xfId="0" applyFont="1" applyFill="1" applyBorder="1"/>
    <xf numFmtId="0" fontId="16" fillId="7" borderId="66" xfId="0" applyFont="1" applyFill="1" applyBorder="1"/>
    <xf numFmtId="0" fontId="16" fillId="7" borderId="68" xfId="0" applyFont="1" applyFill="1" applyBorder="1"/>
    <xf numFmtId="165" fontId="16" fillId="7" borderId="69" xfId="2" applyNumberFormat="1" applyFont="1" applyFill="1" applyBorder="1" applyAlignment="1">
      <alignment horizontal="right"/>
    </xf>
    <xf numFmtId="2" fontId="16" fillId="7" borderId="68" xfId="1" applyNumberFormat="1" applyFont="1" applyFill="1" applyBorder="1"/>
    <xf numFmtId="2" fontId="16" fillId="7" borderId="45" xfId="1" applyNumberFormat="1" applyFont="1" applyFill="1" applyBorder="1"/>
    <xf numFmtId="165" fontId="16" fillId="7" borderId="45" xfId="1" applyFont="1" applyFill="1" applyBorder="1"/>
    <xf numFmtId="165" fontId="16" fillId="7" borderId="62" xfId="1" applyFont="1" applyFill="1" applyBorder="1"/>
    <xf numFmtId="2" fontId="16" fillId="7" borderId="62" xfId="1" applyNumberFormat="1" applyFont="1" applyFill="1" applyBorder="1"/>
    <xf numFmtId="0" fontId="15" fillId="7" borderId="70" xfId="0" applyFont="1" applyFill="1" applyBorder="1"/>
    <xf numFmtId="0" fontId="15" fillId="7" borderId="71" xfId="0" applyFont="1" applyFill="1" applyBorder="1"/>
    <xf numFmtId="0" fontId="16" fillId="7" borderId="70" xfId="0" applyFont="1" applyFill="1" applyBorder="1"/>
    <xf numFmtId="0" fontId="16" fillId="7" borderId="72" xfId="0" applyFont="1" applyFill="1" applyBorder="1"/>
    <xf numFmtId="165" fontId="16" fillId="7" borderId="73" xfId="1" applyFont="1" applyFill="1" applyBorder="1" applyAlignment="1">
      <alignment horizontal="right"/>
    </xf>
    <xf numFmtId="165" fontId="16" fillId="7" borderId="74" xfId="1" applyFont="1" applyFill="1" applyBorder="1"/>
    <xf numFmtId="2" fontId="16" fillId="7" borderId="74" xfId="1" applyNumberFormat="1" applyFont="1" applyFill="1" applyBorder="1"/>
    <xf numFmtId="165" fontId="16" fillId="7" borderId="68" xfId="1" applyFont="1" applyFill="1" applyBorder="1"/>
    <xf numFmtId="2" fontId="16" fillId="7" borderId="45" xfId="0" applyNumberFormat="1" applyFont="1" applyFill="1" applyBorder="1"/>
    <xf numFmtId="0" fontId="15" fillId="7" borderId="75" xfId="0" applyFont="1" applyFill="1" applyBorder="1"/>
    <xf numFmtId="0" fontId="15" fillId="7" borderId="76" xfId="0" applyFont="1" applyFill="1" applyBorder="1"/>
    <xf numFmtId="0" fontId="16" fillId="7" borderId="75" xfId="0" applyFont="1" applyFill="1" applyBorder="1"/>
    <xf numFmtId="0" fontId="16" fillId="7" borderId="49" xfId="0" applyFont="1" applyFill="1" applyBorder="1"/>
    <xf numFmtId="165" fontId="16" fillId="7" borderId="77" xfId="1" applyFont="1" applyFill="1" applyBorder="1" applyAlignment="1">
      <alignment horizontal="right"/>
    </xf>
    <xf numFmtId="165" fontId="16" fillId="7" borderId="49" xfId="1" applyFont="1" applyFill="1" applyBorder="1"/>
    <xf numFmtId="2" fontId="16" fillId="7" borderId="49" xfId="0" applyNumberFormat="1" applyFont="1" applyFill="1" applyBorder="1"/>
    <xf numFmtId="165" fontId="16" fillId="7" borderId="0" xfId="1" applyFont="1" applyFill="1"/>
    <xf numFmtId="0" fontId="3" fillId="0" borderId="0" xfId="0" applyFont="1" applyAlignment="1">
      <alignment horizontal="right"/>
    </xf>
    <xf numFmtId="168" fontId="0" fillId="0" borderId="0" xfId="0" applyNumberFormat="1" applyAlignment="1">
      <alignment horizontal="left"/>
    </xf>
    <xf numFmtId="4" fontId="0" fillId="0" borderId="2" xfId="0" applyNumberFormat="1" applyBorder="1"/>
    <xf numFmtId="0" fontId="19" fillId="8" borderId="0" xfId="0" applyFont="1" applyFill="1"/>
    <xf numFmtId="169" fontId="19" fillId="8" borderId="0" xfId="0" applyNumberFormat="1" applyFont="1" applyFill="1"/>
    <xf numFmtId="0" fontId="19" fillId="10" borderId="0" xfId="0" applyFont="1" applyFill="1"/>
    <xf numFmtId="169" fontId="19" fillId="10" borderId="0" xfId="0" applyNumberFormat="1" applyFont="1" applyFill="1"/>
    <xf numFmtId="0" fontId="21" fillId="12" borderId="0" xfId="0" applyFont="1" applyFill="1" applyAlignment="1">
      <alignment horizontal="center"/>
    </xf>
    <xf numFmtId="0" fontId="3" fillId="0" borderId="0" xfId="0" applyFont="1"/>
    <xf numFmtId="0" fontId="22" fillId="0" borderId="0" xfId="0" applyFont="1" applyAlignment="1">
      <alignment horizontal="center"/>
    </xf>
    <xf numFmtId="17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165" fontId="24" fillId="9" borderId="2" xfId="1" applyFont="1" applyFill="1" applyBorder="1"/>
    <xf numFmtId="165" fontId="25" fillId="0" borderId="0" xfId="1" applyFont="1"/>
    <xf numFmtId="165" fontId="26" fillId="0" borderId="0" xfId="1" applyFont="1" applyAlignment="1">
      <alignment horizontal="center"/>
    </xf>
    <xf numFmtId="49" fontId="11" fillId="6" borderId="78" xfId="3" applyNumberFormat="1" applyFill="1" applyBorder="1"/>
    <xf numFmtId="0" fontId="0" fillId="0" borderId="78" xfId="0" applyBorder="1"/>
    <xf numFmtId="49" fontId="11" fillId="0" borderId="78" xfId="3" applyNumberFormat="1" applyBorder="1"/>
    <xf numFmtId="0" fontId="11" fillId="6" borderId="78" xfId="3" applyFill="1" applyBorder="1"/>
    <xf numFmtId="0" fontId="11" fillId="0" borderId="78" xfId="3" applyBorder="1"/>
    <xf numFmtId="165" fontId="0" fillId="4" borderId="0" xfId="1" applyFont="1" applyFill="1"/>
    <xf numFmtId="170" fontId="0" fillId="0" borderId="0" xfId="0" applyNumberFormat="1"/>
    <xf numFmtId="2" fontId="0" fillId="0" borderId="0" xfId="1" applyNumberFormat="1" applyFont="1"/>
    <xf numFmtId="165" fontId="3" fillId="0" borderId="0" xfId="0" applyNumberFormat="1" applyFont="1"/>
    <xf numFmtId="0" fontId="27" fillId="6" borderId="4" xfId="0" applyFont="1" applyFill="1" applyBorder="1" applyAlignment="1">
      <alignment vertical="center" wrapText="1"/>
    </xf>
    <xf numFmtId="165" fontId="2" fillId="5" borderId="0" xfId="1" applyFont="1" applyFill="1"/>
    <xf numFmtId="165" fontId="0" fillId="6" borderId="0" xfId="1" applyFont="1" applyFill="1"/>
    <xf numFmtId="0" fontId="11" fillId="0" borderId="0" xfId="3"/>
    <xf numFmtId="0" fontId="2" fillId="13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1" applyNumberFormat="1" applyFont="1" applyAlignment="1">
      <alignment horizontal="right"/>
    </xf>
    <xf numFmtId="0" fontId="3" fillId="8" borderId="10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/>
    </xf>
    <xf numFmtId="171" fontId="0" fillId="6" borderId="0" xfId="1" applyNumberFormat="1" applyFont="1" applyFill="1"/>
    <xf numFmtId="171" fontId="2" fillId="5" borderId="0" xfId="1" applyNumberFormat="1" applyFont="1" applyFill="1"/>
    <xf numFmtId="171" fontId="0" fillId="0" borderId="0" xfId="1" applyNumberFormat="1" applyFont="1"/>
    <xf numFmtId="172" fontId="0" fillId="6" borderId="3" xfId="0" applyNumberFormat="1" applyFill="1" applyBorder="1"/>
    <xf numFmtId="172" fontId="0" fillId="0" borderId="3" xfId="0" applyNumberFormat="1" applyBorder="1"/>
    <xf numFmtId="17" fontId="0" fillId="0" borderId="0" xfId="0" applyNumberFormat="1"/>
    <xf numFmtId="165" fontId="0" fillId="4" borderId="0" xfId="0" applyNumberFormat="1" applyFill="1"/>
    <xf numFmtId="2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14" borderId="0" xfId="0" applyFont="1" applyFill="1"/>
    <xf numFmtId="165" fontId="4" fillId="14" borderId="0" xfId="0" applyNumberFormat="1" applyFont="1" applyFill="1"/>
    <xf numFmtId="165" fontId="0" fillId="0" borderId="0" xfId="1" applyFont="1" applyAlignment="1">
      <alignment horizontal="center"/>
    </xf>
    <xf numFmtId="0" fontId="0" fillId="0" borderId="6" xfId="0" applyBorder="1"/>
    <xf numFmtId="0" fontId="0" fillId="0" borderId="0" xfId="0" applyAlignment="1">
      <alignment vertical="center"/>
    </xf>
    <xf numFmtId="43" fontId="0" fillId="0" borderId="0" xfId="0" applyNumberFormat="1"/>
    <xf numFmtId="0" fontId="3" fillId="8" borderId="2" xfId="0" applyFont="1" applyFill="1" applyBorder="1" applyAlignment="1">
      <alignment horizontal="left" vertical="center"/>
    </xf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72" fontId="0" fillId="6" borderId="78" xfId="0" applyNumberFormat="1" applyFill="1" applyBorder="1"/>
    <xf numFmtId="0" fontId="29" fillId="16" borderId="0" xfId="0" applyFont="1" applyFill="1" applyAlignment="1">
      <alignment horizontal="center" vertical="center"/>
    </xf>
    <xf numFmtId="10" fontId="0" fillId="0" borderId="0" xfId="4" applyNumberFormat="1" applyFont="1"/>
    <xf numFmtId="165" fontId="4" fillId="0" borderId="0" xfId="0" applyNumberFormat="1" applyFont="1"/>
    <xf numFmtId="43" fontId="0" fillId="4" borderId="0" xfId="0" applyNumberFormat="1" applyFill="1"/>
    <xf numFmtId="165" fontId="4" fillId="4" borderId="0" xfId="0" applyNumberFormat="1" applyFont="1" applyFill="1"/>
    <xf numFmtId="17" fontId="0" fillId="4" borderId="0" xfId="0" applyNumberFormat="1" applyFill="1"/>
    <xf numFmtId="43" fontId="24" fillId="4" borderId="0" xfId="0" applyNumberFormat="1" applyFont="1" applyFill="1"/>
    <xf numFmtId="165" fontId="24" fillId="4" borderId="0" xfId="0" applyNumberFormat="1" applyFont="1" applyFill="1" applyAlignment="1">
      <alignment horizontal="right"/>
    </xf>
    <xf numFmtId="0" fontId="0" fillId="17" borderId="0" xfId="0" applyFill="1"/>
    <xf numFmtId="9" fontId="0" fillId="0" borderId="0" xfId="4" applyFont="1"/>
    <xf numFmtId="165" fontId="0" fillId="0" borderId="0" xfId="0" applyNumberFormat="1" applyAlignment="1">
      <alignment horizontal="center"/>
    </xf>
    <xf numFmtId="165" fontId="24" fillId="0" borderId="0" xfId="0" applyNumberFormat="1" applyFont="1"/>
    <xf numFmtId="165" fontId="16" fillId="7" borderId="29" xfId="1" applyFont="1" applyFill="1" applyBorder="1" applyAlignment="1">
      <alignment horizontal="right"/>
    </xf>
    <xf numFmtId="0" fontId="0" fillId="0" borderId="79" xfId="0" applyBorder="1"/>
    <xf numFmtId="0" fontId="0" fillId="0" borderId="5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173" fontId="3" fillId="0" borderId="85" xfId="0" applyNumberFormat="1" applyFont="1" applyBorder="1"/>
    <xf numFmtId="14" fontId="0" fillId="0" borderId="82" xfId="0" applyNumberFormat="1" applyBorder="1"/>
    <xf numFmtId="14" fontId="0" fillId="0" borderId="85" xfId="0" applyNumberFormat="1" applyBorder="1"/>
    <xf numFmtId="173" fontId="0" fillId="0" borderId="86" xfId="0" applyNumberFormat="1" applyBorder="1"/>
    <xf numFmtId="173" fontId="0" fillId="0" borderId="87" xfId="0" applyNumberFormat="1" applyBorder="1"/>
    <xf numFmtId="173" fontId="0" fillId="0" borderId="1" xfId="0" applyNumberFormat="1" applyBorder="1"/>
    <xf numFmtId="165" fontId="0" fillId="18" borderId="0" xfId="1" applyFont="1" applyFill="1" applyAlignment="1">
      <alignment horizontal="center"/>
    </xf>
    <xf numFmtId="165" fontId="0" fillId="0" borderId="0" xfId="1" applyFont="1" applyFill="1" applyAlignment="1">
      <alignment horizontal="center"/>
    </xf>
    <xf numFmtId="0" fontId="3" fillId="19" borderId="8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2" fillId="0" borderId="2" xfId="0" applyFont="1" applyBorder="1" applyAlignment="1">
      <alignment horizontal="center" vertical="center"/>
    </xf>
    <xf numFmtId="43" fontId="0" fillId="0" borderId="2" xfId="0" applyNumberFormat="1" applyBorder="1"/>
    <xf numFmtId="165" fontId="3" fillId="0" borderId="2" xfId="1" applyFont="1" applyBorder="1"/>
    <xf numFmtId="43" fontId="3" fillId="0" borderId="2" xfId="0" applyNumberFormat="1" applyFont="1" applyBorder="1"/>
    <xf numFmtId="0" fontId="3" fillId="21" borderId="8" xfId="0" applyFont="1" applyFill="1" applyBorder="1" applyAlignment="1">
      <alignment horizontal="center" vertical="center"/>
    </xf>
    <xf numFmtId="165" fontId="30" fillId="4" borderId="0" xfId="0" applyNumberFormat="1" applyFont="1" applyFill="1"/>
    <xf numFmtId="165" fontId="31" fillId="14" borderId="0" xfId="0" applyNumberFormat="1" applyFont="1" applyFill="1"/>
    <xf numFmtId="0" fontId="29" fillId="20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 vertical="center"/>
    </xf>
    <xf numFmtId="0" fontId="0" fillId="22" borderId="0" xfId="0" applyFill="1"/>
    <xf numFmtId="0" fontId="0" fillId="22" borderId="7" xfId="0" applyFill="1" applyBorder="1" applyAlignment="1">
      <alignment horizontal="center"/>
    </xf>
    <xf numFmtId="49" fontId="0" fillId="22" borderId="0" xfId="0" applyNumberFormat="1" applyFill="1"/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9" fillId="15" borderId="0" xfId="0" applyFont="1" applyFill="1" applyAlignment="1">
      <alignment horizontal="center" vertical="center"/>
    </xf>
    <xf numFmtId="0" fontId="29" fillId="16" borderId="0" xfId="0" applyFont="1" applyFill="1" applyAlignment="1">
      <alignment horizontal="center" vertical="center"/>
    </xf>
    <xf numFmtId="0" fontId="29" fillId="17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 vertical="center"/>
    </xf>
    <xf numFmtId="0" fontId="15" fillId="7" borderId="44" xfId="0" applyFont="1" applyFill="1" applyBorder="1" applyAlignment="1">
      <alignment horizontal="center"/>
    </xf>
    <xf numFmtId="0" fontId="15" fillId="7" borderId="45" xfId="0" applyFont="1" applyFill="1" applyBorder="1" applyAlignment="1">
      <alignment horizontal="center"/>
    </xf>
    <xf numFmtId="0" fontId="15" fillId="7" borderId="15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2" xfId="0" applyBorder="1" applyAlignment="1">
      <alignment horizontal="center"/>
    </xf>
    <xf numFmtId="0" fontId="2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2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222">
    <dxf>
      <font>
        <color rgb="FF0070C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\ _€_-;\-* #,##0\ _€_-;_-* &quot;-&quot;??\ _€_-;_-@_-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.00\ _€_-;\-* #,##0.00\ _€_-;_-* &quot;-&quot;??\ _€_-;_-@_-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mmmm\-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#,##0.00\ [$USD]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2" formatCode="#,##0.00\ [$USD]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Bs. F&quot;\ 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</dxf>
  </dxfs>
  <tableStyles count="1" defaultTableStyle="TableStyleMedium2" defaultPivotStyle="PivotStyleLight16">
    <tableStyle name="Invisible" pivot="0" table="0" count="0" xr9:uid="{87EBF662-F57A-4C98-B510-B4E81EDFA1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E$18" fmlaRange="GASTOS!$B$35:$B$44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0</xdr:rowOff>
    </xdr:from>
    <xdr:to>
      <xdr:col>0</xdr:col>
      <xdr:colOff>1876426</xdr:colOff>
      <xdr:row>2</xdr:row>
      <xdr:rowOff>133350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6" y="0"/>
          <a:ext cx="17145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152400</xdr:rowOff>
        </xdr:from>
        <xdr:to>
          <xdr:col>6</xdr:col>
          <xdr:colOff>600075</xdr:colOff>
          <xdr:row>7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Correos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92868</xdr:colOff>
      <xdr:row>3</xdr:row>
      <xdr:rowOff>145548</xdr:rowOff>
    </xdr:from>
    <xdr:ext cx="8405827" cy="940301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12043" y="717048"/>
          <a:ext cx="8405827" cy="9403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Ingreso</a:t>
          </a:r>
          <a:r>
            <a:rPr lang="es-ES" sz="3600" b="1" cap="none" spc="0" baseline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 de gastos mensuales</a:t>
          </a:r>
        </a:p>
      </xdr:txBody>
    </xdr:sp>
    <xdr:clientData/>
  </xdr:oneCellAnchor>
  <xdr:oneCellAnchor>
    <xdr:from>
      <xdr:col>4</xdr:col>
      <xdr:colOff>728489</xdr:colOff>
      <xdr:row>0</xdr:row>
      <xdr:rowOff>0</xdr:rowOff>
    </xdr:from>
    <xdr:ext cx="3686522" cy="93762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271664" y="0"/>
          <a:ext cx="36865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/>
          <a:r>
            <a:rPr lang="es-ES" sz="5400" b="1" cap="none" spc="0">
              <a:ln w="50800"/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Condominio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180975</xdr:rowOff>
        </xdr:from>
        <xdr:to>
          <xdr:col>5</xdr:col>
          <xdr:colOff>571500</xdr:colOff>
          <xdr:row>18</xdr:row>
          <xdr:rowOff>38100</xdr:rowOff>
        </xdr:to>
        <xdr:sp macro="" textlink="">
          <xdr:nvSpPr>
            <xdr:cNvPr id="6145" name="Drop Down 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9</xdr:row>
          <xdr:rowOff>180975</xdr:rowOff>
        </xdr:from>
        <xdr:to>
          <xdr:col>13</xdr:col>
          <xdr:colOff>581025</xdr:colOff>
          <xdr:row>11</xdr:row>
          <xdr:rowOff>66675</xdr:rowOff>
        </xdr:to>
        <xdr:sp macro="" textlink="">
          <xdr:nvSpPr>
            <xdr:cNvPr id="6146" name="Button 3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9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Gasto Común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16</xdr:row>
          <xdr:rowOff>104775</xdr:rowOff>
        </xdr:from>
        <xdr:to>
          <xdr:col>13</xdr:col>
          <xdr:colOff>600075</xdr:colOff>
          <xdr:row>17</xdr:row>
          <xdr:rowOff>161925</xdr:rowOff>
        </xdr:to>
        <xdr:sp macro="" textlink="">
          <xdr:nvSpPr>
            <xdr:cNvPr id="6147" name="Button 4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9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Gasto No Común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409575</xdr:colOff>
      <xdr:row>5</xdr:row>
      <xdr:rowOff>188864</xdr:rowOff>
    </xdr:to>
    <xdr:pic>
      <xdr:nvPicPr>
        <xdr:cNvPr id="7" name="3 Image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90500"/>
          <a:ext cx="1933575" cy="95086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F36" totalsRowShown="0" headerRowDxfId="87" dataDxfId="86" tableBorderDxfId="85">
  <autoFilter ref="A1:CF36" xr:uid="{00000000-0009-0000-0100-000001000000}"/>
  <tableColumns count="84">
    <tableColumn id="1" xr3:uid="{00000000-0010-0000-0000-000001000000}" name="APTO-LOCAL-OFIC." dataDxfId="84"/>
    <tableColumn id="2" xr3:uid="{00000000-0010-0000-0000-000002000000}" name="PROPIETARIO" dataDxfId="83"/>
    <tableColumn id="3" xr3:uid="{00000000-0010-0000-0000-000003000000}" name="ALICUOTA" dataDxfId="82"/>
    <tableColumn id="4" xr3:uid="{00000000-0010-0000-0000-000004000000}" name="GC001" dataDxfId="81">
      <calculatedColumnFormula>SUMIFS(EGRESOS!$C$4:$C$593,EGRESOS!$A$4:$A$593,D$1,EGRESOS!$E$4:$E$593,$A$163)</calculatedColumnFormula>
    </tableColumn>
    <tableColumn id="5" xr3:uid="{00000000-0010-0000-0000-000005000000}" name="GC002" dataDxfId="80">
      <calculatedColumnFormula>SUMIFS(EGRESOS!$C$4:$C$593,EGRESOS!$A$4:$A$593,E$1,EGRESOS!$E$4:$E$593,$A$163)</calculatedColumnFormula>
    </tableColumn>
    <tableColumn id="6" xr3:uid="{00000000-0010-0000-0000-000006000000}" name="GC003" dataDxfId="79">
      <calculatedColumnFormula>SUMIFS(EGRESOS!$C$4:$C$593,EGRESOS!$A$4:$A$593,F$1,EGRESOS!$E$4:$E$593,$A$163)</calculatedColumnFormula>
    </tableColumn>
    <tableColumn id="7" xr3:uid="{00000000-0010-0000-0000-000007000000}" name="GC004" dataDxfId="78">
      <calculatedColumnFormula>SUMIFS(EGRESOS!$C$4:$C$593,EGRESOS!$A$4:$A$593,G$1,EGRESOS!$E$4:$E$593,$A$163)</calculatedColumnFormula>
    </tableColumn>
    <tableColumn id="8" xr3:uid="{00000000-0010-0000-0000-000008000000}" name="GC005" dataDxfId="77">
      <calculatedColumnFormula>SUMIFS(EGRESOS!$C$4:$C$593,EGRESOS!$A$4:$A$593,H$1,EGRESOS!$E$4:$E$593,$A$163)</calculatedColumnFormula>
    </tableColumn>
    <tableColumn id="9" xr3:uid="{00000000-0010-0000-0000-000009000000}" name="GC006" dataDxfId="76">
      <calculatedColumnFormula>SUMIFS(EGRESOS!$C$4:$C$593,EGRESOS!$A$4:$A$593,I$1,EGRESOS!$E$4:$E$593,$A$163)</calculatedColumnFormula>
    </tableColumn>
    <tableColumn id="10" xr3:uid="{00000000-0010-0000-0000-00000A000000}" name="GC007" dataDxfId="75">
      <calculatedColumnFormula>SUMIFS(EGRESOS!$C$4:$C$593,EGRESOS!$A$4:$A$593,J$1,EGRESOS!$E$4:$E$593,$A$163)</calculatedColumnFormula>
    </tableColumn>
    <tableColumn id="11" xr3:uid="{00000000-0010-0000-0000-00000B000000}" name="GC008" dataDxfId="74">
      <calculatedColumnFormula>SUMIFS(EGRESOS!$C$4:$C$593,EGRESOS!$A$4:$A$593,K$1,EGRESOS!$E$4:$E$593,$A$163)</calculatedColumnFormula>
    </tableColumn>
    <tableColumn id="12" xr3:uid="{00000000-0010-0000-0000-00000C000000}" name="GC009" dataDxfId="73">
      <calculatedColumnFormula>SUMIFS(EGRESOS!$C$4:$C$593,EGRESOS!$A$4:$A$593,L$1,EGRESOS!$E$4:$E$593,$A$163)</calculatedColumnFormula>
    </tableColumn>
    <tableColumn id="13" xr3:uid="{00000000-0010-0000-0000-00000D000000}" name="GC010" dataDxfId="72">
      <calculatedColumnFormula>SUMIFS(EGRESOS!$C$4:$C$593,EGRESOS!$A$4:$A$593,M$1,EGRESOS!$E$4:$E$593,$A$163)</calculatedColumnFormula>
    </tableColumn>
    <tableColumn id="14" xr3:uid="{00000000-0010-0000-0000-00000E000000}" name="GC011" dataDxfId="71">
      <calculatedColumnFormula>SUMIFS(EGRESOS!$C$4:$C$593,EGRESOS!$A$4:$A$593,N$1,EGRESOS!$E$4:$E$593,$A$163)</calculatedColumnFormula>
    </tableColumn>
    <tableColumn id="15" xr3:uid="{00000000-0010-0000-0000-00000F000000}" name="GC012" dataDxfId="70">
      <calculatedColumnFormula>SUMIFS(EGRESOS!$C$4:$C$593,EGRESOS!$A$4:$A$593,O$1,EGRESOS!$E$4:$E$593,$A$163)</calculatedColumnFormula>
    </tableColumn>
    <tableColumn id="16" xr3:uid="{00000000-0010-0000-0000-000010000000}" name="GC013" dataDxfId="69">
      <calculatedColumnFormula>SUMIFS(EGRESOS!$C$4:$C$593,EGRESOS!$A$4:$A$593,P$1,EGRESOS!$E$4:$E$593,$A$163)</calculatedColumnFormula>
    </tableColumn>
    <tableColumn id="17" xr3:uid="{00000000-0010-0000-0000-000011000000}" name="GC014" dataDxfId="68">
      <calculatedColumnFormula>SUMIFS(EGRESOS!$C$4:$C$593,EGRESOS!$A$4:$A$593,Q$1,EGRESOS!$E$4:$E$593,$A$163)</calculatedColumnFormula>
    </tableColumn>
    <tableColumn id="18" xr3:uid="{00000000-0010-0000-0000-000012000000}" name="GC015" dataDxfId="67">
      <calculatedColumnFormula>SUMIFS(EGRESOS!$C$4:$C$593,EGRESOS!$A$4:$A$593,R$1,EGRESOS!$E$4:$E$593,$A$163)</calculatedColumnFormula>
    </tableColumn>
    <tableColumn id="19" xr3:uid="{00000000-0010-0000-0000-000013000000}" name="GC016" dataDxfId="66">
      <calculatedColumnFormula>SUMIFS(EGRESOS!$C$4:$C$593,EGRESOS!$A$4:$A$593,S$1,EGRESOS!$E$4:$E$593,$A$163)</calculatedColumnFormula>
    </tableColumn>
    <tableColumn id="20" xr3:uid="{00000000-0010-0000-0000-000014000000}" name="GC017" dataDxfId="65">
      <calculatedColumnFormula>SUMIFS(EGRESOS!$C$4:$C$593,EGRESOS!$A$4:$A$593,T$1,EGRESOS!$E$4:$E$593,$A$163)</calculatedColumnFormula>
    </tableColumn>
    <tableColumn id="21" xr3:uid="{00000000-0010-0000-0000-000015000000}" name="GC018" dataDxfId="64">
      <calculatedColumnFormula>SUMIFS(EGRESOS!$C$4:$C$593,EGRESOS!$A$4:$A$593,U$1,EGRESOS!$E$4:$E$593,$A$163)</calculatedColumnFormula>
    </tableColumn>
    <tableColumn id="22" xr3:uid="{00000000-0010-0000-0000-000016000000}" name="GC019" dataDxfId="63">
      <calculatedColumnFormula>SUMIFS(EGRESOS!$C$4:$C$593,EGRESOS!$A$4:$A$593,V$1,EGRESOS!$E$4:$E$593,$A$163)</calculatedColumnFormula>
    </tableColumn>
    <tableColumn id="23" xr3:uid="{00000000-0010-0000-0000-000017000000}" name="GC100" dataDxfId="62">
      <calculatedColumnFormula>SUMIFS(EGRESOS!$C$4:$C$593,EGRESOS!$A$4:$A$593,W$1,EGRESOS!$E$4:$E$593,$A$163)</calculatedColumnFormula>
    </tableColumn>
    <tableColumn id="24" xr3:uid="{00000000-0010-0000-0000-000018000000}" name="GC101" dataDxfId="61">
      <calculatedColumnFormula>SUMIFS(EGRESOS!$C$4:$C$593,EGRESOS!$A$4:$A$593,X$1,EGRESOS!$E$4:$E$593,$A$163)</calculatedColumnFormula>
    </tableColumn>
    <tableColumn id="25" xr3:uid="{00000000-0010-0000-0000-000019000000}" name="GC102" dataDxfId="60">
      <calculatedColumnFormula>SUMIFS(EGRESOS!$C$4:$C$593,EGRESOS!$A$4:$A$593,Y$1,EGRESOS!$E$4:$E$593,$A$163)</calculatedColumnFormula>
    </tableColumn>
    <tableColumn id="26" xr3:uid="{00000000-0010-0000-0000-00001A000000}" name="GC103" dataDxfId="59">
      <calculatedColumnFormula>SUMIFS(EGRESOS!$C$4:$C$593,EGRESOS!$A$4:$A$593,Z$1,EGRESOS!$E$4:$E$593,$A$163)</calculatedColumnFormula>
    </tableColumn>
    <tableColumn id="27" xr3:uid="{00000000-0010-0000-0000-00001B000000}" name="GC104" dataDxfId="58">
      <calculatedColumnFormula>SUMIFS(EGRESOS!$C$4:$C$593,EGRESOS!$A$4:$A$593,AA$1,EGRESOS!$E$4:$E$593,$A$163)</calculatedColumnFormula>
    </tableColumn>
    <tableColumn id="28" xr3:uid="{00000000-0010-0000-0000-00001C000000}" name="GC105" dataDxfId="57">
      <calculatedColumnFormula>SUMIFS(EGRESOS!$C$4:$C$593,EGRESOS!$A$4:$A$593,AB$1,EGRESOS!$E$4:$E$593,$A$163)</calculatedColumnFormula>
    </tableColumn>
    <tableColumn id="29" xr3:uid="{00000000-0010-0000-0000-00001D000000}" name="GNC01" dataDxfId="56">
      <calculatedColumnFormula>IF(PROPIETARIOS!E4&lt;&gt;"",SUMIFS(EGRESOS!$C$4:$C$593,EGRESOS!$A$4:$A$593,AC$1,EGRESOS!$E$4:$E$593,$A$163),0)</calculatedColumnFormula>
    </tableColumn>
    <tableColumn id="30" xr3:uid="{00000000-0010-0000-0000-00001E000000}" name="GNC02" dataDxfId="55">
      <calculatedColumnFormula>IF(PROPIETARIOS!#REF!&lt;&gt;"",SUMIFS(EGRESOS!$C$4:$C$593,EGRESOS!$A$4:$A$593,AD$1,EGRESOS!$E$4:$E$593,$A$163),0)</calculatedColumnFormula>
    </tableColumn>
    <tableColumn id="31" xr3:uid="{00000000-0010-0000-0000-00001F000000}" name="GNC03" dataDxfId="54">
      <calculatedColumnFormula>IF(PROPIETARIOS!G4&lt;&gt;"",SUMIFS(EGRESOS!$C$4:$C$593,EGRESOS!$A$4:$A$593,AE$1,EGRESOS!$E$4:$E$593,$A$163),0)</calculatedColumnFormula>
    </tableColumn>
    <tableColumn id="32" xr3:uid="{00000000-0010-0000-0000-000020000000}" name="GNC04" dataDxfId="53">
      <calculatedColumnFormula>IF(PROPIETARIOS!H4&lt;&gt;"",SUMIFS(EGRESOS!$C$4:$C$593,EGRESOS!$A$4:$A$593,AF$1,EGRESOS!$E$4:$E$593,$A$163),0)</calculatedColumnFormula>
    </tableColumn>
    <tableColumn id="33" xr3:uid="{00000000-0010-0000-0000-000021000000}" name="GNC05" dataDxfId="52">
      <calculatedColumnFormula>IF(PROPIETARIOS!I4&lt;&gt;"",SUMIFS(EGRESOS!$C$4:$C$593,EGRESOS!$A$4:$A$593,AG$1,EGRESOS!$E$4:$E$593,$A$163),0)</calculatedColumnFormula>
    </tableColumn>
    <tableColumn id="34" xr3:uid="{00000000-0010-0000-0000-000022000000}" name="GNC06" dataDxfId="51">
      <calculatedColumnFormula>IF(PROPIETARIOS!J4&lt;&gt;"",SUMIFS(EGRESOS!$C$4:$C$593,EGRESOS!$A$4:$A$593,AH$1,EGRESOS!$E$4:$E$593,$A$163),0)</calculatedColumnFormula>
    </tableColumn>
    <tableColumn id="35" xr3:uid="{00000000-0010-0000-0000-000023000000}" name="GNC07" dataDxfId="50">
      <calculatedColumnFormula>IF(PROPIETARIOS!K4&lt;&gt;"",SUMIFS(EGRESOS!$C$4:$C$593,EGRESOS!$A$4:$A$593,AI$1,EGRESOS!$E$4:$E$593,$A$163),0)</calculatedColumnFormula>
    </tableColumn>
    <tableColumn id="36" xr3:uid="{00000000-0010-0000-0000-000024000000}" name="GNC08" dataDxfId="49">
      <calculatedColumnFormula>SUMIFS(EGRESOS!$C$4:$C$593,EGRESOS!$A$4:$A$593,AJ$1,EGRESOS!$E$4:$E$593,$A$163)</calculatedColumnFormula>
    </tableColumn>
    <tableColumn id="37" xr3:uid="{00000000-0010-0000-0000-000025000000}" name="GNC09" dataDxfId="48">
      <calculatedColumnFormula>SUMIFS(EGRESOS!$C$4:$C$593,EGRESOS!$A$4:$A$593,AK$1,EGRESOS!$E$4:$E$593,$A$163)</calculatedColumnFormula>
    </tableColumn>
    <tableColumn id="38" xr3:uid="{00000000-0010-0000-0000-000026000000}" name="GNC10" dataDxfId="47">
      <calculatedColumnFormula>SUMIFS(EGRESOS!$C$4:$C$593,EGRESOS!$A$4:$A$593,AL$1,EGRESOS!$E$4:$E$593,$A$163)</calculatedColumnFormula>
    </tableColumn>
    <tableColumn id="39" xr3:uid="{00000000-0010-0000-0000-000027000000}" name="ALC01" dataDxfId="46"/>
    <tableColumn id="40" xr3:uid="{00000000-0010-0000-0000-000028000000}" name="ALC02" dataDxfId="45"/>
    <tableColumn id="41" xr3:uid="{00000000-0010-0000-0000-000029000000}" name="ALC03" dataDxfId="44"/>
    <tableColumn id="42" xr3:uid="{00000000-0010-0000-0000-00002A000000}" name="ALC04" dataDxfId="43"/>
    <tableColumn id="43" xr3:uid="{00000000-0010-0000-0000-00002B000000}" name="ALC05" dataDxfId="42"/>
    <tableColumn id="44" xr3:uid="{00000000-0010-0000-0000-00002C000000}" name="ALC06" dataDxfId="41"/>
    <tableColumn id="45" xr3:uid="{00000000-0010-0000-0000-00002D000000}" name="ALC07" dataDxfId="40"/>
    <tableColumn id="46" xr3:uid="{00000000-0010-0000-0000-00002E000000}" name="ALC08" dataDxfId="39"/>
    <tableColumn id="47" xr3:uid="{00000000-0010-0000-0000-00002F000000}" name="ALC09" dataDxfId="38"/>
    <tableColumn id="48" xr3:uid="{00000000-0010-0000-0000-000030000000}" name="ALC10" dataDxfId="37"/>
    <tableColumn id="49" xr3:uid="{00000000-0010-0000-0000-000031000000}" name="ALC11" dataDxfId="36"/>
    <tableColumn id="50" xr3:uid="{00000000-0010-0000-0000-000032000000}" name="ALC12" dataDxfId="35"/>
    <tableColumn id="51" xr3:uid="{00000000-0010-0000-0000-000033000000}" name="ALC13" dataDxfId="34"/>
    <tableColumn id="52" xr3:uid="{00000000-0010-0000-0000-000034000000}" name="ALC14" dataDxfId="33"/>
    <tableColumn id="53" xr3:uid="{00000000-0010-0000-0000-000035000000}" name="ALC15" dataDxfId="32"/>
    <tableColumn id="54" xr3:uid="{00000000-0010-0000-0000-000036000000}" name="ALC16" dataDxfId="31"/>
    <tableColumn id="55" xr3:uid="{00000000-0010-0000-0000-000037000000}" name="ALC17" dataDxfId="30"/>
    <tableColumn id="56" xr3:uid="{00000000-0010-0000-0000-000038000000}" name="ALC18" dataDxfId="29"/>
    <tableColumn id="57" xr3:uid="{00000000-0010-0000-0000-000039000000}" name="ALC19" dataDxfId="28"/>
    <tableColumn id="58" xr3:uid="{00000000-0010-0000-0000-00003A000000}" name="ALC100" dataDxfId="27"/>
    <tableColumn id="59" xr3:uid="{00000000-0010-0000-0000-00003B000000}" name="ALC101" dataDxfId="26"/>
    <tableColumn id="60" xr3:uid="{00000000-0010-0000-0000-00003C000000}" name="ALC102" dataDxfId="25"/>
    <tableColumn id="61" xr3:uid="{00000000-0010-0000-0000-00003D000000}" name="ALC103" dataDxfId="24"/>
    <tableColumn id="62" xr3:uid="{00000000-0010-0000-0000-00003E000000}" name="ALC104" dataDxfId="23"/>
    <tableColumn id="63" xr3:uid="{00000000-0010-0000-0000-00003F000000}" name="ALC105" dataDxfId="22"/>
    <tableColumn id="64" xr3:uid="{00000000-0010-0000-0000-000040000000}" name="ALCNC01" dataDxfId="21">
      <calculatedColumnFormula>IFERROR(AC2/COUNTIF(PROPIETARIOS!$E$4:$E$38,"GNC01"),"")</calculatedColumnFormula>
    </tableColumn>
    <tableColumn id="65" xr3:uid="{00000000-0010-0000-0000-000041000000}" name="ALCNC02" dataDxfId="20">
      <calculatedColumnFormula>IFERROR(AD2/COUNTIF(PROPIETARIOS!$F$4:$F$38,"GNC02"),0)</calculatedColumnFormula>
    </tableColumn>
    <tableColumn id="66" xr3:uid="{00000000-0010-0000-0000-000042000000}" name="ALCNC03" dataDxfId="19">
      <calculatedColumnFormula>IFERROR(AE2/COUNTIF(PROPIETARIOS!$G$4:$G$38,"GNC03"),0)</calculatedColumnFormula>
    </tableColumn>
    <tableColumn id="67" xr3:uid="{00000000-0010-0000-0000-000043000000}" name="ALCNC04" dataDxfId="18">
      <calculatedColumnFormula>IFERROR(AF2/COUNTIF(PROPIETARIOS!$H$4:$H$38,"GNC04"),0)</calculatedColumnFormula>
    </tableColumn>
    <tableColumn id="68" xr3:uid="{00000000-0010-0000-0000-000044000000}" name="ALCNC05" dataDxfId="17">
      <calculatedColumnFormula>IFERROR(AG2/COUNTIF(PROPIETARIOS!$I$4:$I$38,"GNC05"),0)</calculatedColumnFormula>
    </tableColumn>
    <tableColumn id="69" xr3:uid="{00000000-0010-0000-0000-000045000000}" name="SUBTOTAL" dataDxfId="16"/>
    <tableColumn id="70" xr3:uid="{00000000-0010-0000-0000-000046000000}" name="SUBALI" dataDxfId="15"/>
    <tableColumn id="71" xr3:uid="{00000000-0010-0000-0000-000047000000}" name="TOTAL" dataDxfId="14">
      <calculatedColumnFormula>SUM(D2:AB2)+SUM(AC2:AL2)+BQ2</calculatedColumnFormula>
    </tableColumn>
    <tableColumn id="72" xr3:uid="{00000000-0010-0000-0000-000048000000}" name="TOTALAL" dataDxfId="13">
      <calculatedColumnFormula>SUM(AM2:BK2)+SUM(BM2:BP2)+BR2+BW2+BL2</calculatedColumnFormula>
    </tableColumn>
    <tableColumn id="73" xr3:uid="{00000000-0010-0000-0000-000049000000}" name="EMAIL"/>
    <tableColumn id="74" xr3:uid="{00000000-0010-0000-0000-00004A000000}" name="FECHA" dataDxfId="12">
      <calculatedColumnFormula>TODAY()-15</calculatedColumnFormula>
    </tableColumn>
    <tableColumn id="75" xr3:uid="{00000000-0010-0000-0000-00004B000000}" name="ADICIONALES" dataDxfId="11"/>
    <tableColumn id="76" xr3:uid="{00000000-0010-0000-0000-00004C000000}" name="DEUDA" dataDxfId="10"/>
    <tableColumn id="77" xr3:uid="{00000000-0010-0000-0000-00004D000000}" name="Aalic" dataDxfId="9">
      <calculatedColumnFormula>TEXT(C2,"0,00")</calculatedColumnFormula>
    </tableColumn>
    <tableColumn id="78" xr3:uid="{00000000-0010-0000-0000-00004E000000}" name="Texto" dataDxfId="8"/>
    <tableColumn id="79" xr3:uid="{00000000-0010-0000-0000-00004F000000}" name="numlet" dataDxfId="7">
      <calculatedColumnFormula>convertirnum(Tabla1[[#This Row],[TOTALAL]])</calculatedColumnFormula>
    </tableColumn>
    <tableColumn id="80" xr3:uid="{00000000-0010-0000-0000-000050000000}" name="Mora" dataDxfId="6">
      <calculatedColumnFormula>IF(Tabla1[[#This Row],[DEUDA]]&gt;0,100,"")</calculatedColumnFormula>
    </tableColumn>
    <tableColumn id="81" xr3:uid="{00000000-0010-0000-0000-000051000000}" name="DEUDA2" dataDxfId="5" dataCellStyle="Millares">
      <calculatedColumnFormula>IF(Tabla1[[#This Row],[DEUDA]]&gt;0,Hoja6!#REF!,0)</calculatedColumnFormula>
    </tableColumn>
    <tableColumn id="82" xr3:uid="{00000000-0010-0000-0000-000052000000}" name="DEUDA3" dataDxfId="4"/>
    <tableColumn id="83" xr3:uid="{60FCBC8D-DBF9-48FF-AE1D-70FC8A84014E}" name="DEUDA4" dataDxfId="3" dataCellStyle="Millares">
      <calculatedColumnFormula>IF(Tabla1[[#This Row],[DEUDA]]&gt;0,Hoja6!FT4,0)</calculatedColumnFormula>
    </tableColumn>
    <tableColumn id="84" xr3:uid="{160B8640-E963-49A8-9043-B42E838AB5F2}" name="Texto pdf" dataDxfId="2">
      <calculatedColumnFormula>"_"&amp;Tabla1[[#This Row],[APTO-LOCAL-OFIC.]]&amp;" "&amp;Tabla1[[#This Row],[PROPIETARIO]]&amp;"-"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jose64contreras@gmail.com" TargetMode="External"/><Relationship Id="rId18" Type="http://schemas.openxmlformats.org/officeDocument/2006/relationships/hyperlink" Target="mailto:albarvelaiz@gmail.com" TargetMode="External"/><Relationship Id="rId26" Type="http://schemas.openxmlformats.org/officeDocument/2006/relationships/hyperlink" Target="mailto:TRANSPORTEBOTARDO@hotmail.com" TargetMode="External"/><Relationship Id="rId3" Type="http://schemas.openxmlformats.org/officeDocument/2006/relationships/hyperlink" Target="mailto:hec_jes46@hotmail.com" TargetMode="External"/><Relationship Id="rId21" Type="http://schemas.openxmlformats.org/officeDocument/2006/relationships/hyperlink" Target="mailto:jennysreyesb@hotmail.com" TargetMode="External"/><Relationship Id="rId34" Type="http://schemas.openxmlformats.org/officeDocument/2006/relationships/hyperlink" Target="mailto:janesilvacysne@gmail.com" TargetMode="External"/><Relationship Id="rId7" Type="http://schemas.openxmlformats.org/officeDocument/2006/relationships/hyperlink" Target="mailto:isi0404@hotmail.com" TargetMode="External"/><Relationship Id="rId12" Type="http://schemas.openxmlformats.org/officeDocument/2006/relationships/hyperlink" Target="mailto:mundosensorial@hotmail.com" TargetMode="External"/><Relationship Id="rId17" Type="http://schemas.openxmlformats.org/officeDocument/2006/relationships/hyperlink" Target="mailto:fabian_delaurentis@hotmail.com" TargetMode="External"/><Relationship Id="rId25" Type="http://schemas.openxmlformats.org/officeDocument/2006/relationships/hyperlink" Target="mailto:TRANSPORTEBOTARDO@hotmail.com" TargetMode="External"/><Relationship Id="rId33" Type="http://schemas.openxmlformats.org/officeDocument/2006/relationships/hyperlink" Target="mailto:guevaramar@cantv.net" TargetMode="External"/><Relationship Id="rId2" Type="http://schemas.openxmlformats.org/officeDocument/2006/relationships/hyperlink" Target="mailto:mariaes2000@hotmail.com" TargetMode="External"/><Relationship Id="rId16" Type="http://schemas.openxmlformats.org/officeDocument/2006/relationships/hyperlink" Target="mailto:josedavid244@gmail.com" TargetMode="External"/><Relationship Id="rId20" Type="http://schemas.openxmlformats.org/officeDocument/2006/relationships/hyperlink" Target="mailto:jennysreyesb@hotmail.com" TargetMode="External"/><Relationship Id="rId29" Type="http://schemas.openxmlformats.org/officeDocument/2006/relationships/hyperlink" Target="mailto:odontoimagenca2017@gmail.com" TargetMode="External"/><Relationship Id="rId1" Type="http://schemas.openxmlformats.org/officeDocument/2006/relationships/hyperlink" Target="mailto:jaimemonta@gmail.com" TargetMode="External"/><Relationship Id="rId6" Type="http://schemas.openxmlformats.org/officeDocument/2006/relationships/hyperlink" Target="mailto:Luigui516chirino5079624@gmail.com" TargetMode="External"/><Relationship Id="rId11" Type="http://schemas.openxmlformats.org/officeDocument/2006/relationships/hyperlink" Target="mailto:waloso27@gmail.com" TargetMode="External"/><Relationship Id="rId24" Type="http://schemas.openxmlformats.org/officeDocument/2006/relationships/hyperlink" Target="mailto:aucegumo@hotmail.com" TargetMode="External"/><Relationship Id="rId32" Type="http://schemas.openxmlformats.org/officeDocument/2006/relationships/hyperlink" Target="mailto:divinadivinin@hotmail.com" TargetMode="External"/><Relationship Id="rId5" Type="http://schemas.openxmlformats.org/officeDocument/2006/relationships/hyperlink" Target="mailto:verkis4@hotmail.com" TargetMode="External"/><Relationship Id="rId15" Type="http://schemas.openxmlformats.org/officeDocument/2006/relationships/hyperlink" Target="mailto:marco.jimenez1791@gmail.com" TargetMode="External"/><Relationship Id="rId23" Type="http://schemas.openxmlformats.org/officeDocument/2006/relationships/hyperlink" Target="mailto:erpc2005@hotmail.com" TargetMode="External"/><Relationship Id="rId28" Type="http://schemas.openxmlformats.org/officeDocument/2006/relationships/hyperlink" Target="mailto:clementelectronic@hotmail.com" TargetMode="External"/><Relationship Id="rId10" Type="http://schemas.openxmlformats.org/officeDocument/2006/relationships/hyperlink" Target="mailto:eudomargil@hotmail.com" TargetMode="External"/><Relationship Id="rId19" Type="http://schemas.openxmlformats.org/officeDocument/2006/relationships/hyperlink" Target="mailto:mariaeugeniaramirezrangel@gmail.com" TargetMode="External"/><Relationship Id="rId31" Type="http://schemas.openxmlformats.org/officeDocument/2006/relationships/hyperlink" Target="mailto:divinadivinin@hotmail.com" TargetMode="External"/><Relationship Id="rId4" Type="http://schemas.openxmlformats.org/officeDocument/2006/relationships/hyperlink" Target="mailto:marivelgranas@gmail.com" TargetMode="External"/><Relationship Id="rId9" Type="http://schemas.openxmlformats.org/officeDocument/2006/relationships/hyperlink" Target="mailto:ToledoMireya3@gmail.com" TargetMode="External"/><Relationship Id="rId14" Type="http://schemas.openxmlformats.org/officeDocument/2006/relationships/hyperlink" Target="mailto:nixander429@hotmail.com" TargetMode="External"/><Relationship Id="rId22" Type="http://schemas.openxmlformats.org/officeDocument/2006/relationships/hyperlink" Target="mailto:janesilvacysne@gmail.com" TargetMode="External"/><Relationship Id="rId27" Type="http://schemas.openxmlformats.org/officeDocument/2006/relationships/hyperlink" Target="mailto:leonela1585@gmail.com" TargetMode="External"/><Relationship Id="rId30" Type="http://schemas.openxmlformats.org/officeDocument/2006/relationships/hyperlink" Target="mailto:divinadivinin@hotmail.com" TargetMode="External"/><Relationship Id="rId35" Type="http://schemas.openxmlformats.org/officeDocument/2006/relationships/hyperlink" Target="mailto:mariaes2000@hotmail.com" TargetMode="External"/><Relationship Id="rId8" Type="http://schemas.openxmlformats.org/officeDocument/2006/relationships/hyperlink" Target="mailto:juancarlos100361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ileudomar@gmail.com" TargetMode="External"/><Relationship Id="rId13" Type="http://schemas.openxmlformats.org/officeDocument/2006/relationships/hyperlink" Target="mailto:josedavid244@gmail.com" TargetMode="External"/><Relationship Id="rId18" Type="http://schemas.openxmlformats.org/officeDocument/2006/relationships/hyperlink" Target="mailto:TRANSPORTEBOTARDO@hotmail.com" TargetMode="External"/><Relationship Id="rId26" Type="http://schemas.openxmlformats.org/officeDocument/2006/relationships/hyperlink" Target="mailto:rep.comercializadora2122@gmail.com&#160;" TargetMode="External"/><Relationship Id="rId3" Type="http://schemas.openxmlformats.org/officeDocument/2006/relationships/hyperlink" Target="mailto:hec_jes46@hotmail.com" TargetMode="External"/><Relationship Id="rId21" Type="http://schemas.openxmlformats.org/officeDocument/2006/relationships/hyperlink" Target="mailto:divinadivinin@hotmail.com" TargetMode="External"/><Relationship Id="rId7" Type="http://schemas.openxmlformats.org/officeDocument/2006/relationships/hyperlink" Target="mailto:ToledoMireya3@gmail.com" TargetMode="External"/><Relationship Id="rId12" Type="http://schemas.openxmlformats.org/officeDocument/2006/relationships/hyperlink" Target="mailto:marco.jimenez1791@gmail.com" TargetMode="External"/><Relationship Id="rId17" Type="http://schemas.openxmlformats.org/officeDocument/2006/relationships/hyperlink" Target="mailto:TRANSPORTEBOTARDO@hotmail.com" TargetMode="External"/><Relationship Id="rId25" Type="http://schemas.openxmlformats.org/officeDocument/2006/relationships/hyperlink" Target="mailto:janesilvacysne@gmail.com" TargetMode="External"/><Relationship Id="rId2" Type="http://schemas.openxmlformats.org/officeDocument/2006/relationships/hyperlink" Target="mailto:jacquelinecabezag@yahoo.es" TargetMode="External"/><Relationship Id="rId16" Type="http://schemas.openxmlformats.org/officeDocument/2006/relationships/hyperlink" Target="mailto:aucegumo@hotmail.com" TargetMode="External"/><Relationship Id="rId20" Type="http://schemas.openxmlformats.org/officeDocument/2006/relationships/hyperlink" Target="mailto:odontoimagenca2017@gmail.com" TargetMode="External"/><Relationship Id="rId29" Type="http://schemas.openxmlformats.org/officeDocument/2006/relationships/hyperlink" Target="mailto:jennysreyesb@gmail.com" TargetMode="External"/><Relationship Id="rId1" Type="http://schemas.openxmlformats.org/officeDocument/2006/relationships/hyperlink" Target="mailto:jaimemonta@gmail.com" TargetMode="External"/><Relationship Id="rId6" Type="http://schemas.openxmlformats.org/officeDocument/2006/relationships/hyperlink" Target="mailto:juancarlos100361@gmail.com" TargetMode="External"/><Relationship Id="rId11" Type="http://schemas.openxmlformats.org/officeDocument/2006/relationships/hyperlink" Target="mailto:rmaxgli@gmail.com" TargetMode="External"/><Relationship Id="rId24" Type="http://schemas.openxmlformats.org/officeDocument/2006/relationships/hyperlink" Target="mailto:mariogue19011954@gmail.com" TargetMode="External"/><Relationship Id="rId32" Type="http://schemas.openxmlformats.org/officeDocument/2006/relationships/table" Target="../tables/table1.xml"/><Relationship Id="rId5" Type="http://schemas.openxmlformats.org/officeDocument/2006/relationships/hyperlink" Target="mailto:verkis4@hotmail.com" TargetMode="External"/><Relationship Id="rId15" Type="http://schemas.openxmlformats.org/officeDocument/2006/relationships/hyperlink" Target="mailto:jennysreyesb@gmail.com" TargetMode="External"/><Relationship Id="rId23" Type="http://schemas.openxmlformats.org/officeDocument/2006/relationships/hyperlink" Target="mailto:divinadivinin@hotmail.com" TargetMode="External"/><Relationship Id="rId28" Type="http://schemas.openxmlformats.org/officeDocument/2006/relationships/hyperlink" Target="mailto:aletabares1980@gmail.com" TargetMode="External"/><Relationship Id="rId10" Type="http://schemas.openxmlformats.org/officeDocument/2006/relationships/hyperlink" Target="mailto:bettygonz193@gmail.com" TargetMode="External"/><Relationship Id="rId19" Type="http://schemas.openxmlformats.org/officeDocument/2006/relationships/hyperlink" Target="mailto:leonela1585@gmail.com" TargetMode="External"/><Relationship Id="rId31" Type="http://schemas.openxmlformats.org/officeDocument/2006/relationships/hyperlink" Target="mailto:Inversiones20avila@gmail.com" TargetMode="External"/><Relationship Id="rId4" Type="http://schemas.openxmlformats.org/officeDocument/2006/relationships/hyperlink" Target="mailto:marivelgranas@gmail.com" TargetMode="External"/><Relationship Id="rId9" Type="http://schemas.openxmlformats.org/officeDocument/2006/relationships/hyperlink" Target="mailto:waloso27@gmail.com" TargetMode="External"/><Relationship Id="rId14" Type="http://schemas.openxmlformats.org/officeDocument/2006/relationships/hyperlink" Target="mailto:fabian_delaurentis@hotmail.com" TargetMode="External"/><Relationship Id="rId22" Type="http://schemas.openxmlformats.org/officeDocument/2006/relationships/hyperlink" Target="mailto:divinadivinin@hotmail.com" TargetMode="External"/><Relationship Id="rId27" Type="http://schemas.openxmlformats.org/officeDocument/2006/relationships/hyperlink" Target="mailto:christina9269@hotmail.com" TargetMode="External"/><Relationship Id="rId30" Type="http://schemas.openxmlformats.org/officeDocument/2006/relationships/hyperlink" Target="mailto:osmary14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47"/>
  <sheetViews>
    <sheetView topLeftCell="A7" zoomScale="80" zoomScaleNormal="80" workbookViewId="0">
      <selection activeCell="M2" sqref="M2"/>
    </sheetView>
  </sheetViews>
  <sheetFormatPr baseColWidth="10" defaultRowHeight="15"/>
  <cols>
    <col min="3" max="3" width="31.140625" bestFit="1" customWidth="1"/>
    <col min="13" max="13" width="12" customWidth="1"/>
    <col min="14" max="14" width="10.42578125" hidden="1" customWidth="1"/>
    <col min="15" max="15" width="14.42578125" customWidth="1"/>
    <col min="16" max="16" width="13" bestFit="1" customWidth="1"/>
    <col min="17" max="17" width="12" bestFit="1" customWidth="1"/>
  </cols>
  <sheetData>
    <row r="1" spans="1:19">
      <c r="B1" s="266" t="s">
        <v>0</v>
      </c>
      <c r="C1" s="266"/>
      <c r="D1" s="266"/>
      <c r="E1" s="266"/>
      <c r="F1" s="266"/>
      <c r="G1" s="266"/>
      <c r="H1" s="266"/>
      <c r="I1" s="266"/>
      <c r="J1" s="266"/>
      <c r="K1" s="266"/>
      <c r="M1" s="218" t="s">
        <v>520</v>
      </c>
      <c r="N1" s="2"/>
      <c r="O1" s="2"/>
      <c r="P1">
        <v>35.64</v>
      </c>
    </row>
    <row r="2" spans="1:19">
      <c r="B2" s="266"/>
      <c r="C2" s="266"/>
      <c r="D2" s="266"/>
      <c r="E2" s="266"/>
      <c r="F2" s="266"/>
      <c r="G2" s="266"/>
      <c r="H2" s="266"/>
      <c r="I2" s="266"/>
      <c r="J2" s="266"/>
      <c r="K2" s="266"/>
      <c r="M2" s="212">
        <v>3695</v>
      </c>
      <c r="N2" s="212">
        <f>M2/P1</f>
        <v>103.67564534231201</v>
      </c>
      <c r="O2" s="2"/>
      <c r="Q2" s="51">
        <f>R2*3</f>
        <v>316.71428571428572</v>
      </c>
      <c r="R2" s="51">
        <f>M2/35</f>
        <v>105.57142857142857</v>
      </c>
      <c r="S2">
        <f>50*519082.41</f>
        <v>25954120.5</v>
      </c>
    </row>
    <row r="3" spans="1:19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M3" s="1" t="s">
        <v>341</v>
      </c>
      <c r="N3" s="1" t="s">
        <v>521</v>
      </c>
      <c r="O3" s="1" t="s">
        <v>335</v>
      </c>
      <c r="P3" s="1" t="s">
        <v>438</v>
      </c>
    </row>
    <row r="4" spans="1:19" ht="15.75" thickBot="1">
      <c r="A4" s="2" t="s">
        <v>12</v>
      </c>
      <c r="C4" s="3" t="s">
        <v>13</v>
      </c>
      <c r="D4">
        <v>2.74</v>
      </c>
      <c r="E4" s="16" t="s">
        <v>14</v>
      </c>
      <c r="F4" t="s">
        <v>15</v>
      </c>
      <c r="G4" t="s">
        <v>16</v>
      </c>
      <c r="M4" s="212">
        <f t="shared" ref="M4:M38" si="0">$M$2*D4%</f>
        <v>101.24300000000001</v>
      </c>
      <c r="N4" s="217">
        <f>M4/$P$1</f>
        <v>2.8407126823793494</v>
      </c>
      <c r="O4" s="2" t="s">
        <v>12</v>
      </c>
      <c r="P4" s="14">
        <f>$M$2/29</f>
        <v>127.41379310344827</v>
      </c>
      <c r="Q4" s="16" t="s">
        <v>375</v>
      </c>
    </row>
    <row r="5" spans="1:19" ht="15.75" thickBot="1">
      <c r="A5" s="2" t="s">
        <v>17</v>
      </c>
      <c r="C5" s="3" t="s">
        <v>371</v>
      </c>
      <c r="D5">
        <v>2.74</v>
      </c>
      <c r="E5" s="16" t="s">
        <v>14</v>
      </c>
      <c r="F5" t="s">
        <v>15</v>
      </c>
      <c r="G5" t="s">
        <v>16</v>
      </c>
      <c r="H5" t="s">
        <v>194</v>
      </c>
      <c r="M5" s="212">
        <f t="shared" si="0"/>
        <v>101.24300000000001</v>
      </c>
      <c r="N5" s="217">
        <f t="shared" ref="N5:N38" si="1">M5/$P$1</f>
        <v>2.8407126823793494</v>
      </c>
      <c r="O5" s="2" t="s">
        <v>17</v>
      </c>
      <c r="P5" s="14">
        <f t="shared" ref="P5:P32" si="2">$M$2/29</f>
        <v>127.41379310344827</v>
      </c>
    </row>
    <row r="6" spans="1:19" ht="15.75" thickBot="1">
      <c r="A6" s="2" t="s">
        <v>18</v>
      </c>
      <c r="C6" s="3" t="s">
        <v>589</v>
      </c>
      <c r="D6">
        <v>2.61</v>
      </c>
      <c r="E6" s="16" t="s">
        <v>14</v>
      </c>
      <c r="F6" t="s">
        <v>15</v>
      </c>
      <c r="G6" t="s">
        <v>16</v>
      </c>
      <c r="M6" s="212">
        <f t="shared" si="0"/>
        <v>96.439499999999995</v>
      </c>
      <c r="N6" s="217">
        <f t="shared" si="1"/>
        <v>2.7059343434343432</v>
      </c>
      <c r="O6" s="2" t="s">
        <v>18</v>
      </c>
      <c r="P6" s="14">
        <f t="shared" si="2"/>
        <v>127.41379310344827</v>
      </c>
    </row>
    <row r="7" spans="1:19" ht="15.75" thickBot="1">
      <c r="A7" s="2" t="s">
        <v>19</v>
      </c>
      <c r="B7">
        <v>13515839</v>
      </c>
      <c r="C7" s="3" t="s">
        <v>20</v>
      </c>
      <c r="D7">
        <v>2.61</v>
      </c>
      <c r="E7" s="16" t="s">
        <v>14</v>
      </c>
      <c r="F7" t="s">
        <v>15</v>
      </c>
      <c r="G7" t="s">
        <v>16</v>
      </c>
      <c r="M7" s="212">
        <f t="shared" si="0"/>
        <v>96.439499999999995</v>
      </c>
      <c r="N7" s="217">
        <f t="shared" si="1"/>
        <v>2.7059343434343432</v>
      </c>
      <c r="O7" s="2" t="s">
        <v>19</v>
      </c>
      <c r="P7" s="14">
        <f t="shared" si="2"/>
        <v>127.41379310344827</v>
      </c>
    </row>
    <row r="8" spans="1:19" ht="15.75" thickBot="1">
      <c r="A8" s="2" t="s">
        <v>21</v>
      </c>
      <c r="B8">
        <v>4339613</v>
      </c>
      <c r="C8" s="3" t="s">
        <v>22</v>
      </c>
      <c r="D8">
        <v>1.71</v>
      </c>
      <c r="E8" s="16" t="s">
        <v>14</v>
      </c>
      <c r="F8" t="s">
        <v>15</v>
      </c>
      <c r="G8" t="s">
        <v>16</v>
      </c>
      <c r="M8" s="212">
        <f t="shared" si="0"/>
        <v>63.1845</v>
      </c>
      <c r="N8" s="217">
        <f t="shared" si="1"/>
        <v>1.7728535353535353</v>
      </c>
      <c r="O8" s="2" t="s">
        <v>21</v>
      </c>
      <c r="P8" s="14">
        <f t="shared" si="2"/>
        <v>127.41379310344827</v>
      </c>
    </row>
    <row r="9" spans="1:19" ht="15.75" thickBot="1">
      <c r="A9" s="2" t="s">
        <v>23</v>
      </c>
      <c r="C9" s="3" t="s">
        <v>565</v>
      </c>
      <c r="D9">
        <v>1.71</v>
      </c>
      <c r="E9" s="16" t="s">
        <v>14</v>
      </c>
      <c r="F9" t="s">
        <v>15</v>
      </c>
      <c r="G9" t="s">
        <v>16</v>
      </c>
      <c r="M9" s="212">
        <f t="shared" si="0"/>
        <v>63.1845</v>
      </c>
      <c r="N9" s="217">
        <f t="shared" si="1"/>
        <v>1.7728535353535353</v>
      </c>
      <c r="O9" s="2" t="s">
        <v>23</v>
      </c>
      <c r="P9" s="14">
        <f t="shared" si="2"/>
        <v>127.41379310344827</v>
      </c>
    </row>
    <row r="10" spans="1:19" ht="15.75" thickBot="1">
      <c r="A10" s="2" t="s">
        <v>25</v>
      </c>
      <c r="B10">
        <v>3281367</v>
      </c>
      <c r="C10" s="3" t="s">
        <v>26</v>
      </c>
      <c r="D10">
        <v>1.71</v>
      </c>
      <c r="E10" s="16" t="s">
        <v>14</v>
      </c>
      <c r="F10" t="s">
        <v>15</v>
      </c>
      <c r="G10" t="s">
        <v>16</v>
      </c>
      <c r="M10" s="212">
        <f t="shared" si="0"/>
        <v>63.1845</v>
      </c>
      <c r="N10" s="217">
        <f t="shared" si="1"/>
        <v>1.7728535353535353</v>
      </c>
      <c r="O10" s="2" t="s">
        <v>25</v>
      </c>
      <c r="P10" s="14">
        <f t="shared" si="2"/>
        <v>127.41379310344827</v>
      </c>
    </row>
    <row r="11" spans="1:19" ht="15.75" thickBot="1">
      <c r="A11" s="2" t="s">
        <v>27</v>
      </c>
      <c r="B11">
        <v>13380874</v>
      </c>
      <c r="C11" s="3" t="s">
        <v>28</v>
      </c>
      <c r="D11">
        <v>1.71</v>
      </c>
      <c r="E11" s="16" t="s">
        <v>14</v>
      </c>
      <c r="F11" t="s">
        <v>15</v>
      </c>
      <c r="G11" t="s">
        <v>16</v>
      </c>
      <c r="M11" s="212">
        <f t="shared" si="0"/>
        <v>63.1845</v>
      </c>
      <c r="N11" s="217">
        <f t="shared" si="1"/>
        <v>1.7728535353535353</v>
      </c>
      <c r="O11" s="2" t="s">
        <v>27</v>
      </c>
      <c r="P11" s="14">
        <f t="shared" si="2"/>
        <v>127.41379310344827</v>
      </c>
    </row>
    <row r="12" spans="1:19" ht="15.75" thickBot="1">
      <c r="A12" s="2" t="s">
        <v>29</v>
      </c>
      <c r="B12">
        <v>8790431</v>
      </c>
      <c r="C12" s="3" t="s">
        <v>30</v>
      </c>
      <c r="D12">
        <v>1.71</v>
      </c>
      <c r="E12" s="16" t="s">
        <v>14</v>
      </c>
      <c r="F12" t="s">
        <v>15</v>
      </c>
      <c r="G12" t="s">
        <v>16</v>
      </c>
      <c r="M12" s="212">
        <f t="shared" si="0"/>
        <v>63.1845</v>
      </c>
      <c r="N12" s="217">
        <f t="shared" si="1"/>
        <v>1.7728535353535353</v>
      </c>
      <c r="O12" s="2" t="s">
        <v>29</v>
      </c>
      <c r="P12" s="14">
        <f t="shared" si="2"/>
        <v>127.41379310344827</v>
      </c>
    </row>
    <row r="13" spans="1:19" ht="15.75" thickBot="1">
      <c r="A13" s="2" t="s">
        <v>31</v>
      </c>
      <c r="C13" s="3" t="s">
        <v>248</v>
      </c>
      <c r="D13">
        <v>1.71</v>
      </c>
      <c r="E13" s="16" t="s">
        <v>14</v>
      </c>
      <c r="F13" t="s">
        <v>15</v>
      </c>
      <c r="G13" t="s">
        <v>16</v>
      </c>
      <c r="M13" s="212">
        <f t="shared" si="0"/>
        <v>63.1845</v>
      </c>
      <c r="N13" s="217">
        <f t="shared" si="1"/>
        <v>1.7728535353535353</v>
      </c>
      <c r="O13" s="2" t="s">
        <v>31</v>
      </c>
      <c r="P13" s="14">
        <f t="shared" si="2"/>
        <v>127.41379310344827</v>
      </c>
    </row>
    <row r="14" spans="1:19" ht="15.75" thickBot="1">
      <c r="A14" s="2" t="s">
        <v>32</v>
      </c>
      <c r="B14">
        <v>9232615</v>
      </c>
      <c r="C14" s="3" t="s">
        <v>33</v>
      </c>
      <c r="D14">
        <v>1.71</v>
      </c>
      <c r="E14" s="16" t="s">
        <v>14</v>
      </c>
      <c r="F14" t="s">
        <v>15</v>
      </c>
      <c r="G14" t="s">
        <v>16</v>
      </c>
      <c r="M14" s="212">
        <f t="shared" si="0"/>
        <v>63.1845</v>
      </c>
      <c r="N14" s="217">
        <f t="shared" si="1"/>
        <v>1.7728535353535353</v>
      </c>
      <c r="O14" s="2" t="s">
        <v>32</v>
      </c>
      <c r="P14" s="14">
        <f t="shared" si="2"/>
        <v>127.41379310344827</v>
      </c>
    </row>
    <row r="15" spans="1:19" ht="15.75" thickBot="1">
      <c r="A15" s="2" t="s">
        <v>34</v>
      </c>
      <c r="B15">
        <v>5301751</v>
      </c>
      <c r="C15" s="3" t="s">
        <v>35</v>
      </c>
      <c r="D15">
        <v>1.71</v>
      </c>
      <c r="E15" s="16" t="s">
        <v>14</v>
      </c>
      <c r="F15" t="s">
        <v>15</v>
      </c>
      <c r="G15" t="s">
        <v>16</v>
      </c>
      <c r="M15" s="212">
        <f t="shared" si="0"/>
        <v>63.1845</v>
      </c>
      <c r="N15" s="217">
        <f t="shared" si="1"/>
        <v>1.7728535353535353</v>
      </c>
      <c r="O15" s="2" t="s">
        <v>34</v>
      </c>
      <c r="P15" s="14">
        <f t="shared" si="2"/>
        <v>127.41379310344827</v>
      </c>
    </row>
    <row r="16" spans="1:19" ht="15.75" thickBot="1">
      <c r="A16" s="2" t="s">
        <v>36</v>
      </c>
      <c r="B16">
        <v>9430154</v>
      </c>
      <c r="C16" s="3" t="s">
        <v>415</v>
      </c>
      <c r="D16">
        <v>1.71</v>
      </c>
      <c r="E16" s="16" t="s">
        <v>14</v>
      </c>
      <c r="F16" t="s">
        <v>15</v>
      </c>
      <c r="G16" t="s">
        <v>16</v>
      </c>
      <c r="M16" s="212">
        <f t="shared" si="0"/>
        <v>63.1845</v>
      </c>
      <c r="N16" s="217">
        <f t="shared" si="1"/>
        <v>1.7728535353535353</v>
      </c>
      <c r="O16" s="2" t="s">
        <v>36</v>
      </c>
      <c r="P16" s="14">
        <f t="shared" si="2"/>
        <v>127.41379310344827</v>
      </c>
    </row>
    <row r="17" spans="1:16" ht="15.75" thickBot="1">
      <c r="A17" s="2" t="s">
        <v>37</v>
      </c>
      <c r="C17" s="3" t="s">
        <v>38</v>
      </c>
      <c r="D17">
        <v>1.71</v>
      </c>
      <c r="E17" s="16" t="s">
        <v>14</v>
      </c>
      <c r="F17" t="s">
        <v>15</v>
      </c>
      <c r="G17" t="s">
        <v>16</v>
      </c>
      <c r="M17" s="212">
        <f t="shared" si="0"/>
        <v>63.1845</v>
      </c>
      <c r="N17" s="217">
        <f t="shared" si="1"/>
        <v>1.7728535353535353</v>
      </c>
      <c r="O17" s="2" t="s">
        <v>37</v>
      </c>
      <c r="P17" s="14">
        <f t="shared" si="2"/>
        <v>127.41379310344827</v>
      </c>
    </row>
    <row r="18" spans="1:16" ht="15.75" thickBot="1">
      <c r="A18" s="2" t="s">
        <v>39</v>
      </c>
      <c r="B18">
        <v>5221075</v>
      </c>
      <c r="C18" s="3" t="s">
        <v>72</v>
      </c>
      <c r="D18">
        <v>1.71</v>
      </c>
      <c r="E18" s="16" t="s">
        <v>14</v>
      </c>
      <c r="F18" t="s">
        <v>15</v>
      </c>
      <c r="G18" t="s">
        <v>16</v>
      </c>
      <c r="M18" s="212">
        <f t="shared" si="0"/>
        <v>63.1845</v>
      </c>
      <c r="N18" s="217">
        <f t="shared" si="1"/>
        <v>1.7728535353535353</v>
      </c>
      <c r="O18" s="2" t="s">
        <v>39</v>
      </c>
      <c r="P18" s="14">
        <f t="shared" si="2"/>
        <v>127.41379310344827</v>
      </c>
    </row>
    <row r="19" spans="1:16" ht="15.75" thickBot="1">
      <c r="A19" s="2" t="s">
        <v>40</v>
      </c>
      <c r="C19" s="3" t="s">
        <v>473</v>
      </c>
      <c r="D19">
        <v>1.71</v>
      </c>
      <c r="E19" s="16" t="s">
        <v>14</v>
      </c>
      <c r="F19" t="s">
        <v>15</v>
      </c>
      <c r="G19" t="s">
        <v>16</v>
      </c>
      <c r="M19" s="212">
        <f t="shared" si="0"/>
        <v>63.1845</v>
      </c>
      <c r="N19" s="217">
        <f t="shared" si="1"/>
        <v>1.7728535353535353</v>
      </c>
      <c r="O19" s="2" t="s">
        <v>40</v>
      </c>
      <c r="P19" s="14">
        <f t="shared" si="2"/>
        <v>127.41379310344827</v>
      </c>
    </row>
    <row r="20" spans="1:16" ht="15.75" thickBot="1">
      <c r="A20" s="2" t="s">
        <v>41</v>
      </c>
      <c r="B20">
        <v>7297741</v>
      </c>
      <c r="C20" s="3" t="s">
        <v>42</v>
      </c>
      <c r="D20">
        <v>1.71</v>
      </c>
      <c r="E20" s="16" t="s">
        <v>14</v>
      </c>
      <c r="F20" t="s">
        <v>15</v>
      </c>
      <c r="G20" t="s">
        <v>16</v>
      </c>
      <c r="M20" s="212">
        <f t="shared" si="0"/>
        <v>63.1845</v>
      </c>
      <c r="N20" s="217">
        <f t="shared" si="1"/>
        <v>1.7728535353535353</v>
      </c>
      <c r="O20" s="2" t="s">
        <v>41</v>
      </c>
      <c r="P20" s="14">
        <f t="shared" si="2"/>
        <v>127.41379310344827</v>
      </c>
    </row>
    <row r="21" spans="1:16" ht="15.75" thickBot="1">
      <c r="A21" s="2" t="s">
        <v>43</v>
      </c>
      <c r="B21">
        <v>16796993</v>
      </c>
      <c r="C21" s="3" t="s">
        <v>257</v>
      </c>
      <c r="D21">
        <v>1.71</v>
      </c>
      <c r="E21" s="16" t="s">
        <v>14</v>
      </c>
      <c r="F21" t="s">
        <v>15</v>
      </c>
      <c r="G21" t="s">
        <v>16</v>
      </c>
      <c r="M21" s="212">
        <f t="shared" si="0"/>
        <v>63.1845</v>
      </c>
      <c r="N21" s="217">
        <f t="shared" si="1"/>
        <v>1.7728535353535353</v>
      </c>
      <c r="O21" s="2" t="s">
        <v>43</v>
      </c>
      <c r="P21" s="14">
        <f t="shared" si="2"/>
        <v>127.41379310344827</v>
      </c>
    </row>
    <row r="22" spans="1:16" ht="15.75" thickBot="1">
      <c r="A22" s="2" t="s">
        <v>44</v>
      </c>
      <c r="C22" s="3" t="s">
        <v>557</v>
      </c>
      <c r="D22">
        <v>1.71</v>
      </c>
      <c r="E22" s="16" t="s">
        <v>14</v>
      </c>
      <c r="F22" t="s">
        <v>15</v>
      </c>
      <c r="G22" t="s">
        <v>16</v>
      </c>
      <c r="M22" s="212">
        <f t="shared" si="0"/>
        <v>63.1845</v>
      </c>
      <c r="N22" s="217">
        <f t="shared" si="1"/>
        <v>1.7728535353535353</v>
      </c>
      <c r="O22" s="2" t="s">
        <v>44</v>
      </c>
      <c r="P22" s="14">
        <f t="shared" si="2"/>
        <v>127.41379310344827</v>
      </c>
    </row>
    <row r="23" spans="1:16" ht="15.75" thickBot="1">
      <c r="A23" s="2" t="s">
        <v>45</v>
      </c>
      <c r="B23">
        <v>4230262</v>
      </c>
      <c r="C23" s="3" t="s">
        <v>46</v>
      </c>
      <c r="D23">
        <v>1.71</v>
      </c>
      <c r="E23" s="16" t="s">
        <v>14</v>
      </c>
      <c r="F23" t="s">
        <v>15</v>
      </c>
      <c r="G23" t="s">
        <v>16</v>
      </c>
      <c r="M23" s="212">
        <f t="shared" si="0"/>
        <v>63.1845</v>
      </c>
      <c r="N23" s="217">
        <f t="shared" si="1"/>
        <v>1.7728535353535353</v>
      </c>
      <c r="O23" s="2" t="s">
        <v>45</v>
      </c>
      <c r="P23" s="14">
        <f t="shared" si="2"/>
        <v>127.41379310344827</v>
      </c>
    </row>
    <row r="24" spans="1:16" ht="15.75" thickBot="1">
      <c r="A24" s="2" t="s">
        <v>47</v>
      </c>
      <c r="B24">
        <v>9512471</v>
      </c>
      <c r="C24" s="3" t="s">
        <v>48</v>
      </c>
      <c r="D24">
        <v>3.09</v>
      </c>
      <c r="E24" s="16" t="s">
        <v>14</v>
      </c>
      <c r="F24" t="s">
        <v>15</v>
      </c>
      <c r="G24" t="s">
        <v>16</v>
      </c>
      <c r="M24" s="212">
        <f t="shared" si="0"/>
        <v>114.17549999999999</v>
      </c>
      <c r="N24" s="217">
        <f t="shared" si="1"/>
        <v>3.2035774410774405</v>
      </c>
      <c r="O24" s="2" t="s">
        <v>47</v>
      </c>
      <c r="P24" s="14">
        <f t="shared" si="2"/>
        <v>127.41379310344827</v>
      </c>
    </row>
    <row r="25" spans="1:16" ht="15.75" thickBot="1">
      <c r="A25" s="2" t="s">
        <v>49</v>
      </c>
      <c r="B25">
        <v>8736660</v>
      </c>
      <c r="C25" s="3" t="s">
        <v>50</v>
      </c>
      <c r="D25">
        <v>3.09</v>
      </c>
      <c r="E25" s="16" t="s">
        <v>14</v>
      </c>
      <c r="F25" t="s">
        <v>15</v>
      </c>
      <c r="G25" t="s">
        <v>16</v>
      </c>
      <c r="M25" s="212">
        <f t="shared" si="0"/>
        <v>114.17549999999999</v>
      </c>
      <c r="N25" s="217">
        <f t="shared" si="1"/>
        <v>3.2035774410774405</v>
      </c>
      <c r="O25" s="2" t="s">
        <v>49</v>
      </c>
      <c r="P25" s="14">
        <f t="shared" si="2"/>
        <v>127.41379310344827</v>
      </c>
    </row>
    <row r="26" spans="1:16" ht="15.75" thickBot="1">
      <c r="A26" s="2" t="s">
        <v>51</v>
      </c>
      <c r="C26" s="4" t="s">
        <v>52</v>
      </c>
      <c r="D26">
        <v>2.92</v>
      </c>
      <c r="E26" s="16" t="s">
        <v>14</v>
      </c>
      <c r="F26" t="s">
        <v>15</v>
      </c>
      <c r="G26" t="s">
        <v>16</v>
      </c>
      <c r="M26" s="247">
        <f t="shared" si="0"/>
        <v>107.89400000000001</v>
      </c>
      <c r="N26" s="217">
        <f t="shared" si="1"/>
        <v>3.0273288439955106</v>
      </c>
      <c r="O26" s="2" t="s">
        <v>51</v>
      </c>
      <c r="P26" s="14">
        <f t="shared" si="2"/>
        <v>127.41379310344827</v>
      </c>
    </row>
    <row r="27" spans="1:16" ht="15.75" thickBot="1">
      <c r="A27" s="2" t="s">
        <v>53</v>
      </c>
      <c r="C27" s="4" t="s">
        <v>52</v>
      </c>
      <c r="D27">
        <v>2.84</v>
      </c>
      <c r="E27" s="16" t="s">
        <v>14</v>
      </c>
      <c r="F27" t="s">
        <v>15</v>
      </c>
      <c r="G27" t="s">
        <v>16</v>
      </c>
      <c r="M27" s="247">
        <f t="shared" si="0"/>
        <v>104.93799999999999</v>
      </c>
      <c r="N27" s="217">
        <f t="shared" si="1"/>
        <v>2.9443883277216605</v>
      </c>
      <c r="O27" s="2" t="s">
        <v>53</v>
      </c>
      <c r="P27" s="14">
        <f t="shared" si="2"/>
        <v>127.41379310344827</v>
      </c>
    </row>
    <row r="28" spans="1:16" ht="15.75" thickBot="1">
      <c r="A28" s="2" t="s">
        <v>54</v>
      </c>
      <c r="C28" s="3" t="s">
        <v>55</v>
      </c>
      <c r="D28">
        <v>2.92</v>
      </c>
      <c r="E28" s="16" t="s">
        <v>14</v>
      </c>
      <c r="F28" t="s">
        <v>15</v>
      </c>
      <c r="G28" t="s">
        <v>16</v>
      </c>
      <c r="M28" s="247">
        <f t="shared" si="0"/>
        <v>107.89400000000001</v>
      </c>
      <c r="N28" s="217">
        <f t="shared" si="1"/>
        <v>3.0273288439955106</v>
      </c>
      <c r="O28" s="2" t="s">
        <v>54</v>
      </c>
      <c r="P28" s="14">
        <f t="shared" si="2"/>
        <v>127.41379310344827</v>
      </c>
    </row>
    <row r="29" spans="1:16" ht="15.75" thickBot="1">
      <c r="A29" s="2" t="s">
        <v>56</v>
      </c>
      <c r="C29" s="3" t="s">
        <v>57</v>
      </c>
      <c r="D29">
        <v>3.17</v>
      </c>
      <c r="E29" s="16" t="s">
        <v>14</v>
      </c>
      <c r="F29" t="s">
        <v>15</v>
      </c>
      <c r="G29" t="s">
        <v>16</v>
      </c>
      <c r="M29" s="247">
        <f t="shared" si="0"/>
        <v>117.1315</v>
      </c>
      <c r="N29" s="217">
        <f t="shared" si="1"/>
        <v>3.2865179573512906</v>
      </c>
      <c r="O29" s="2" t="s">
        <v>56</v>
      </c>
      <c r="P29" s="14">
        <f t="shared" si="2"/>
        <v>127.41379310344827</v>
      </c>
    </row>
    <row r="30" spans="1:16" ht="15.75" thickBot="1">
      <c r="A30" s="2" t="s">
        <v>58</v>
      </c>
      <c r="C30" s="3" t="s">
        <v>59</v>
      </c>
      <c r="D30">
        <v>4.49</v>
      </c>
      <c r="E30" s="16" t="s">
        <v>14</v>
      </c>
      <c r="F30" t="s">
        <v>15</v>
      </c>
      <c r="G30" t="s">
        <v>16</v>
      </c>
      <c r="M30" s="247">
        <f t="shared" si="0"/>
        <v>165.90550000000002</v>
      </c>
      <c r="N30" s="217">
        <f t="shared" si="1"/>
        <v>4.6550364758698093</v>
      </c>
      <c r="O30" s="2" t="s">
        <v>58</v>
      </c>
      <c r="P30" s="14">
        <f t="shared" si="2"/>
        <v>127.41379310344827</v>
      </c>
    </row>
    <row r="31" spans="1:16" ht="15.75" thickBot="1">
      <c r="A31" s="2" t="s">
        <v>60</v>
      </c>
      <c r="C31" s="3" t="s">
        <v>59</v>
      </c>
      <c r="D31">
        <v>3.25</v>
      </c>
      <c r="E31" s="16" t="s">
        <v>14</v>
      </c>
      <c r="F31" t="s">
        <v>15</v>
      </c>
      <c r="G31" t="s">
        <v>16</v>
      </c>
      <c r="M31" s="212">
        <f t="shared" si="0"/>
        <v>120.08750000000001</v>
      </c>
      <c r="N31" s="217">
        <f t="shared" si="1"/>
        <v>3.3694584736251403</v>
      </c>
      <c r="O31" s="2" t="s">
        <v>60</v>
      </c>
      <c r="P31" s="14">
        <f t="shared" si="2"/>
        <v>127.41379310344827</v>
      </c>
    </row>
    <row r="32" spans="1:16" ht="15.75" thickBot="1">
      <c r="A32" s="2" t="s">
        <v>61</v>
      </c>
      <c r="C32" s="3" t="s">
        <v>62</v>
      </c>
      <c r="D32">
        <v>3.34</v>
      </c>
      <c r="E32" s="16" t="s">
        <v>14</v>
      </c>
      <c r="F32" t="s">
        <v>15</v>
      </c>
      <c r="G32" t="s">
        <v>16</v>
      </c>
      <c r="M32" s="212">
        <f t="shared" si="0"/>
        <v>123.413</v>
      </c>
      <c r="N32" s="217">
        <f t="shared" si="1"/>
        <v>3.4627665544332209</v>
      </c>
      <c r="O32" s="2" t="s">
        <v>61</v>
      </c>
      <c r="P32" s="14">
        <f t="shared" si="2"/>
        <v>127.41379310344827</v>
      </c>
    </row>
    <row r="33" spans="1:16" ht="15.75" thickBot="1">
      <c r="A33" s="2" t="s">
        <v>63</v>
      </c>
      <c r="C33" s="3" t="s">
        <v>563</v>
      </c>
      <c r="D33">
        <v>3.12</v>
      </c>
      <c r="E33" s="16" t="s">
        <v>14</v>
      </c>
      <c r="F33" t="s">
        <v>15</v>
      </c>
      <c r="G33" t="s">
        <v>16</v>
      </c>
      <c r="M33" s="246">
        <f t="shared" si="0"/>
        <v>115.28400000000001</v>
      </c>
      <c r="N33" s="217">
        <f t="shared" si="1"/>
        <v>3.2346801346801346</v>
      </c>
      <c r="O33" s="2" t="s">
        <v>63</v>
      </c>
      <c r="P33" s="14"/>
    </row>
    <row r="34" spans="1:16" ht="15.75" thickBot="1">
      <c r="A34" s="2" t="s">
        <v>64</v>
      </c>
      <c r="C34" s="3" t="s">
        <v>65</v>
      </c>
      <c r="D34">
        <v>4.08</v>
      </c>
      <c r="E34" s="16" t="s">
        <v>14</v>
      </c>
      <c r="F34" t="s">
        <v>15</v>
      </c>
      <c r="G34" t="s">
        <v>16</v>
      </c>
      <c r="M34" s="212">
        <f t="shared" si="0"/>
        <v>150.756</v>
      </c>
      <c r="N34" s="217">
        <f t="shared" si="1"/>
        <v>4.2299663299663299</v>
      </c>
      <c r="O34" s="2" t="s">
        <v>64</v>
      </c>
      <c r="P34" s="14"/>
    </row>
    <row r="35" spans="1:16" ht="15.75" thickBot="1">
      <c r="A35" s="2" t="s">
        <v>66</v>
      </c>
      <c r="C35" s="3" t="s">
        <v>67</v>
      </c>
      <c r="D35">
        <v>2.4500000000000002</v>
      </c>
      <c r="E35" s="16" t="s">
        <v>14</v>
      </c>
      <c r="F35" t="s">
        <v>15</v>
      </c>
      <c r="G35" t="s">
        <v>16</v>
      </c>
      <c r="H35" t="s">
        <v>194</v>
      </c>
      <c r="M35" s="246">
        <f t="shared" si="0"/>
        <v>90.527500000000003</v>
      </c>
      <c r="N35" s="217">
        <f t="shared" si="1"/>
        <v>2.5400533108866443</v>
      </c>
      <c r="O35" s="2" t="s">
        <v>66</v>
      </c>
      <c r="P35" s="14"/>
    </row>
    <row r="36" spans="1:16" ht="15.75" thickBot="1">
      <c r="A36" s="2" t="s">
        <v>68</v>
      </c>
      <c r="C36" s="3" t="s">
        <v>571</v>
      </c>
      <c r="D36">
        <v>3.41</v>
      </c>
      <c r="E36" s="16" t="s">
        <v>14</v>
      </c>
      <c r="F36" t="s">
        <v>15</v>
      </c>
      <c r="G36" t="s">
        <v>16</v>
      </c>
      <c r="H36" t="s">
        <v>194</v>
      </c>
      <c r="M36" s="246">
        <f t="shared" si="0"/>
        <v>125.9995</v>
      </c>
      <c r="N36" s="217">
        <f t="shared" si="1"/>
        <v>3.5353395061728392</v>
      </c>
      <c r="O36" s="2" t="s">
        <v>68</v>
      </c>
      <c r="P36" s="14"/>
    </row>
    <row r="37" spans="1:16" ht="17.45" customHeight="1" thickBot="1">
      <c r="A37" s="2" t="s">
        <v>69</v>
      </c>
      <c r="C37" s="5" t="s">
        <v>564</v>
      </c>
      <c r="D37">
        <v>14.83</v>
      </c>
      <c r="E37" s="16" t="s">
        <v>14</v>
      </c>
      <c r="F37" t="s">
        <v>15</v>
      </c>
      <c r="G37" t="s">
        <v>16</v>
      </c>
      <c r="H37" t="s">
        <v>194</v>
      </c>
      <c r="M37" s="246">
        <f t="shared" si="0"/>
        <v>547.96849999999995</v>
      </c>
      <c r="N37" s="217">
        <f t="shared" si="1"/>
        <v>15.375098204264869</v>
      </c>
      <c r="O37" s="2" t="s">
        <v>69</v>
      </c>
      <c r="P37" s="14"/>
    </row>
    <row r="38" spans="1:16" ht="15.75" thickBot="1">
      <c r="A38" s="2" t="s">
        <v>70</v>
      </c>
      <c r="C38" s="3" t="s">
        <v>71</v>
      </c>
      <c r="D38" s="182">
        <v>4.9400000000000004</v>
      </c>
      <c r="E38" s="16" t="s">
        <v>14</v>
      </c>
      <c r="F38" t="s">
        <v>15</v>
      </c>
      <c r="G38" t="s">
        <v>16</v>
      </c>
      <c r="M38" s="212">
        <f t="shared" si="0"/>
        <v>182.53300000000002</v>
      </c>
      <c r="N38" s="217">
        <f t="shared" si="1"/>
        <v>5.1215768799102133</v>
      </c>
      <c r="O38" s="2" t="s">
        <v>70</v>
      </c>
      <c r="P38" s="14"/>
    </row>
    <row r="39" spans="1:16">
      <c r="E39" t="s">
        <v>101</v>
      </c>
      <c r="G39" t="s">
        <v>485</v>
      </c>
      <c r="H39" t="s">
        <v>471</v>
      </c>
      <c r="M39" s="14">
        <f>SUM(M4:M38)</f>
        <v>3695.0000000000005</v>
      </c>
      <c r="N39" s="14">
        <f>SUM(N4:N38)</f>
        <v>103.67564534231198</v>
      </c>
      <c r="P39" s="51">
        <f>SUM(P4:P38)</f>
        <v>3695.0000000000018</v>
      </c>
    </row>
    <row r="40" spans="1:16">
      <c r="E40" t="s">
        <v>344</v>
      </c>
    </row>
    <row r="41" spans="1:16">
      <c r="C41">
        <f>(900000/27)*5</f>
        <v>166666.66666666669</v>
      </c>
    </row>
    <row r="43" spans="1:16">
      <c r="G43">
        <f>100/35</f>
        <v>2.8571428571428572</v>
      </c>
    </row>
    <row r="45" spans="1:16">
      <c r="F45">
        <f>24500*6</f>
        <v>147000</v>
      </c>
    </row>
    <row r="47" spans="1:16">
      <c r="C47">
        <f>85*4.94%</f>
        <v>4.1990000000000007</v>
      </c>
    </row>
  </sheetData>
  <mergeCells count="1">
    <mergeCell ref="B1:K2"/>
  </mergeCells>
  <phoneticPr fontId="2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47"/>
  <sheetViews>
    <sheetView topLeftCell="A19" zoomScaleNormal="100" workbookViewId="0">
      <selection activeCell="D2" sqref="D2"/>
    </sheetView>
  </sheetViews>
  <sheetFormatPr baseColWidth="10" defaultRowHeight="15"/>
  <cols>
    <col min="1" max="1" width="13" bestFit="1" customWidth="1"/>
    <col min="2" max="2" width="13.42578125" bestFit="1" customWidth="1"/>
    <col min="3" max="3" width="14.5703125" customWidth="1"/>
    <col min="4" max="4" width="12" bestFit="1" customWidth="1"/>
    <col min="10" max="10" width="13" bestFit="1" customWidth="1"/>
    <col min="11" max="11" width="12" bestFit="1" customWidth="1"/>
  </cols>
  <sheetData>
    <row r="1" spans="1:6">
      <c r="A1" s="1" t="s">
        <v>341</v>
      </c>
      <c r="B1" t="s">
        <v>335</v>
      </c>
      <c r="C1" s="1" t="s">
        <v>342</v>
      </c>
      <c r="D1" t="s">
        <v>343</v>
      </c>
      <c r="F1" t="s">
        <v>345</v>
      </c>
    </row>
    <row r="2" spans="1:6">
      <c r="A2" s="14">
        <v>9453</v>
      </c>
      <c r="B2" s="2" t="s">
        <v>12</v>
      </c>
      <c r="C2" s="186" t="s">
        <v>277</v>
      </c>
      <c r="D2" s="181" t="s">
        <v>491</v>
      </c>
      <c r="F2">
        <v>2.74</v>
      </c>
    </row>
    <row r="3" spans="1:6">
      <c r="A3" s="14">
        <v>9453</v>
      </c>
      <c r="B3" s="2" t="s">
        <v>17</v>
      </c>
      <c r="C3" s="186" t="s">
        <v>277</v>
      </c>
      <c r="D3" s="183" t="s">
        <v>240</v>
      </c>
      <c r="F3">
        <v>2.74</v>
      </c>
    </row>
    <row r="4" spans="1:6">
      <c r="A4" s="14">
        <v>9004.5</v>
      </c>
      <c r="B4" s="2" t="s">
        <v>18</v>
      </c>
      <c r="C4" s="186" t="s">
        <v>277</v>
      </c>
      <c r="D4" s="181" t="s">
        <v>241</v>
      </c>
      <c r="F4">
        <v>2.61</v>
      </c>
    </row>
    <row r="5" spans="1:6">
      <c r="A5" s="14">
        <v>9004.5</v>
      </c>
      <c r="B5" s="2" t="s">
        <v>19</v>
      </c>
      <c r="C5" s="186" t="s">
        <v>277</v>
      </c>
      <c r="D5" s="181" t="s">
        <v>242</v>
      </c>
      <c r="F5">
        <v>2.61</v>
      </c>
    </row>
    <row r="6" spans="1:6">
      <c r="A6" s="14">
        <v>5899.5</v>
      </c>
      <c r="B6" s="2" t="s">
        <v>21</v>
      </c>
      <c r="C6" s="186" t="s">
        <v>277</v>
      </c>
      <c r="D6" s="181" t="s">
        <v>243</v>
      </c>
      <c r="F6">
        <v>1.71</v>
      </c>
    </row>
    <row r="7" spans="1:6">
      <c r="A7" s="14">
        <v>5899.5</v>
      </c>
      <c r="B7" s="2" t="s">
        <v>23</v>
      </c>
      <c r="C7" s="186" t="s">
        <v>277</v>
      </c>
      <c r="D7" s="183" t="s">
        <v>244</v>
      </c>
      <c r="F7">
        <v>1.71</v>
      </c>
    </row>
    <row r="8" spans="1:6">
      <c r="A8" s="14">
        <v>5899.5</v>
      </c>
      <c r="B8" s="2" t="s">
        <v>25</v>
      </c>
      <c r="C8" s="186" t="s">
        <v>277</v>
      </c>
      <c r="D8" s="181" t="s">
        <v>245</v>
      </c>
      <c r="F8">
        <v>1.71</v>
      </c>
    </row>
    <row r="9" spans="1:6">
      <c r="A9" s="14">
        <v>5899.5</v>
      </c>
      <c r="B9" s="2" t="s">
        <v>27</v>
      </c>
      <c r="C9" s="186" t="s">
        <v>277</v>
      </c>
      <c r="D9" s="183" t="s">
        <v>246</v>
      </c>
      <c r="F9">
        <v>1.71</v>
      </c>
    </row>
    <row r="10" spans="1:6">
      <c r="A10" s="14">
        <v>5899.5</v>
      </c>
      <c r="B10" s="2" t="s">
        <v>29</v>
      </c>
      <c r="C10" s="186" t="s">
        <v>277</v>
      </c>
      <c r="D10" s="181" t="s">
        <v>247</v>
      </c>
      <c r="F10">
        <v>1.71</v>
      </c>
    </row>
    <row r="11" spans="1:6">
      <c r="A11" s="14">
        <v>5899.5</v>
      </c>
      <c r="B11" s="2" t="s">
        <v>31</v>
      </c>
      <c r="C11" s="186" t="s">
        <v>277</v>
      </c>
      <c r="D11" s="185" t="s">
        <v>249</v>
      </c>
      <c r="F11">
        <v>1.71</v>
      </c>
    </row>
    <row r="12" spans="1:6">
      <c r="A12" s="14">
        <v>5899.5</v>
      </c>
      <c r="B12" s="2" t="s">
        <v>32</v>
      </c>
      <c r="C12" s="186" t="s">
        <v>277</v>
      </c>
      <c r="D12" s="181" t="s">
        <v>250</v>
      </c>
      <c r="F12">
        <v>1.71</v>
      </c>
    </row>
    <row r="13" spans="1:6">
      <c r="A13" s="14">
        <v>5899.5</v>
      </c>
      <c r="B13" s="2" t="s">
        <v>34</v>
      </c>
      <c r="C13" s="186" t="s">
        <v>277</v>
      </c>
      <c r="D13" s="183" t="s">
        <v>251</v>
      </c>
      <c r="F13">
        <v>1.71</v>
      </c>
    </row>
    <row r="14" spans="1:6">
      <c r="A14" s="14">
        <v>5899.5</v>
      </c>
      <c r="B14" s="2" t="s">
        <v>36</v>
      </c>
      <c r="C14" s="186" t="s">
        <v>277</v>
      </c>
      <c r="D14" s="181" t="s">
        <v>252</v>
      </c>
      <c r="F14">
        <v>1.71</v>
      </c>
    </row>
    <row r="15" spans="1:6">
      <c r="A15" s="14">
        <v>5899.5</v>
      </c>
      <c r="B15" s="2" t="s">
        <v>37</v>
      </c>
      <c r="C15" s="186" t="s">
        <v>277</v>
      </c>
      <c r="D15" s="183" t="s">
        <v>253</v>
      </c>
      <c r="F15">
        <v>1.71</v>
      </c>
    </row>
    <row r="16" spans="1:6">
      <c r="A16" s="14">
        <v>5899.5</v>
      </c>
      <c r="B16" s="2" t="s">
        <v>39</v>
      </c>
      <c r="C16" s="186" t="s">
        <v>277</v>
      </c>
      <c r="D16" s="181" t="s">
        <v>254</v>
      </c>
      <c r="F16">
        <v>1.71</v>
      </c>
    </row>
    <row r="17" spans="1:6">
      <c r="A17" s="14">
        <v>5899.5</v>
      </c>
      <c r="B17" s="2" t="s">
        <v>40</v>
      </c>
      <c r="C17" s="14" t="s">
        <v>277</v>
      </c>
      <c r="D17" s="183" t="s">
        <v>255</v>
      </c>
      <c r="F17">
        <v>1.71</v>
      </c>
    </row>
    <row r="18" spans="1:6">
      <c r="A18" s="14">
        <v>5899.5</v>
      </c>
      <c r="B18" s="2" t="s">
        <v>41</v>
      </c>
      <c r="C18" s="186" t="s">
        <v>277</v>
      </c>
      <c r="D18" s="181" t="s">
        <v>256</v>
      </c>
      <c r="F18">
        <v>1.71</v>
      </c>
    </row>
    <row r="19" spans="1:6">
      <c r="A19" s="14">
        <v>5899.5</v>
      </c>
      <c r="B19" s="2" t="s">
        <v>43</v>
      </c>
      <c r="C19" s="186" t="s">
        <v>277</v>
      </c>
      <c r="D19" s="183" t="s">
        <v>258</v>
      </c>
      <c r="F19">
        <v>1.71</v>
      </c>
    </row>
    <row r="20" spans="1:6">
      <c r="A20" s="14">
        <v>5899.5</v>
      </c>
      <c r="B20" s="2" t="s">
        <v>44</v>
      </c>
      <c r="C20" s="186" t="s">
        <v>277</v>
      </c>
      <c r="D20" s="181" t="s">
        <v>259</v>
      </c>
      <c r="F20">
        <v>1.71</v>
      </c>
    </row>
    <row r="21" spans="1:6">
      <c r="A21" s="14">
        <v>5899.5</v>
      </c>
      <c r="B21" s="2" t="s">
        <v>45</v>
      </c>
      <c r="C21" s="186" t="s">
        <v>277</v>
      </c>
      <c r="D21" s="183" t="s">
        <v>260</v>
      </c>
      <c r="F21">
        <v>1.71</v>
      </c>
    </row>
    <row r="22" spans="1:6">
      <c r="A22" s="14">
        <v>10660.499999999998</v>
      </c>
      <c r="B22" s="2" t="s">
        <v>47</v>
      </c>
      <c r="C22" s="186" t="s">
        <v>277</v>
      </c>
      <c r="D22" s="181" t="s">
        <v>261</v>
      </c>
      <c r="F22">
        <v>3.09</v>
      </c>
    </row>
    <row r="23" spans="1:6">
      <c r="A23" s="14">
        <v>10660.499999999998</v>
      </c>
      <c r="B23" s="2" t="s">
        <v>49</v>
      </c>
      <c r="C23" s="186" t="s">
        <v>277</v>
      </c>
      <c r="D23" s="183" t="s">
        <v>263</v>
      </c>
      <c r="F23">
        <v>3.09</v>
      </c>
    </row>
    <row r="24" spans="1:6">
      <c r="A24" s="14">
        <v>10074</v>
      </c>
      <c r="B24" s="2" t="s">
        <v>51</v>
      </c>
      <c r="C24" s="186" t="s">
        <v>277</v>
      </c>
      <c r="D24" s="184" t="s">
        <v>274</v>
      </c>
      <c r="F24">
        <v>2.92</v>
      </c>
    </row>
    <row r="25" spans="1:6">
      <c r="A25" s="14">
        <v>9798</v>
      </c>
      <c r="B25" s="2" t="s">
        <v>53</v>
      </c>
      <c r="C25" s="186" t="s">
        <v>277</v>
      </c>
      <c r="D25" s="184" t="s">
        <v>274</v>
      </c>
      <c r="F25">
        <v>2.84</v>
      </c>
    </row>
    <row r="26" spans="1:6">
      <c r="A26" s="14">
        <v>10074</v>
      </c>
      <c r="B26" s="2" t="s">
        <v>54</v>
      </c>
      <c r="C26" s="14" t="s">
        <v>277</v>
      </c>
      <c r="D26" s="181" t="s">
        <v>275</v>
      </c>
      <c r="F26">
        <v>2.92</v>
      </c>
    </row>
    <row r="27" spans="1:6">
      <c r="A27" s="14">
        <v>10936.5</v>
      </c>
      <c r="B27" s="2" t="s">
        <v>56</v>
      </c>
      <c r="C27" s="14" t="s">
        <v>277</v>
      </c>
      <c r="D27" s="181" t="s">
        <v>275</v>
      </c>
      <c r="F27">
        <v>3.17</v>
      </c>
    </row>
    <row r="28" spans="1:6">
      <c r="A28" s="14">
        <v>15490.5</v>
      </c>
      <c r="B28" s="2" t="s">
        <v>58</v>
      </c>
      <c r="C28" s="186" t="s">
        <v>277</v>
      </c>
      <c r="D28" s="181" t="s">
        <v>242</v>
      </c>
      <c r="F28">
        <v>4.49</v>
      </c>
    </row>
    <row r="29" spans="1:6">
      <c r="A29" s="14">
        <v>11212.5</v>
      </c>
      <c r="B29" s="2" t="s">
        <v>60</v>
      </c>
      <c r="C29" s="186" t="s">
        <v>277</v>
      </c>
      <c r="D29" s="181" t="s">
        <v>242</v>
      </c>
      <c r="F29">
        <v>3.25</v>
      </c>
    </row>
    <row r="30" spans="1:6">
      <c r="A30" s="14">
        <v>11523</v>
      </c>
      <c r="B30" s="2" t="s">
        <v>61</v>
      </c>
      <c r="C30" s="186" t="s">
        <v>277</v>
      </c>
      <c r="D30" s="181" t="s">
        <v>276</v>
      </c>
      <c r="F30">
        <v>3.34</v>
      </c>
    </row>
    <row r="31" spans="1:6">
      <c r="A31" s="14">
        <v>9798</v>
      </c>
      <c r="B31" s="2" t="s">
        <v>63</v>
      </c>
      <c r="C31" s="186" t="s">
        <v>277</v>
      </c>
      <c r="D31" s="181" t="s">
        <v>265</v>
      </c>
      <c r="F31">
        <v>3.12</v>
      </c>
    </row>
    <row r="32" spans="1:6">
      <c r="A32" s="14">
        <v>14076.000000000002</v>
      </c>
      <c r="B32" s="2" t="s">
        <v>64</v>
      </c>
      <c r="C32" s="14" t="s">
        <v>277</v>
      </c>
      <c r="D32" s="183" t="s">
        <v>267</v>
      </c>
      <c r="F32">
        <v>4.08</v>
      </c>
    </row>
    <row r="33" spans="1:11">
      <c r="A33" s="14">
        <v>8452.5</v>
      </c>
      <c r="B33" s="2" t="s">
        <v>66</v>
      </c>
      <c r="C33" s="14"/>
      <c r="D33" s="181" t="s">
        <v>269</v>
      </c>
      <c r="F33">
        <v>2.4500000000000002</v>
      </c>
    </row>
    <row r="34" spans="1:11">
      <c r="A34" s="14">
        <v>11764.5</v>
      </c>
      <c r="B34" s="2" t="s">
        <v>68</v>
      </c>
      <c r="C34" s="14"/>
      <c r="D34" s="183" t="s">
        <v>271</v>
      </c>
      <c r="F34">
        <v>3.41</v>
      </c>
    </row>
    <row r="35" spans="1:11">
      <c r="A35" s="14">
        <v>51163.499999999993</v>
      </c>
      <c r="B35" s="2" t="s">
        <v>69</v>
      </c>
      <c r="C35" s="14"/>
      <c r="D35" s="181" t="s">
        <v>271</v>
      </c>
      <c r="F35">
        <v>14.83</v>
      </c>
    </row>
    <row r="36" spans="1:11">
      <c r="A36" s="14">
        <v>17043.000000000004</v>
      </c>
      <c r="B36" s="2" t="s">
        <v>70</v>
      </c>
      <c r="C36" s="14" t="s">
        <v>277</v>
      </c>
      <c r="D36" s="181" t="s">
        <v>256</v>
      </c>
      <c r="F36" s="182">
        <v>4.9400000000000004</v>
      </c>
    </row>
    <row r="37" spans="1:11">
      <c r="A37" s="14">
        <v>345000</v>
      </c>
      <c r="C37" s="50">
        <f>SUMIF(C2:C36,"*",A2:A36)</f>
        <v>272653.5</v>
      </c>
      <c r="H37" s="16"/>
      <c r="I37" t="s">
        <v>346</v>
      </c>
      <c r="J37" s="174"/>
      <c r="K37" s="174">
        <v>214624</v>
      </c>
    </row>
    <row r="38" spans="1:11">
      <c r="A38" s="51">
        <f>A37-C37</f>
        <v>72346.5</v>
      </c>
    </row>
    <row r="39" spans="1:11">
      <c r="I39" t="s">
        <v>357</v>
      </c>
      <c r="J39">
        <f>300000-214624</f>
        <v>85376</v>
      </c>
      <c r="K39" s="51">
        <f>J39-J41</f>
        <v>27346.999999999993</v>
      </c>
    </row>
    <row r="40" spans="1:11">
      <c r="C40" s="51"/>
    </row>
    <row r="41" spans="1:11">
      <c r="I41" t="s">
        <v>358</v>
      </c>
      <c r="J41" s="189">
        <f>A36+A32+A27+A26+A17</f>
        <v>58029.000000000007</v>
      </c>
    </row>
    <row r="43" spans="1:11">
      <c r="A43" s="14"/>
    </row>
    <row r="44" spans="1:11">
      <c r="A44" s="14"/>
      <c r="J44" s="189">
        <f>A33+A34+A35+J41</f>
        <v>129409.5</v>
      </c>
    </row>
    <row r="45" spans="1:11">
      <c r="A45" s="14"/>
      <c r="D45" s="51">
        <f>71380-K39</f>
        <v>44033.000000000007</v>
      </c>
    </row>
    <row r="46" spans="1:11">
      <c r="A46" s="14"/>
    </row>
    <row r="47" spans="1:11">
      <c r="A47" s="14"/>
    </row>
  </sheetData>
  <hyperlinks>
    <hyperlink ref="D16" r:id="rId1" xr:uid="{00000000-0004-0000-0100-000000000000}"/>
    <hyperlink ref="D18" r:id="rId2" xr:uid="{00000000-0004-0000-0100-000001000000}"/>
    <hyperlink ref="D8" r:id="rId3" xr:uid="{00000000-0004-0000-0100-000002000000}"/>
    <hyperlink ref="D23" r:id="rId4" xr:uid="{00000000-0004-0000-0100-000003000000}"/>
    <hyperlink ref="D22" r:id="rId5" xr:uid="{00000000-0004-0000-0100-000004000000}"/>
    <hyperlink ref="D7" r:id="rId6" xr:uid="{00000000-0004-0000-0100-000005000000}"/>
    <hyperlink ref="D31" r:id="rId7" xr:uid="{00000000-0004-0000-0100-000006000000}"/>
    <hyperlink ref="D13" r:id="rId8" xr:uid="{00000000-0004-0000-0100-000007000000}"/>
    <hyperlink ref="D9" r:id="rId9" xr:uid="{00000000-0004-0000-0100-000008000000}"/>
    <hyperlink ref="D10" r:id="rId10" xr:uid="{00000000-0004-0000-0100-000009000000}"/>
    <hyperlink ref="D19" r:id="rId11" xr:uid="{00000000-0004-0000-0100-00000A000000}"/>
    <hyperlink ref="D30" r:id="rId12" xr:uid="{00000000-0004-0000-0100-00000B000000}"/>
    <hyperlink ref="D12" r:id="rId13" xr:uid="{00000000-0004-0000-0100-00000C000000}"/>
    <hyperlink ref="D20" r:id="rId14" xr:uid="{00000000-0004-0000-0100-00000D000000}"/>
    <hyperlink ref="D6" r:id="rId15" xr:uid="{00000000-0004-0000-0100-00000E000000}"/>
    <hyperlink ref="D2" r:id="rId16" display="josedavid244@gmail.com" xr:uid="{00000000-0004-0000-0100-00000F000000}"/>
    <hyperlink ref="D15" r:id="rId17" xr:uid="{00000000-0004-0000-0100-000010000000}"/>
    <hyperlink ref="D11" r:id="rId18" xr:uid="{00000000-0004-0000-0100-000011000000}"/>
    <hyperlink ref="D4" r:id="rId19" xr:uid="{00000000-0004-0000-0100-000012000000}"/>
    <hyperlink ref="D26" r:id="rId20" xr:uid="{00000000-0004-0000-0100-000013000000}"/>
    <hyperlink ref="D27" r:id="rId21" xr:uid="{00000000-0004-0000-0100-000014000000}"/>
    <hyperlink ref="D34" r:id="rId22" xr:uid="{00000000-0004-0000-0100-000015000000}"/>
    <hyperlink ref="D17" r:id="rId23" xr:uid="{00000000-0004-0000-0100-000016000000}"/>
    <hyperlink ref="D14" r:id="rId24" xr:uid="{00000000-0004-0000-0100-000017000000}"/>
    <hyperlink ref="D24" r:id="rId25" xr:uid="{00000000-0004-0000-0100-000018000000}"/>
    <hyperlink ref="D25" r:id="rId26" xr:uid="{00000000-0004-0000-0100-000019000000}"/>
    <hyperlink ref="D3" r:id="rId27" xr:uid="{00000000-0004-0000-0100-00001A000000}"/>
    <hyperlink ref="D33" r:id="rId28" xr:uid="{00000000-0004-0000-0100-00001B000000}"/>
    <hyperlink ref="D32" r:id="rId29" xr:uid="{00000000-0004-0000-0100-00001C000000}"/>
    <hyperlink ref="D28" r:id="rId30" xr:uid="{00000000-0004-0000-0100-00001D000000}"/>
    <hyperlink ref="D29" r:id="rId31" xr:uid="{00000000-0004-0000-0100-00001E000000}"/>
    <hyperlink ref="D5" r:id="rId32" xr:uid="{00000000-0004-0000-0100-00001F000000}"/>
    <hyperlink ref="D21" r:id="rId33" xr:uid="{00000000-0004-0000-0100-000020000000}"/>
    <hyperlink ref="D35" r:id="rId34" xr:uid="{00000000-0004-0000-0100-000021000000}"/>
    <hyperlink ref="D36" r:id="rId35" xr:uid="{00000000-0004-0000-0100-000022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P785"/>
  <sheetViews>
    <sheetView topLeftCell="A75" zoomScale="80" zoomScaleNormal="80" workbookViewId="0">
      <selection activeCell="A101" sqref="A101"/>
    </sheetView>
  </sheetViews>
  <sheetFormatPr baseColWidth="10" defaultRowHeight="15"/>
  <cols>
    <col min="2" max="2" width="43.42578125" customWidth="1"/>
    <col min="3" max="3" width="12" customWidth="1"/>
    <col min="4" max="4" width="19" customWidth="1"/>
    <col min="5" max="5" width="15.5703125" customWidth="1"/>
    <col min="6" max="6" width="18.140625" customWidth="1"/>
    <col min="7" max="7" width="19.7109375" customWidth="1"/>
    <col min="8" max="8" width="17" customWidth="1"/>
    <col min="9" max="9" width="18" customWidth="1"/>
    <col min="10" max="10" width="14.140625" customWidth="1"/>
    <col min="12" max="13" width="13" bestFit="1" customWidth="1"/>
    <col min="14" max="14" width="14.5703125" bestFit="1" customWidth="1"/>
    <col min="30" max="30" width="28.140625" customWidth="1"/>
    <col min="38" max="38" width="11.42578125" style="10"/>
    <col min="50" max="50" width="11.42578125" style="10"/>
  </cols>
  <sheetData>
    <row r="1" spans="1:68" ht="15" customHeight="1">
      <c r="A1" s="268" t="s">
        <v>73</v>
      </c>
      <c r="B1" s="268"/>
      <c r="C1" s="268"/>
      <c r="D1" s="268"/>
      <c r="E1" s="268"/>
      <c r="F1" s="268"/>
      <c r="G1" s="268"/>
    </row>
    <row r="2" spans="1:68" ht="15" customHeight="1">
      <c r="A2" s="268"/>
      <c r="B2" s="268"/>
      <c r="C2" s="268"/>
      <c r="D2" s="268"/>
      <c r="E2" s="268"/>
      <c r="F2" s="268"/>
      <c r="G2" s="268"/>
      <c r="I2" t="s">
        <v>74</v>
      </c>
      <c r="J2" s="6" t="s">
        <v>75</v>
      </c>
      <c r="Q2" s="267">
        <v>2017</v>
      </c>
      <c r="R2" s="267"/>
      <c r="S2" s="267"/>
      <c r="T2" s="267"/>
      <c r="U2" s="267"/>
      <c r="W2" s="267">
        <v>2018</v>
      </c>
      <c r="X2" s="267"/>
      <c r="Y2" s="267"/>
      <c r="Z2" s="267"/>
      <c r="AA2" s="267"/>
      <c r="AC2" s="267">
        <v>2019</v>
      </c>
      <c r="AD2" s="267"/>
      <c r="AE2" s="267"/>
      <c r="AF2" s="267"/>
      <c r="AG2" s="267"/>
      <c r="AI2" s="267">
        <v>2020</v>
      </c>
      <c r="AJ2" s="267"/>
      <c r="AK2" s="267"/>
      <c r="AL2" s="267"/>
      <c r="AM2" s="267"/>
      <c r="AO2" s="267">
        <v>2021</v>
      </c>
      <c r="AP2" s="267"/>
      <c r="AQ2" s="267"/>
      <c r="AR2" s="267"/>
      <c r="AS2" s="267"/>
      <c r="AW2">
        <v>2022</v>
      </c>
      <c r="BC2">
        <v>2023</v>
      </c>
      <c r="BI2">
        <v>2024</v>
      </c>
      <c r="BL2" s="267">
        <v>2025</v>
      </c>
      <c r="BM2" s="267"/>
      <c r="BN2" s="267"/>
      <c r="BO2" s="267"/>
      <c r="BP2" s="267"/>
    </row>
    <row r="3" spans="1:68">
      <c r="A3" s="7" t="s">
        <v>76</v>
      </c>
      <c r="B3" s="7" t="s">
        <v>77</v>
      </c>
      <c r="C3" s="7" t="s">
        <v>78</v>
      </c>
      <c r="D3" s="8" t="s">
        <v>79</v>
      </c>
      <c r="E3" s="8" t="s">
        <v>80</v>
      </c>
      <c r="Q3" t="s">
        <v>81</v>
      </c>
      <c r="R3" t="s">
        <v>82</v>
      </c>
      <c r="S3" s="9">
        <v>80000</v>
      </c>
      <c r="T3" s="10">
        <v>43054</v>
      </c>
      <c r="U3" t="s">
        <v>83</v>
      </c>
      <c r="W3" t="s">
        <v>81</v>
      </c>
      <c r="X3" t="s">
        <v>84</v>
      </c>
      <c r="Y3" s="9">
        <v>800000</v>
      </c>
      <c r="Z3" s="10">
        <v>43129</v>
      </c>
      <c r="AA3" t="s">
        <v>85</v>
      </c>
      <c r="AC3" t="s">
        <v>81</v>
      </c>
      <c r="AD3" t="s">
        <v>145</v>
      </c>
      <c r="AE3" s="9">
        <v>18000</v>
      </c>
      <c r="AF3" s="10">
        <v>43503</v>
      </c>
      <c r="AG3" t="s">
        <v>85</v>
      </c>
      <c r="AI3" t="s">
        <v>81</v>
      </c>
      <c r="AJ3" t="s">
        <v>145</v>
      </c>
      <c r="AK3">
        <v>450000</v>
      </c>
      <c r="AL3" s="10">
        <v>43864</v>
      </c>
      <c r="AM3" t="s">
        <v>85</v>
      </c>
      <c r="AO3" t="s">
        <v>81</v>
      </c>
      <c r="AP3" t="s">
        <v>426</v>
      </c>
      <c r="AQ3">
        <v>5</v>
      </c>
      <c r="AR3" s="10">
        <v>44218</v>
      </c>
      <c r="AS3" t="s">
        <v>85</v>
      </c>
      <c r="AU3" t="s">
        <v>81</v>
      </c>
      <c r="AV3" t="s">
        <v>426</v>
      </c>
      <c r="AW3">
        <v>60</v>
      </c>
      <c r="AX3" s="10">
        <v>44579</v>
      </c>
      <c r="AY3" t="s">
        <v>85</v>
      </c>
      <c r="BA3" t="s">
        <v>81</v>
      </c>
      <c r="BB3" t="s">
        <v>426</v>
      </c>
      <c r="BC3">
        <v>120</v>
      </c>
      <c r="BD3">
        <v>44945</v>
      </c>
      <c r="BE3" t="s">
        <v>85</v>
      </c>
      <c r="BG3" t="s">
        <v>81</v>
      </c>
      <c r="BH3" t="s">
        <v>426</v>
      </c>
      <c r="BI3">
        <v>120</v>
      </c>
      <c r="BJ3">
        <v>45313</v>
      </c>
      <c r="BK3" t="s">
        <v>85</v>
      </c>
      <c r="BL3" t="s">
        <v>81</v>
      </c>
      <c r="BM3" t="s">
        <v>426</v>
      </c>
      <c r="BN3">
        <v>120</v>
      </c>
      <c r="BO3">
        <v>45674</v>
      </c>
      <c r="BP3" t="s">
        <v>85</v>
      </c>
    </row>
    <row r="4" spans="1:68">
      <c r="A4" t="s">
        <v>81</v>
      </c>
      <c r="B4" t="s">
        <v>426</v>
      </c>
      <c r="C4" s="9">
        <v>180</v>
      </c>
      <c r="D4" s="10">
        <v>46040</v>
      </c>
      <c r="E4" t="s">
        <v>85</v>
      </c>
      <c r="G4" t="s">
        <v>86</v>
      </c>
      <c r="Q4" t="s">
        <v>87</v>
      </c>
      <c r="R4" t="s">
        <v>88</v>
      </c>
      <c r="S4" s="9">
        <f>226000+27160</f>
        <v>253160</v>
      </c>
      <c r="T4" s="10">
        <v>43054</v>
      </c>
      <c r="U4" t="s">
        <v>83</v>
      </c>
      <c r="W4" t="s">
        <v>89</v>
      </c>
      <c r="X4" t="s">
        <v>88</v>
      </c>
      <c r="Y4" s="9">
        <v>281000</v>
      </c>
      <c r="Z4" s="10">
        <v>43129</v>
      </c>
      <c r="AA4" t="s">
        <v>85</v>
      </c>
      <c r="AC4" t="s">
        <v>89</v>
      </c>
      <c r="AD4" t="s">
        <v>153</v>
      </c>
      <c r="AE4" s="9">
        <v>6750</v>
      </c>
      <c r="AF4" s="10">
        <v>43503</v>
      </c>
      <c r="AG4" t="s">
        <v>85</v>
      </c>
      <c r="AI4" t="s">
        <v>89</v>
      </c>
      <c r="AJ4" t="s">
        <v>397</v>
      </c>
      <c r="AK4">
        <v>0</v>
      </c>
      <c r="AL4" s="10">
        <v>43864</v>
      </c>
      <c r="AM4" t="s">
        <v>85</v>
      </c>
      <c r="AO4" t="s">
        <v>89</v>
      </c>
      <c r="AP4" t="s">
        <v>445</v>
      </c>
      <c r="AQ4">
        <v>8</v>
      </c>
      <c r="AR4" s="10">
        <v>44218</v>
      </c>
      <c r="AS4" t="s">
        <v>85</v>
      </c>
      <c r="AU4" t="s">
        <v>89</v>
      </c>
      <c r="AV4" t="s">
        <v>435</v>
      </c>
      <c r="AW4">
        <v>6</v>
      </c>
      <c r="AX4" s="10">
        <v>44579</v>
      </c>
      <c r="AY4" t="s">
        <v>85</v>
      </c>
      <c r="BA4" t="s">
        <v>89</v>
      </c>
      <c r="BB4" t="s">
        <v>435</v>
      </c>
      <c r="BC4">
        <v>7</v>
      </c>
      <c r="BD4">
        <v>44945</v>
      </c>
      <c r="BE4" t="s">
        <v>85</v>
      </c>
      <c r="BG4" t="s">
        <v>89</v>
      </c>
      <c r="BH4" t="s">
        <v>435</v>
      </c>
      <c r="BI4">
        <v>9</v>
      </c>
      <c r="BJ4">
        <v>45313</v>
      </c>
      <c r="BK4" t="s">
        <v>85</v>
      </c>
      <c r="BL4" t="s">
        <v>89</v>
      </c>
      <c r="BM4" t="s">
        <v>435</v>
      </c>
      <c r="BN4">
        <v>9</v>
      </c>
      <c r="BO4">
        <v>45674</v>
      </c>
      <c r="BP4" t="s">
        <v>85</v>
      </c>
    </row>
    <row r="5" spans="1:68">
      <c r="A5" t="s">
        <v>89</v>
      </c>
      <c r="B5" t="s">
        <v>435</v>
      </c>
      <c r="C5" s="9">
        <v>15</v>
      </c>
      <c r="D5" s="10">
        <v>46040</v>
      </c>
      <c r="E5" t="s">
        <v>85</v>
      </c>
      <c r="G5" t="s">
        <v>90</v>
      </c>
      <c r="Q5" t="s">
        <v>91</v>
      </c>
      <c r="R5" t="s">
        <v>92</v>
      </c>
      <c r="S5" s="9">
        <v>3175.18</v>
      </c>
      <c r="T5" s="10">
        <v>43054</v>
      </c>
      <c r="U5" t="s">
        <v>83</v>
      </c>
      <c r="W5" t="s">
        <v>91</v>
      </c>
      <c r="X5" t="s">
        <v>92</v>
      </c>
      <c r="Y5" s="9">
        <v>4000</v>
      </c>
      <c r="Z5" s="10">
        <v>43129</v>
      </c>
      <c r="AA5" t="s">
        <v>85</v>
      </c>
      <c r="AC5" t="s">
        <v>91</v>
      </c>
      <c r="AD5" t="s">
        <v>92</v>
      </c>
      <c r="AE5" s="9">
        <v>0.17</v>
      </c>
      <c r="AF5" s="10">
        <v>43503</v>
      </c>
      <c r="AG5" t="s">
        <v>85</v>
      </c>
      <c r="AI5" t="s">
        <v>91</v>
      </c>
      <c r="AJ5" t="s">
        <v>92</v>
      </c>
      <c r="AK5">
        <v>391106.8</v>
      </c>
      <c r="AL5" s="10">
        <v>43864</v>
      </c>
      <c r="AM5" t="s">
        <v>85</v>
      </c>
      <c r="AO5" t="s">
        <v>91</v>
      </c>
      <c r="AP5" t="s">
        <v>92</v>
      </c>
      <c r="AQ5">
        <v>27</v>
      </c>
      <c r="AR5" s="10">
        <v>44218</v>
      </c>
      <c r="AS5" t="s">
        <v>85</v>
      </c>
      <c r="AU5" t="s">
        <v>91</v>
      </c>
      <c r="AV5" t="s">
        <v>92</v>
      </c>
      <c r="AW5">
        <v>50</v>
      </c>
      <c r="AX5" s="10">
        <v>44579</v>
      </c>
      <c r="AY5" t="s">
        <v>85</v>
      </c>
      <c r="BA5" t="s">
        <v>91</v>
      </c>
      <c r="BB5" t="s">
        <v>92</v>
      </c>
      <c r="BC5">
        <v>50</v>
      </c>
      <c r="BD5">
        <v>44945</v>
      </c>
      <c r="BE5" t="s">
        <v>85</v>
      </c>
      <c r="BG5" t="s">
        <v>91</v>
      </c>
      <c r="BH5" t="s">
        <v>92</v>
      </c>
      <c r="BI5">
        <v>60</v>
      </c>
      <c r="BJ5">
        <v>45313</v>
      </c>
      <c r="BK5" t="s">
        <v>85</v>
      </c>
      <c r="BL5" t="s">
        <v>91</v>
      </c>
      <c r="BM5" t="s">
        <v>558</v>
      </c>
      <c r="BN5">
        <v>160</v>
      </c>
      <c r="BO5">
        <v>45674</v>
      </c>
      <c r="BP5" t="s">
        <v>85</v>
      </c>
    </row>
    <row r="6" spans="1:68">
      <c r="A6" t="s">
        <v>91</v>
      </c>
      <c r="B6" t="s">
        <v>603</v>
      </c>
      <c r="C6" s="9">
        <f>90+95</f>
        <v>185</v>
      </c>
      <c r="D6" s="10">
        <v>46040</v>
      </c>
      <c r="E6" t="s">
        <v>85</v>
      </c>
      <c r="G6" t="s">
        <v>93</v>
      </c>
      <c r="Q6" t="s">
        <v>94</v>
      </c>
      <c r="R6" t="s">
        <v>95</v>
      </c>
      <c r="S6" s="9">
        <v>16100</v>
      </c>
      <c r="T6" s="10">
        <v>43054</v>
      </c>
      <c r="U6" t="s">
        <v>83</v>
      </c>
      <c r="W6" t="s">
        <v>94</v>
      </c>
      <c r="X6" t="s">
        <v>95</v>
      </c>
      <c r="Y6" s="9">
        <f>28200+3133.57</f>
        <v>31333.57</v>
      </c>
      <c r="Z6" s="10">
        <v>43129</v>
      </c>
      <c r="AA6" t="s">
        <v>85</v>
      </c>
      <c r="AC6" t="s">
        <v>94</v>
      </c>
      <c r="AD6" t="s">
        <v>95</v>
      </c>
      <c r="AE6" s="9">
        <v>150</v>
      </c>
      <c r="AF6" s="10">
        <v>43503</v>
      </c>
      <c r="AG6" t="s">
        <v>85</v>
      </c>
      <c r="AI6" t="s">
        <v>94</v>
      </c>
      <c r="AJ6" t="s">
        <v>95</v>
      </c>
      <c r="AK6">
        <v>76140</v>
      </c>
      <c r="AL6" s="10">
        <v>43864</v>
      </c>
      <c r="AM6" t="s">
        <v>85</v>
      </c>
      <c r="AO6" t="s">
        <v>94</v>
      </c>
      <c r="AP6" t="s">
        <v>95</v>
      </c>
      <c r="AQ6">
        <v>1</v>
      </c>
      <c r="AR6" s="10">
        <v>44218</v>
      </c>
      <c r="AS6" t="s">
        <v>85</v>
      </c>
      <c r="AU6" t="s">
        <v>94</v>
      </c>
      <c r="AV6" t="s">
        <v>95</v>
      </c>
      <c r="AW6">
        <v>0</v>
      </c>
      <c r="AX6" s="10">
        <v>44579</v>
      </c>
      <c r="AY6" t="s">
        <v>85</v>
      </c>
      <c r="BA6" t="s">
        <v>94</v>
      </c>
      <c r="BB6" t="s">
        <v>95</v>
      </c>
      <c r="BC6">
        <v>0</v>
      </c>
      <c r="BD6">
        <v>44945</v>
      </c>
      <c r="BE6" t="s">
        <v>85</v>
      </c>
      <c r="BG6" t="s">
        <v>94</v>
      </c>
      <c r="BH6" t="s">
        <v>527</v>
      </c>
      <c r="BI6">
        <v>300</v>
      </c>
      <c r="BJ6">
        <v>45313</v>
      </c>
      <c r="BK6" t="s">
        <v>85</v>
      </c>
      <c r="BL6" t="s">
        <v>94</v>
      </c>
      <c r="BM6" t="s">
        <v>542</v>
      </c>
      <c r="BN6">
        <v>80</v>
      </c>
      <c r="BO6">
        <v>45674</v>
      </c>
      <c r="BP6" t="s">
        <v>85</v>
      </c>
    </row>
    <row r="7" spans="1:68">
      <c r="A7" t="s">
        <v>94</v>
      </c>
      <c r="B7" t="s">
        <v>542</v>
      </c>
      <c r="C7" s="9">
        <v>95</v>
      </c>
      <c r="D7" s="10">
        <v>46040</v>
      </c>
      <c r="E7" t="s">
        <v>85</v>
      </c>
      <c r="G7" t="s">
        <v>96</v>
      </c>
      <c r="J7" t="s">
        <v>97</v>
      </c>
      <c r="K7">
        <v>0</v>
      </c>
      <c r="L7" s="11" t="s">
        <v>98</v>
      </c>
      <c r="M7" s="11" t="s">
        <v>98</v>
      </c>
      <c r="Q7" t="s">
        <v>99</v>
      </c>
      <c r="R7" t="s">
        <v>100</v>
      </c>
      <c r="S7" s="9">
        <v>22000</v>
      </c>
      <c r="T7" s="10">
        <v>43054</v>
      </c>
      <c r="U7" t="s">
        <v>83</v>
      </c>
      <c r="W7" t="s">
        <v>99</v>
      </c>
      <c r="X7" t="s">
        <v>100</v>
      </c>
      <c r="Y7" s="9">
        <v>13701</v>
      </c>
      <c r="Z7" s="10">
        <v>43129</v>
      </c>
      <c r="AA7" t="s">
        <v>85</v>
      </c>
      <c r="AC7" t="s">
        <v>99</v>
      </c>
      <c r="AD7" t="s">
        <v>100</v>
      </c>
      <c r="AE7" s="9"/>
      <c r="AF7" s="10">
        <v>43503</v>
      </c>
      <c r="AG7" t="s">
        <v>85</v>
      </c>
      <c r="AI7" t="s">
        <v>99</v>
      </c>
      <c r="AJ7" t="s">
        <v>390</v>
      </c>
      <c r="AK7">
        <v>293000</v>
      </c>
      <c r="AL7" s="10">
        <v>43864</v>
      </c>
      <c r="AM7" t="s">
        <v>85</v>
      </c>
      <c r="AO7" t="s">
        <v>99</v>
      </c>
      <c r="AP7" t="s">
        <v>448</v>
      </c>
      <c r="AQ7">
        <v>6</v>
      </c>
      <c r="AR7" s="10">
        <v>44218</v>
      </c>
      <c r="AS7" t="s">
        <v>85</v>
      </c>
      <c r="AU7" t="s">
        <v>99</v>
      </c>
      <c r="AV7" t="s">
        <v>448</v>
      </c>
      <c r="AW7">
        <v>15</v>
      </c>
      <c r="AX7" s="10">
        <v>44579</v>
      </c>
      <c r="AY7" t="s">
        <v>85</v>
      </c>
      <c r="BA7" t="s">
        <v>99</v>
      </c>
      <c r="BB7" t="s">
        <v>448</v>
      </c>
      <c r="BC7">
        <v>5</v>
      </c>
      <c r="BD7">
        <v>44945</v>
      </c>
      <c r="BE7" t="s">
        <v>85</v>
      </c>
      <c r="BG7" t="s">
        <v>99</v>
      </c>
      <c r="BH7" t="s">
        <v>448</v>
      </c>
      <c r="BI7">
        <v>8</v>
      </c>
      <c r="BJ7">
        <v>45313</v>
      </c>
      <c r="BK7" t="s">
        <v>85</v>
      </c>
      <c r="BL7" t="s">
        <v>99</v>
      </c>
      <c r="BM7" t="s">
        <v>448</v>
      </c>
      <c r="BN7">
        <v>15</v>
      </c>
      <c r="BO7">
        <v>45674</v>
      </c>
      <c r="BP7" t="s">
        <v>85</v>
      </c>
    </row>
    <row r="8" spans="1:68">
      <c r="A8" t="s">
        <v>99</v>
      </c>
      <c r="B8" t="s">
        <v>448</v>
      </c>
      <c r="C8" s="9">
        <v>20</v>
      </c>
      <c r="D8" s="10">
        <v>46040</v>
      </c>
      <c r="E8" t="s">
        <v>85</v>
      </c>
      <c r="G8" t="s">
        <v>101</v>
      </c>
      <c r="J8" t="s">
        <v>102</v>
      </c>
      <c r="K8">
        <f>100000+280000+390000+5000+200000+L8+M8-1383000+35000-250000-643000</f>
        <v>1017500</v>
      </c>
      <c r="L8">
        <v>93500</v>
      </c>
      <c r="M8">
        <v>2190000</v>
      </c>
      <c r="Q8" t="s">
        <v>103</v>
      </c>
      <c r="R8" t="s">
        <v>104</v>
      </c>
      <c r="S8" s="9">
        <v>0</v>
      </c>
      <c r="T8" s="10">
        <v>43054</v>
      </c>
      <c r="U8" t="s">
        <v>83</v>
      </c>
      <c r="W8" t="s">
        <v>103</v>
      </c>
      <c r="X8" t="s">
        <v>104</v>
      </c>
      <c r="Y8" s="9">
        <v>0</v>
      </c>
      <c r="Z8" s="10">
        <v>43129</v>
      </c>
      <c r="AA8" t="s">
        <v>85</v>
      </c>
      <c r="AC8" t="s">
        <v>103</v>
      </c>
      <c r="AD8" t="s">
        <v>104</v>
      </c>
      <c r="AE8" s="9">
        <v>8500</v>
      </c>
      <c r="AF8" s="10">
        <v>43503</v>
      </c>
      <c r="AG8" t="s">
        <v>85</v>
      </c>
      <c r="AI8" t="s">
        <v>103</v>
      </c>
      <c r="AJ8" t="s">
        <v>379</v>
      </c>
      <c r="AK8">
        <v>400000</v>
      </c>
      <c r="AL8" s="10">
        <v>43864</v>
      </c>
      <c r="AM8" t="s">
        <v>85</v>
      </c>
      <c r="AO8" t="s">
        <v>103</v>
      </c>
      <c r="AP8" t="s">
        <v>444</v>
      </c>
      <c r="AQ8">
        <v>30</v>
      </c>
      <c r="AR8" s="10">
        <v>44218</v>
      </c>
      <c r="AS8" t="s">
        <v>85</v>
      </c>
      <c r="AU8" t="s">
        <v>103</v>
      </c>
      <c r="AV8" t="s">
        <v>444</v>
      </c>
      <c r="AW8">
        <v>35</v>
      </c>
      <c r="AX8" s="10">
        <v>44579</v>
      </c>
      <c r="AY8" t="s">
        <v>85</v>
      </c>
      <c r="BA8" t="s">
        <v>103</v>
      </c>
      <c r="BB8" t="s">
        <v>444</v>
      </c>
      <c r="BC8">
        <v>35</v>
      </c>
      <c r="BD8">
        <v>44945</v>
      </c>
      <c r="BE8" t="s">
        <v>85</v>
      </c>
      <c r="BG8" t="s">
        <v>103</v>
      </c>
      <c r="BH8" t="s">
        <v>444</v>
      </c>
      <c r="BI8">
        <v>35</v>
      </c>
      <c r="BJ8">
        <v>45313</v>
      </c>
      <c r="BK8" t="s">
        <v>85</v>
      </c>
      <c r="BL8" t="s">
        <v>103</v>
      </c>
      <c r="BM8" t="s">
        <v>444</v>
      </c>
      <c r="BN8">
        <v>35</v>
      </c>
      <c r="BO8">
        <v>45674</v>
      </c>
      <c r="BP8" t="s">
        <v>85</v>
      </c>
    </row>
    <row r="9" spans="1:68">
      <c r="A9" t="s">
        <v>103</v>
      </c>
      <c r="B9" t="s">
        <v>574</v>
      </c>
      <c r="C9" s="9">
        <v>40</v>
      </c>
      <c r="D9" s="10">
        <v>46040</v>
      </c>
      <c r="E9" t="s">
        <v>85</v>
      </c>
      <c r="G9" t="s">
        <v>105</v>
      </c>
      <c r="H9">
        <f>3300000</f>
        <v>3300000</v>
      </c>
      <c r="J9" t="s">
        <v>106</v>
      </c>
      <c r="K9">
        <f>3100000-1500000-1000000</f>
        <v>600000</v>
      </c>
      <c r="Q9" t="s">
        <v>107</v>
      </c>
      <c r="R9" t="s">
        <v>108</v>
      </c>
      <c r="S9" s="9">
        <v>0</v>
      </c>
      <c r="T9" s="10">
        <v>43054</v>
      </c>
      <c r="U9" t="s">
        <v>83</v>
      </c>
      <c r="W9" t="s">
        <v>107</v>
      </c>
      <c r="X9" t="s">
        <v>108</v>
      </c>
      <c r="Y9" s="9">
        <v>0</v>
      </c>
      <c r="Z9" s="10">
        <v>43129</v>
      </c>
      <c r="AA9" t="s">
        <v>85</v>
      </c>
      <c r="AC9" t="s">
        <v>107</v>
      </c>
      <c r="AD9" t="s">
        <v>154</v>
      </c>
      <c r="AE9" s="9"/>
      <c r="AF9" s="10">
        <v>43503</v>
      </c>
      <c r="AG9" t="s">
        <v>85</v>
      </c>
      <c r="AI9" t="s">
        <v>107</v>
      </c>
      <c r="AJ9" t="s">
        <v>394</v>
      </c>
      <c r="AK9">
        <v>400000</v>
      </c>
      <c r="AL9" s="10">
        <v>43864</v>
      </c>
      <c r="AM9" t="s">
        <v>85</v>
      </c>
      <c r="AO9" t="s">
        <v>107</v>
      </c>
      <c r="AP9" t="s">
        <v>413</v>
      </c>
      <c r="AQ9">
        <v>0</v>
      </c>
      <c r="AR9" s="10">
        <v>44218</v>
      </c>
      <c r="AS9" t="s">
        <v>85</v>
      </c>
      <c r="AU9" t="s">
        <v>107</v>
      </c>
      <c r="AV9" t="s">
        <v>413</v>
      </c>
      <c r="AW9">
        <v>0</v>
      </c>
      <c r="AX9" s="10">
        <v>44579</v>
      </c>
      <c r="AY9" t="s">
        <v>85</v>
      </c>
      <c r="BA9" t="s">
        <v>107</v>
      </c>
      <c r="BB9" t="s">
        <v>413</v>
      </c>
      <c r="BC9">
        <v>0</v>
      </c>
      <c r="BD9">
        <v>44945</v>
      </c>
      <c r="BE9" t="s">
        <v>85</v>
      </c>
      <c r="BG9" t="s">
        <v>107</v>
      </c>
      <c r="BH9" t="s">
        <v>523</v>
      </c>
      <c r="BI9">
        <v>50</v>
      </c>
      <c r="BJ9">
        <v>45313</v>
      </c>
      <c r="BK9" t="s">
        <v>85</v>
      </c>
      <c r="BL9" t="s">
        <v>107</v>
      </c>
      <c r="BM9" t="s">
        <v>551</v>
      </c>
      <c r="BN9">
        <v>0</v>
      </c>
      <c r="BO9">
        <v>45674</v>
      </c>
      <c r="BP9" t="s">
        <v>85</v>
      </c>
    </row>
    <row r="10" spans="1:68">
      <c r="A10" t="s">
        <v>107</v>
      </c>
      <c r="B10" t="s">
        <v>413</v>
      </c>
      <c r="C10" s="9">
        <v>0</v>
      </c>
      <c r="D10" s="10">
        <v>46040</v>
      </c>
      <c r="E10" t="s">
        <v>85</v>
      </c>
      <c r="G10" t="s">
        <v>109</v>
      </c>
      <c r="Q10" t="s">
        <v>14</v>
      </c>
      <c r="R10" t="s">
        <v>101</v>
      </c>
      <c r="S10" s="9">
        <v>10000</v>
      </c>
      <c r="T10" s="10">
        <v>43054</v>
      </c>
      <c r="U10" t="s">
        <v>83</v>
      </c>
      <c r="W10" t="s">
        <v>14</v>
      </c>
      <c r="X10" t="s">
        <v>101</v>
      </c>
      <c r="Y10" s="9">
        <v>30000</v>
      </c>
      <c r="Z10" s="10">
        <v>43129</v>
      </c>
      <c r="AA10" t="s">
        <v>85</v>
      </c>
      <c r="AC10" t="s">
        <v>14</v>
      </c>
      <c r="AD10" t="s">
        <v>131</v>
      </c>
      <c r="AE10" s="9">
        <v>300</v>
      </c>
      <c r="AF10" s="10">
        <v>43503</v>
      </c>
      <c r="AG10" t="s">
        <v>85</v>
      </c>
      <c r="AI10" t="s">
        <v>14</v>
      </c>
      <c r="AJ10" t="s">
        <v>131</v>
      </c>
      <c r="AK10">
        <v>0</v>
      </c>
      <c r="AL10" s="10">
        <v>43864</v>
      </c>
      <c r="AM10" t="s">
        <v>85</v>
      </c>
      <c r="AO10" t="s">
        <v>14</v>
      </c>
      <c r="AP10" t="s">
        <v>131</v>
      </c>
      <c r="AQ10">
        <v>0</v>
      </c>
      <c r="AR10" s="10">
        <v>44218</v>
      </c>
      <c r="AS10" t="s">
        <v>85</v>
      </c>
      <c r="AU10" t="s">
        <v>14</v>
      </c>
      <c r="AV10" t="s">
        <v>413</v>
      </c>
      <c r="AW10">
        <v>0</v>
      </c>
      <c r="AX10" s="10">
        <v>44579</v>
      </c>
      <c r="AY10" t="s">
        <v>85</v>
      </c>
      <c r="BA10" t="s">
        <v>14</v>
      </c>
      <c r="BB10" t="s">
        <v>413</v>
      </c>
      <c r="BC10">
        <v>0</v>
      </c>
      <c r="BD10">
        <v>44945</v>
      </c>
      <c r="BE10" t="s">
        <v>85</v>
      </c>
      <c r="BG10" t="s">
        <v>14</v>
      </c>
      <c r="BH10" t="s">
        <v>503</v>
      </c>
      <c r="BI10">
        <v>70</v>
      </c>
      <c r="BJ10">
        <v>45313</v>
      </c>
      <c r="BK10" t="s">
        <v>85</v>
      </c>
      <c r="BL10" t="s">
        <v>118</v>
      </c>
      <c r="BM10" t="s">
        <v>503</v>
      </c>
      <c r="BN10">
        <v>70</v>
      </c>
      <c r="BO10">
        <v>45674</v>
      </c>
      <c r="BP10" t="s">
        <v>85</v>
      </c>
    </row>
    <row r="11" spans="1:68">
      <c r="A11" t="s">
        <v>14</v>
      </c>
      <c r="B11" t="s">
        <v>503</v>
      </c>
      <c r="C11" s="9">
        <v>70</v>
      </c>
      <c r="D11" s="10">
        <v>46040</v>
      </c>
      <c r="E11" t="s">
        <v>85</v>
      </c>
      <c r="G11" t="s">
        <v>110</v>
      </c>
      <c r="Q11" t="s">
        <v>111</v>
      </c>
      <c r="R11" t="s">
        <v>112</v>
      </c>
      <c r="S11" s="9">
        <v>50000</v>
      </c>
      <c r="T11" s="10">
        <v>43054</v>
      </c>
      <c r="U11" t="s">
        <v>83</v>
      </c>
      <c r="W11" t="s">
        <v>111</v>
      </c>
      <c r="X11" t="s">
        <v>112</v>
      </c>
      <c r="Y11" s="9">
        <v>225000</v>
      </c>
      <c r="Z11" s="10">
        <v>43129</v>
      </c>
      <c r="AA11" t="s">
        <v>85</v>
      </c>
      <c r="AC11" t="s">
        <v>111</v>
      </c>
      <c r="AD11" t="s">
        <v>155</v>
      </c>
      <c r="AE11" s="9">
        <v>0</v>
      </c>
      <c r="AF11" s="10">
        <v>43503</v>
      </c>
      <c r="AG11" t="s">
        <v>85</v>
      </c>
      <c r="AI11" t="s">
        <v>111</v>
      </c>
      <c r="AJ11" t="s">
        <v>392</v>
      </c>
      <c r="AK11">
        <v>3647050</v>
      </c>
      <c r="AL11" s="10">
        <v>43864</v>
      </c>
      <c r="AM11" t="s">
        <v>85</v>
      </c>
      <c r="AO11" t="s">
        <v>111</v>
      </c>
      <c r="AP11" t="s">
        <v>443</v>
      </c>
      <c r="AQ11">
        <v>50</v>
      </c>
      <c r="AR11" s="10">
        <v>44218</v>
      </c>
      <c r="AS11" t="s">
        <v>85</v>
      </c>
      <c r="AU11" t="s">
        <v>111</v>
      </c>
      <c r="AV11" t="s">
        <v>413</v>
      </c>
      <c r="AW11">
        <v>0</v>
      </c>
      <c r="AX11" s="10">
        <v>44579</v>
      </c>
      <c r="AY11" t="s">
        <v>85</v>
      </c>
      <c r="BA11" t="s">
        <v>111</v>
      </c>
      <c r="BB11" t="s">
        <v>413</v>
      </c>
      <c r="BC11">
        <v>0</v>
      </c>
      <c r="BD11">
        <v>44945</v>
      </c>
      <c r="BE11" t="s">
        <v>85</v>
      </c>
      <c r="BG11" t="s">
        <v>111</v>
      </c>
      <c r="BH11" t="s">
        <v>526</v>
      </c>
      <c r="BI11">
        <v>60</v>
      </c>
      <c r="BJ11">
        <v>45313</v>
      </c>
      <c r="BK11" t="s">
        <v>85</v>
      </c>
      <c r="BL11" t="s">
        <v>111</v>
      </c>
      <c r="BM11" t="s">
        <v>559</v>
      </c>
      <c r="BN11">
        <v>70</v>
      </c>
      <c r="BO11">
        <v>45674</v>
      </c>
      <c r="BP11" t="s">
        <v>85</v>
      </c>
    </row>
    <row r="12" spans="1:68">
      <c r="A12" t="s">
        <v>111</v>
      </c>
      <c r="B12" t="s">
        <v>413</v>
      </c>
      <c r="C12" s="9">
        <v>0</v>
      </c>
      <c r="D12" s="10">
        <v>46040</v>
      </c>
      <c r="E12" t="s">
        <v>85</v>
      </c>
      <c r="G12" t="s">
        <v>86</v>
      </c>
      <c r="H12">
        <f>640000</f>
        <v>640000</v>
      </c>
      <c r="J12">
        <f>760000+640000+260000</f>
        <v>1660000</v>
      </c>
      <c r="Q12" t="s">
        <v>89</v>
      </c>
      <c r="R12" t="s">
        <v>113</v>
      </c>
      <c r="S12" s="9">
        <v>35000</v>
      </c>
      <c r="T12" s="10">
        <v>43055</v>
      </c>
      <c r="U12" t="s">
        <v>83</v>
      </c>
      <c r="W12" t="s">
        <v>15</v>
      </c>
      <c r="X12" s="12" t="s">
        <v>114</v>
      </c>
      <c r="Y12" s="9">
        <v>550000</v>
      </c>
      <c r="Z12" s="10">
        <v>43129</v>
      </c>
      <c r="AA12" t="s">
        <v>85</v>
      </c>
      <c r="AC12" t="s">
        <v>15</v>
      </c>
      <c r="AD12" t="s">
        <v>156</v>
      </c>
      <c r="AE12" s="9">
        <v>0</v>
      </c>
      <c r="AF12" s="10">
        <v>43503</v>
      </c>
      <c r="AG12" t="s">
        <v>85</v>
      </c>
      <c r="AI12" t="s">
        <v>15</v>
      </c>
      <c r="AJ12" t="s">
        <v>398</v>
      </c>
      <c r="AK12">
        <v>300000</v>
      </c>
      <c r="AL12" s="10">
        <v>43864</v>
      </c>
      <c r="AM12" t="s">
        <v>85</v>
      </c>
      <c r="AO12" t="s">
        <v>15</v>
      </c>
      <c r="AP12" t="s">
        <v>447</v>
      </c>
      <c r="AQ12">
        <v>0</v>
      </c>
      <c r="AR12" s="10">
        <v>44218</v>
      </c>
      <c r="AS12" t="s">
        <v>85</v>
      </c>
      <c r="AU12" t="s">
        <v>15</v>
      </c>
      <c r="AV12" t="s">
        <v>413</v>
      </c>
      <c r="AW12">
        <v>0</v>
      </c>
      <c r="AX12" s="10">
        <v>44579</v>
      </c>
      <c r="AY12" t="s">
        <v>85</v>
      </c>
      <c r="BA12" t="s">
        <v>15</v>
      </c>
      <c r="BB12" t="s">
        <v>501</v>
      </c>
      <c r="BC12">
        <v>70</v>
      </c>
      <c r="BD12">
        <v>44945</v>
      </c>
      <c r="BE12" t="s">
        <v>85</v>
      </c>
      <c r="BG12" t="s">
        <v>118</v>
      </c>
      <c r="BI12">
        <v>0</v>
      </c>
      <c r="BJ12">
        <v>45313</v>
      </c>
      <c r="BK12" t="s">
        <v>85</v>
      </c>
      <c r="BL12" t="s">
        <v>15</v>
      </c>
      <c r="BM12" t="s">
        <v>551</v>
      </c>
      <c r="BN12">
        <v>0</v>
      </c>
      <c r="BO12">
        <v>45674</v>
      </c>
      <c r="BP12" t="s">
        <v>85</v>
      </c>
    </row>
    <row r="13" spans="1:68">
      <c r="A13" t="s">
        <v>118</v>
      </c>
      <c r="B13" t="s">
        <v>413</v>
      </c>
      <c r="C13" s="9">
        <v>0</v>
      </c>
      <c r="D13" s="10">
        <v>46040</v>
      </c>
      <c r="E13" t="s">
        <v>85</v>
      </c>
      <c r="G13" t="s">
        <v>115</v>
      </c>
      <c r="J13">
        <f>92500+1192500-473000+900000</f>
        <v>1712000</v>
      </c>
      <c r="Q13" t="s">
        <v>15</v>
      </c>
      <c r="R13" t="s">
        <v>116</v>
      </c>
      <c r="S13" s="9">
        <v>700000</v>
      </c>
      <c r="T13" s="10">
        <v>43056</v>
      </c>
      <c r="U13" t="s">
        <v>83</v>
      </c>
      <c r="W13" t="s">
        <v>87</v>
      </c>
      <c r="X13" t="s">
        <v>117</v>
      </c>
      <c r="Y13" s="9">
        <f>1105000.02+1460000+665000</f>
        <v>3230000.02</v>
      </c>
      <c r="Z13" s="10">
        <v>43129</v>
      </c>
      <c r="AA13" t="s">
        <v>85</v>
      </c>
      <c r="AC13" t="s">
        <v>87</v>
      </c>
      <c r="AD13" t="s">
        <v>158</v>
      </c>
      <c r="AE13" s="9">
        <v>3500</v>
      </c>
      <c r="AF13" s="10">
        <v>43503</v>
      </c>
      <c r="AG13" t="s">
        <v>85</v>
      </c>
      <c r="AI13" t="s">
        <v>87</v>
      </c>
      <c r="AJ13" t="s">
        <v>158</v>
      </c>
      <c r="AK13">
        <v>1500000</v>
      </c>
      <c r="AL13" s="10">
        <v>43864</v>
      </c>
      <c r="AM13" t="s">
        <v>85</v>
      </c>
      <c r="AO13" t="s">
        <v>87</v>
      </c>
      <c r="AP13" t="s">
        <v>158</v>
      </c>
      <c r="AQ13">
        <v>37</v>
      </c>
      <c r="AR13" s="10">
        <v>44218</v>
      </c>
      <c r="AS13" t="s">
        <v>85</v>
      </c>
      <c r="AU13" t="s">
        <v>87</v>
      </c>
      <c r="AV13" t="s">
        <v>158</v>
      </c>
      <c r="AW13">
        <v>90</v>
      </c>
      <c r="AX13" s="10">
        <v>44579</v>
      </c>
      <c r="AY13" t="s">
        <v>85</v>
      </c>
      <c r="BA13" t="s">
        <v>87</v>
      </c>
      <c r="BB13" t="s">
        <v>158</v>
      </c>
      <c r="BC13">
        <v>90</v>
      </c>
      <c r="BD13">
        <v>44945</v>
      </c>
      <c r="BE13" t="s">
        <v>85</v>
      </c>
      <c r="BG13" t="s">
        <v>87</v>
      </c>
      <c r="BH13" t="s">
        <v>158</v>
      </c>
      <c r="BI13">
        <v>90</v>
      </c>
      <c r="BJ13">
        <v>45313</v>
      </c>
      <c r="BK13" t="s">
        <v>85</v>
      </c>
      <c r="BL13" t="s">
        <v>87</v>
      </c>
      <c r="BM13" t="s">
        <v>158</v>
      </c>
      <c r="BN13">
        <v>85</v>
      </c>
      <c r="BO13">
        <v>45674</v>
      </c>
      <c r="BP13" t="s">
        <v>85</v>
      </c>
    </row>
    <row r="14" spans="1:68">
      <c r="A14" t="s">
        <v>87</v>
      </c>
      <c r="B14" t="s">
        <v>158</v>
      </c>
      <c r="C14" s="9">
        <v>100</v>
      </c>
      <c r="D14" s="10">
        <v>46040</v>
      </c>
      <c r="E14" t="s">
        <v>85</v>
      </c>
      <c r="Q14" t="s">
        <v>118</v>
      </c>
      <c r="R14" t="s">
        <v>116</v>
      </c>
      <c r="S14" s="9">
        <v>0</v>
      </c>
      <c r="T14" s="10">
        <v>43064</v>
      </c>
      <c r="U14" t="s">
        <v>83</v>
      </c>
      <c r="W14" t="s">
        <v>16</v>
      </c>
      <c r="X14" t="s">
        <v>119</v>
      </c>
      <c r="Y14" s="9">
        <v>700000</v>
      </c>
      <c r="Z14" s="10">
        <v>43129</v>
      </c>
      <c r="AA14" t="s">
        <v>85</v>
      </c>
      <c r="AC14" t="s">
        <v>16</v>
      </c>
      <c r="AD14" t="s">
        <v>119</v>
      </c>
      <c r="AE14" s="9">
        <v>7</v>
      </c>
      <c r="AF14" s="10">
        <v>43503</v>
      </c>
      <c r="AG14" t="s">
        <v>85</v>
      </c>
      <c r="AI14" t="s">
        <v>16</v>
      </c>
      <c r="AJ14" t="s">
        <v>119</v>
      </c>
      <c r="AK14">
        <v>7</v>
      </c>
      <c r="AL14" s="10">
        <v>43864</v>
      </c>
      <c r="AM14" t="s">
        <v>85</v>
      </c>
      <c r="AO14" t="s">
        <v>16</v>
      </c>
      <c r="AP14" t="s">
        <v>119</v>
      </c>
      <c r="AQ14">
        <f>SUM(AQ3:AQ13)*10%</f>
        <v>16.400000000000002</v>
      </c>
      <c r="AR14" s="10">
        <v>44218</v>
      </c>
      <c r="AS14" t="s">
        <v>85</v>
      </c>
      <c r="AU14" t="s">
        <v>16</v>
      </c>
      <c r="AV14" t="s">
        <v>443</v>
      </c>
      <c r="AW14">
        <v>100</v>
      </c>
      <c r="AX14" s="10">
        <v>44579</v>
      </c>
      <c r="AY14" t="s">
        <v>85</v>
      </c>
      <c r="BA14" t="s">
        <v>16</v>
      </c>
      <c r="BB14" t="s">
        <v>480</v>
      </c>
      <c r="BC14">
        <v>100</v>
      </c>
      <c r="BD14">
        <v>44945</v>
      </c>
      <c r="BE14" t="s">
        <v>85</v>
      </c>
      <c r="BG14" t="s">
        <v>16</v>
      </c>
      <c r="BH14" t="s">
        <v>480</v>
      </c>
      <c r="BI14">
        <v>100</v>
      </c>
      <c r="BJ14">
        <v>45313</v>
      </c>
      <c r="BK14" t="s">
        <v>85</v>
      </c>
      <c r="BL14" t="s">
        <v>16</v>
      </c>
      <c r="BM14" t="s">
        <v>480</v>
      </c>
      <c r="BN14">
        <v>100</v>
      </c>
      <c r="BO14">
        <v>45674</v>
      </c>
      <c r="BP14" t="s">
        <v>85</v>
      </c>
    </row>
    <row r="15" spans="1:68">
      <c r="A15" t="s">
        <v>16</v>
      </c>
      <c r="B15" t="s">
        <v>604</v>
      </c>
      <c r="C15" s="9">
        <v>150</v>
      </c>
      <c r="D15" s="10">
        <v>46040</v>
      </c>
      <c r="E15" t="s">
        <v>85</v>
      </c>
      <c r="J15" s="1"/>
      <c r="K15" s="1"/>
      <c r="L15" s="1" t="s">
        <v>120</v>
      </c>
      <c r="M15" s="1"/>
      <c r="N15" s="1"/>
      <c r="Q15" t="s">
        <v>16</v>
      </c>
      <c r="R15" t="s">
        <v>119</v>
      </c>
      <c r="S15" s="9">
        <v>175000</v>
      </c>
      <c r="T15" s="10">
        <v>43064</v>
      </c>
      <c r="U15" t="s">
        <v>83</v>
      </c>
      <c r="W15" t="s">
        <v>81</v>
      </c>
      <c r="X15" t="s">
        <v>84</v>
      </c>
      <c r="Y15" s="9">
        <v>800000</v>
      </c>
      <c r="Z15" s="10">
        <v>43129</v>
      </c>
      <c r="AA15" t="s">
        <v>121</v>
      </c>
      <c r="AC15" t="s">
        <v>118</v>
      </c>
      <c r="AD15" t="s">
        <v>334</v>
      </c>
      <c r="AE15" s="9" t="str">
        <f>AP88</f>
        <v>Aceite para ascensor (2).</v>
      </c>
      <c r="AF15" s="10">
        <v>43503</v>
      </c>
      <c r="AG15" t="s">
        <v>85</v>
      </c>
      <c r="AI15" t="s">
        <v>118</v>
      </c>
      <c r="AJ15" t="s">
        <v>395</v>
      </c>
      <c r="AK15">
        <v>601798</v>
      </c>
      <c r="AL15" s="10">
        <v>43864</v>
      </c>
      <c r="AM15" t="s">
        <v>85</v>
      </c>
      <c r="AO15" t="s">
        <v>118</v>
      </c>
      <c r="AP15" t="s">
        <v>440</v>
      </c>
      <c r="AQ15">
        <v>0</v>
      </c>
      <c r="AR15" s="10">
        <v>44218</v>
      </c>
      <c r="AS15" t="s">
        <v>85</v>
      </c>
      <c r="AU15" t="s">
        <v>118</v>
      </c>
      <c r="AV15" t="s">
        <v>470</v>
      </c>
      <c r="AW15">
        <v>0</v>
      </c>
      <c r="AX15" s="10">
        <v>44579</v>
      </c>
      <c r="AY15" t="s">
        <v>85</v>
      </c>
      <c r="BA15" t="s">
        <v>118</v>
      </c>
      <c r="BB15" t="s">
        <v>500</v>
      </c>
      <c r="BC15">
        <v>30</v>
      </c>
      <c r="BD15">
        <v>44945</v>
      </c>
      <c r="BE15" t="s">
        <v>85</v>
      </c>
      <c r="BG15" t="s">
        <v>15</v>
      </c>
      <c r="BH15" t="s">
        <v>413</v>
      </c>
      <c r="BI15">
        <v>0</v>
      </c>
      <c r="BJ15">
        <v>45313</v>
      </c>
      <c r="BK15" t="s">
        <v>85</v>
      </c>
      <c r="BL15" t="s">
        <v>179</v>
      </c>
      <c r="BM15" t="s">
        <v>551</v>
      </c>
      <c r="BN15">
        <v>0</v>
      </c>
      <c r="BO15">
        <v>45674</v>
      </c>
      <c r="BP15" t="s">
        <v>85</v>
      </c>
    </row>
    <row r="16" spans="1:68">
      <c r="A16" t="s">
        <v>15</v>
      </c>
      <c r="B16" t="s">
        <v>413</v>
      </c>
      <c r="C16" s="9">
        <v>0</v>
      </c>
      <c r="D16" s="10">
        <v>46040</v>
      </c>
      <c r="E16" t="s">
        <v>85</v>
      </c>
      <c r="J16" s="7" t="s">
        <v>86</v>
      </c>
      <c r="K16" s="7" t="s">
        <v>93</v>
      </c>
      <c r="L16" s="7" t="s">
        <v>105</v>
      </c>
      <c r="M16" s="7" t="s">
        <v>122</v>
      </c>
      <c r="N16" s="7" t="s">
        <v>123</v>
      </c>
      <c r="Q16" t="s">
        <v>81</v>
      </c>
      <c r="R16" t="s">
        <v>84</v>
      </c>
      <c r="S16" s="9">
        <v>456507</v>
      </c>
      <c r="T16" s="10">
        <v>43100</v>
      </c>
      <c r="U16" t="s">
        <v>124</v>
      </c>
      <c r="W16" t="s">
        <v>89</v>
      </c>
      <c r="X16" t="s">
        <v>88</v>
      </c>
      <c r="Y16" s="9">
        <v>360000</v>
      </c>
      <c r="Z16" s="10">
        <v>43129</v>
      </c>
      <c r="AA16" t="s">
        <v>121</v>
      </c>
      <c r="AC16" t="s">
        <v>81</v>
      </c>
      <c r="AD16" t="s">
        <v>145</v>
      </c>
      <c r="AE16">
        <v>18000</v>
      </c>
      <c r="AF16" s="10">
        <v>43544</v>
      </c>
      <c r="AG16" t="s">
        <v>121</v>
      </c>
      <c r="AI16" t="s">
        <v>194</v>
      </c>
      <c r="AJ16" t="s">
        <v>396</v>
      </c>
      <c r="AK16">
        <v>160000</v>
      </c>
      <c r="AL16" s="10">
        <v>43864</v>
      </c>
      <c r="AM16" t="s">
        <v>85</v>
      </c>
      <c r="AO16" t="s">
        <v>194</v>
      </c>
      <c r="AP16" t="s">
        <v>396</v>
      </c>
      <c r="AQ16">
        <v>0.5</v>
      </c>
      <c r="AR16" s="10">
        <v>44218</v>
      </c>
      <c r="AS16" t="s">
        <v>85</v>
      </c>
      <c r="AU16" t="s">
        <v>194</v>
      </c>
      <c r="AV16" t="s">
        <v>396</v>
      </c>
      <c r="AW16">
        <v>0.5</v>
      </c>
      <c r="AX16" s="10">
        <v>44579</v>
      </c>
      <c r="AY16" t="s">
        <v>85</v>
      </c>
      <c r="BA16" t="s">
        <v>194</v>
      </c>
      <c r="BB16" t="s">
        <v>396</v>
      </c>
      <c r="BC16">
        <v>2</v>
      </c>
      <c r="BD16">
        <v>44945</v>
      </c>
      <c r="BE16" t="s">
        <v>85</v>
      </c>
      <c r="BG16" t="s">
        <v>194</v>
      </c>
      <c r="BH16" t="s">
        <v>396</v>
      </c>
      <c r="BI16">
        <v>2</v>
      </c>
      <c r="BJ16">
        <v>45313</v>
      </c>
      <c r="BK16" t="s">
        <v>85</v>
      </c>
      <c r="BL16" t="s">
        <v>194</v>
      </c>
      <c r="BM16" t="s">
        <v>396</v>
      </c>
      <c r="BN16">
        <v>2</v>
      </c>
      <c r="BO16">
        <v>45674</v>
      </c>
      <c r="BP16" t="s">
        <v>85</v>
      </c>
    </row>
    <row r="17" spans="1:68">
      <c r="A17" t="s">
        <v>194</v>
      </c>
      <c r="B17" t="s">
        <v>396</v>
      </c>
      <c r="C17" s="9">
        <v>2</v>
      </c>
      <c r="D17" s="10">
        <v>46040</v>
      </c>
      <c r="E17" t="s">
        <v>85</v>
      </c>
      <c r="J17" s="13">
        <v>1620000</v>
      </c>
      <c r="K17" s="13"/>
      <c r="L17" s="13">
        <v>1600000</v>
      </c>
      <c r="M17" s="13">
        <v>1200000</v>
      </c>
      <c r="N17" s="13"/>
      <c r="Q17" t="s">
        <v>87</v>
      </c>
      <c r="R17" t="s">
        <v>88</v>
      </c>
      <c r="S17" s="9">
        <v>280000</v>
      </c>
      <c r="T17" s="10">
        <v>43100</v>
      </c>
      <c r="U17" t="s">
        <v>124</v>
      </c>
      <c r="W17" t="s">
        <v>91</v>
      </c>
      <c r="X17" t="s">
        <v>92</v>
      </c>
      <c r="Y17" s="9">
        <v>4000</v>
      </c>
      <c r="Z17" s="10">
        <v>43129</v>
      </c>
      <c r="AA17" t="s">
        <v>121</v>
      </c>
      <c r="AC17" t="s">
        <v>89</v>
      </c>
      <c r="AD17" t="s">
        <v>153</v>
      </c>
      <c r="AE17">
        <v>10000</v>
      </c>
      <c r="AF17" s="10">
        <v>43544</v>
      </c>
      <c r="AG17" t="s">
        <v>121</v>
      </c>
      <c r="AI17" t="s">
        <v>81</v>
      </c>
      <c r="AJ17" t="s">
        <v>145</v>
      </c>
      <c r="AK17">
        <v>450000</v>
      </c>
      <c r="AL17" s="10">
        <v>43891</v>
      </c>
      <c r="AM17" t="s">
        <v>121</v>
      </c>
      <c r="AO17" t="s">
        <v>81</v>
      </c>
      <c r="AP17" t="s">
        <v>426</v>
      </c>
      <c r="AQ17">
        <v>5</v>
      </c>
      <c r="AR17" s="10">
        <v>44250</v>
      </c>
      <c r="AS17" t="s">
        <v>121</v>
      </c>
      <c r="AU17" t="s">
        <v>81</v>
      </c>
      <c r="AV17" t="s">
        <v>426</v>
      </c>
      <c r="AW17">
        <v>60</v>
      </c>
      <c r="AX17" s="10">
        <v>44612</v>
      </c>
      <c r="AY17" t="s">
        <v>121</v>
      </c>
      <c r="BA17" t="s">
        <v>81</v>
      </c>
      <c r="BB17" t="s">
        <v>426</v>
      </c>
      <c r="BC17">
        <v>120</v>
      </c>
      <c r="BD17">
        <v>44981</v>
      </c>
      <c r="BE17" t="s">
        <v>121</v>
      </c>
      <c r="BG17" t="s">
        <v>81</v>
      </c>
      <c r="BH17" t="s">
        <v>426</v>
      </c>
      <c r="BI17">
        <v>120</v>
      </c>
      <c r="BJ17">
        <v>45313</v>
      </c>
      <c r="BK17" t="s">
        <v>121</v>
      </c>
      <c r="BL17" t="s">
        <v>81</v>
      </c>
      <c r="BM17" t="s">
        <v>426</v>
      </c>
      <c r="BN17">
        <v>120</v>
      </c>
      <c r="BO17">
        <v>45709</v>
      </c>
      <c r="BP17" t="s">
        <v>121</v>
      </c>
    </row>
    <row r="18" spans="1:68">
      <c r="A18" t="s">
        <v>81</v>
      </c>
      <c r="B18" t="s">
        <v>426</v>
      </c>
      <c r="C18">
        <v>180</v>
      </c>
      <c r="D18" s="10">
        <v>46071</v>
      </c>
      <c r="E18" t="s">
        <v>121</v>
      </c>
      <c r="G18" t="s">
        <v>83</v>
      </c>
      <c r="H18" s="14">
        <f>SUMIF($AA$3:$AA$40,G18,$Y$3:$AA$40)</f>
        <v>0</v>
      </c>
      <c r="J18" s="13"/>
      <c r="K18" s="13"/>
      <c r="L18" s="15">
        <v>1500000</v>
      </c>
      <c r="M18" s="13"/>
      <c r="N18" s="13"/>
      <c r="Q18" t="s">
        <v>91</v>
      </c>
      <c r="R18" t="s">
        <v>92</v>
      </c>
      <c r="S18" s="9">
        <v>4000</v>
      </c>
      <c r="T18" s="10">
        <v>43100</v>
      </c>
      <c r="U18" t="s">
        <v>124</v>
      </c>
      <c r="W18" t="s">
        <v>94</v>
      </c>
      <c r="X18" t="s">
        <v>95</v>
      </c>
      <c r="Y18" s="9">
        <v>0</v>
      </c>
      <c r="Z18" s="10">
        <v>43129</v>
      </c>
      <c r="AA18" t="s">
        <v>121</v>
      </c>
      <c r="AC18" t="s">
        <v>91</v>
      </c>
      <c r="AD18" t="s">
        <v>92</v>
      </c>
      <c r="AE18">
        <v>118</v>
      </c>
      <c r="AF18" s="10">
        <v>43544</v>
      </c>
      <c r="AG18" t="s">
        <v>121</v>
      </c>
      <c r="AI18" t="s">
        <v>89</v>
      </c>
      <c r="AJ18" t="s">
        <v>400</v>
      </c>
      <c r="AK18">
        <v>800000</v>
      </c>
      <c r="AL18" s="10">
        <v>43891</v>
      </c>
      <c r="AM18" t="s">
        <v>121</v>
      </c>
      <c r="AO18" t="s">
        <v>89</v>
      </c>
      <c r="AP18" t="s">
        <v>445</v>
      </c>
      <c r="AQ18">
        <v>5</v>
      </c>
      <c r="AR18" s="10">
        <v>44250</v>
      </c>
      <c r="AS18" t="s">
        <v>121</v>
      </c>
      <c r="AU18" t="s">
        <v>89</v>
      </c>
      <c r="AV18" t="s">
        <v>435</v>
      </c>
      <c r="AW18">
        <v>6</v>
      </c>
      <c r="AX18" s="10">
        <v>44612</v>
      </c>
      <c r="AY18" t="s">
        <v>121</v>
      </c>
      <c r="BA18" t="s">
        <v>89</v>
      </c>
      <c r="BB18" t="s">
        <v>435</v>
      </c>
      <c r="BC18">
        <v>7</v>
      </c>
      <c r="BD18">
        <v>44981</v>
      </c>
      <c r="BE18" t="s">
        <v>121</v>
      </c>
      <c r="BG18" t="s">
        <v>89</v>
      </c>
      <c r="BH18" t="s">
        <v>435</v>
      </c>
      <c r="BI18">
        <v>9</v>
      </c>
      <c r="BJ18">
        <v>45313</v>
      </c>
      <c r="BK18" t="s">
        <v>121</v>
      </c>
      <c r="BL18" t="s">
        <v>89</v>
      </c>
      <c r="BM18" t="s">
        <v>435</v>
      </c>
      <c r="BN18">
        <v>9</v>
      </c>
      <c r="BO18">
        <v>45709</v>
      </c>
      <c r="BP18" t="s">
        <v>121</v>
      </c>
    </row>
    <row r="19" spans="1:68">
      <c r="A19" t="s">
        <v>89</v>
      </c>
      <c r="B19" t="s">
        <v>435</v>
      </c>
      <c r="C19">
        <v>15</v>
      </c>
      <c r="D19" s="10">
        <v>46071</v>
      </c>
      <c r="E19" t="s">
        <v>121</v>
      </c>
      <c r="G19" t="s">
        <v>124</v>
      </c>
      <c r="H19" s="14">
        <f>SUMIF($AA$3:$AA$40,G19,$Y$3:$AA$40)</f>
        <v>0</v>
      </c>
      <c r="J19" s="13"/>
      <c r="K19" s="13"/>
      <c r="L19" s="13"/>
      <c r="M19" s="13"/>
      <c r="N19" s="13"/>
      <c r="Q19" t="s">
        <v>94</v>
      </c>
      <c r="R19" t="s">
        <v>95</v>
      </c>
      <c r="S19" s="9">
        <v>16100</v>
      </c>
      <c r="T19" s="10">
        <v>43100</v>
      </c>
      <c r="U19" t="s">
        <v>124</v>
      </c>
      <c r="W19" t="s">
        <v>99</v>
      </c>
      <c r="X19" t="s">
        <v>100</v>
      </c>
      <c r="Y19" s="9">
        <v>2500</v>
      </c>
      <c r="Z19" s="10">
        <v>43129</v>
      </c>
      <c r="AA19" t="s">
        <v>121</v>
      </c>
      <c r="AC19" t="s">
        <v>94</v>
      </c>
      <c r="AD19" t="s">
        <v>95</v>
      </c>
      <c r="AE19">
        <v>0</v>
      </c>
      <c r="AF19" s="10">
        <v>43544</v>
      </c>
      <c r="AG19" t="s">
        <v>121</v>
      </c>
      <c r="AI19" t="s">
        <v>91</v>
      </c>
      <c r="AJ19" t="s">
        <v>92</v>
      </c>
      <c r="AK19">
        <v>202070.2</v>
      </c>
      <c r="AL19" s="10">
        <v>43891</v>
      </c>
      <c r="AM19" t="s">
        <v>121</v>
      </c>
      <c r="AO19" t="s">
        <v>91</v>
      </c>
      <c r="AP19" t="s">
        <v>92</v>
      </c>
      <c r="AQ19">
        <v>44</v>
      </c>
      <c r="AR19" s="10">
        <v>44250</v>
      </c>
      <c r="AS19" t="s">
        <v>121</v>
      </c>
      <c r="AU19" t="s">
        <v>91</v>
      </c>
      <c r="AV19" t="s">
        <v>92</v>
      </c>
      <c r="AW19">
        <v>50</v>
      </c>
      <c r="AX19" s="10">
        <v>44612</v>
      </c>
      <c r="AY19" t="s">
        <v>121</v>
      </c>
      <c r="BA19" t="s">
        <v>91</v>
      </c>
      <c r="BB19" t="s">
        <v>92</v>
      </c>
      <c r="BC19">
        <v>50</v>
      </c>
      <c r="BD19">
        <v>44981</v>
      </c>
      <c r="BE19" t="s">
        <v>121</v>
      </c>
      <c r="BG19" t="s">
        <v>91</v>
      </c>
      <c r="BH19" t="s">
        <v>92</v>
      </c>
      <c r="BI19">
        <v>70</v>
      </c>
      <c r="BJ19">
        <v>45313</v>
      </c>
      <c r="BK19" t="s">
        <v>121</v>
      </c>
      <c r="BL19" t="s">
        <v>91</v>
      </c>
      <c r="BM19" t="s">
        <v>569</v>
      </c>
      <c r="BN19">
        <v>170</v>
      </c>
      <c r="BO19">
        <v>45709</v>
      </c>
      <c r="BP19" t="s">
        <v>121</v>
      </c>
    </row>
    <row r="20" spans="1:68">
      <c r="A20" t="s">
        <v>91</v>
      </c>
      <c r="B20" t="s">
        <v>610</v>
      </c>
      <c r="C20">
        <v>190</v>
      </c>
      <c r="D20" s="10">
        <v>46071</v>
      </c>
      <c r="E20" t="s">
        <v>121</v>
      </c>
      <c r="G20" t="s">
        <v>85</v>
      </c>
      <c r="H20" s="14">
        <f>SUMIF($AA$3:$AA$40,G20,$Y$3:$AA$40)</f>
        <v>5865034.5899999999</v>
      </c>
      <c r="J20" s="13"/>
      <c r="K20" s="13"/>
      <c r="L20" s="13"/>
      <c r="M20" s="13"/>
      <c r="N20" s="13"/>
      <c r="Q20" t="s">
        <v>99</v>
      </c>
      <c r="R20" t="s">
        <v>100</v>
      </c>
      <c r="S20" s="9">
        <v>12000</v>
      </c>
      <c r="T20" s="10">
        <v>43100</v>
      </c>
      <c r="U20" t="s">
        <v>124</v>
      </c>
      <c r="W20" t="s">
        <v>103</v>
      </c>
      <c r="X20" t="s">
        <v>104</v>
      </c>
      <c r="Y20" s="9">
        <v>0</v>
      </c>
      <c r="Z20" s="10">
        <v>43129</v>
      </c>
      <c r="AA20" t="s">
        <v>121</v>
      </c>
      <c r="AC20" t="s">
        <v>99</v>
      </c>
      <c r="AD20" t="s">
        <v>100</v>
      </c>
      <c r="AF20" s="10">
        <v>43544</v>
      </c>
      <c r="AG20" t="s">
        <v>121</v>
      </c>
      <c r="AI20" t="s">
        <v>94</v>
      </c>
      <c r="AJ20" t="s">
        <v>95</v>
      </c>
      <c r="AK20">
        <v>76140</v>
      </c>
      <c r="AL20" s="10">
        <v>43891</v>
      </c>
      <c r="AM20" t="s">
        <v>121</v>
      </c>
      <c r="AO20" t="s">
        <v>94</v>
      </c>
      <c r="AP20" t="s">
        <v>95</v>
      </c>
      <c r="AQ20">
        <v>1</v>
      </c>
      <c r="AR20" s="10">
        <v>44250</v>
      </c>
      <c r="AS20" t="s">
        <v>121</v>
      </c>
      <c r="AU20" t="s">
        <v>94</v>
      </c>
      <c r="AV20" t="s">
        <v>95</v>
      </c>
      <c r="AW20">
        <v>0</v>
      </c>
      <c r="AX20" s="10">
        <v>44612</v>
      </c>
      <c r="AY20" t="s">
        <v>121</v>
      </c>
      <c r="BA20" t="s">
        <v>94</v>
      </c>
      <c r="BB20" t="s">
        <v>95</v>
      </c>
      <c r="BC20">
        <v>0</v>
      </c>
      <c r="BD20">
        <v>44981</v>
      </c>
      <c r="BE20" t="s">
        <v>121</v>
      </c>
      <c r="BG20" t="s">
        <v>94</v>
      </c>
      <c r="BH20" t="s">
        <v>528</v>
      </c>
      <c r="BI20">
        <v>120</v>
      </c>
      <c r="BJ20">
        <v>45313</v>
      </c>
      <c r="BK20" t="s">
        <v>121</v>
      </c>
      <c r="BL20" t="s">
        <v>94</v>
      </c>
      <c r="BM20" t="s">
        <v>542</v>
      </c>
      <c r="BN20">
        <v>85</v>
      </c>
      <c r="BO20">
        <v>45709</v>
      </c>
      <c r="BP20" t="s">
        <v>121</v>
      </c>
    </row>
    <row r="21" spans="1:68">
      <c r="A21" t="s">
        <v>94</v>
      </c>
      <c r="B21" t="s">
        <v>542</v>
      </c>
      <c r="C21">
        <v>95</v>
      </c>
      <c r="D21" s="10">
        <v>46071</v>
      </c>
      <c r="E21" t="s">
        <v>121</v>
      </c>
      <c r="G21" t="s">
        <v>121</v>
      </c>
      <c r="H21" s="14">
        <f>SUMIF($AA$3:$AA$99,G21,$Y$3:$AA$99)</f>
        <v>3528246.6399999997</v>
      </c>
      <c r="J21" s="13"/>
      <c r="K21" s="13"/>
      <c r="L21" s="13"/>
      <c r="M21" s="13"/>
      <c r="N21" s="13"/>
      <c r="Q21" t="s">
        <v>103</v>
      </c>
      <c r="R21" t="s">
        <v>104</v>
      </c>
      <c r="S21" s="9">
        <v>150000</v>
      </c>
      <c r="T21" s="10">
        <v>43100</v>
      </c>
      <c r="U21" t="s">
        <v>124</v>
      </c>
      <c r="W21" t="s">
        <v>107</v>
      </c>
      <c r="X21" t="s">
        <v>108</v>
      </c>
      <c r="Y21" s="9">
        <v>0</v>
      </c>
      <c r="Z21" s="10">
        <v>43129</v>
      </c>
      <c r="AA21" t="s">
        <v>121</v>
      </c>
      <c r="AC21" t="s">
        <v>103</v>
      </c>
      <c r="AD21" t="s">
        <v>104</v>
      </c>
      <c r="AE21">
        <v>60000</v>
      </c>
      <c r="AF21" s="10">
        <v>43544</v>
      </c>
      <c r="AG21" t="s">
        <v>121</v>
      </c>
      <c r="AI21" t="s">
        <v>99</v>
      </c>
      <c r="AJ21" t="s">
        <v>390</v>
      </c>
      <c r="AK21">
        <v>199700</v>
      </c>
      <c r="AL21" s="10">
        <v>43891</v>
      </c>
      <c r="AM21" t="s">
        <v>121</v>
      </c>
      <c r="AO21" t="s">
        <v>99</v>
      </c>
      <c r="AP21" t="s">
        <v>448</v>
      </c>
      <c r="AQ21">
        <v>4</v>
      </c>
      <c r="AR21" s="10">
        <v>44250</v>
      </c>
      <c r="AS21" t="s">
        <v>121</v>
      </c>
      <c r="AU21" t="s">
        <v>99</v>
      </c>
      <c r="AV21" t="s">
        <v>448</v>
      </c>
      <c r="AW21">
        <v>0</v>
      </c>
      <c r="AX21" s="10">
        <v>44612</v>
      </c>
      <c r="AY21" t="s">
        <v>121</v>
      </c>
      <c r="BA21" t="s">
        <v>99</v>
      </c>
      <c r="BB21" t="s">
        <v>448</v>
      </c>
      <c r="BC21">
        <v>5</v>
      </c>
      <c r="BD21">
        <v>44981</v>
      </c>
      <c r="BE21" t="s">
        <v>121</v>
      </c>
      <c r="BG21" t="s">
        <v>99</v>
      </c>
      <c r="BH21" t="s">
        <v>448</v>
      </c>
      <c r="BI21">
        <v>8</v>
      </c>
      <c r="BJ21">
        <v>45313</v>
      </c>
      <c r="BK21" t="s">
        <v>121</v>
      </c>
      <c r="BL21" t="s">
        <v>99</v>
      </c>
      <c r="BM21" t="s">
        <v>448</v>
      </c>
      <c r="BN21">
        <v>15</v>
      </c>
      <c r="BO21">
        <v>45709</v>
      </c>
      <c r="BP21" t="s">
        <v>121</v>
      </c>
    </row>
    <row r="22" spans="1:68">
      <c r="A22" t="s">
        <v>99</v>
      </c>
      <c r="B22" t="s">
        <v>448</v>
      </c>
      <c r="C22">
        <v>20</v>
      </c>
      <c r="D22" s="10">
        <v>46071</v>
      </c>
      <c r="E22" t="s">
        <v>121</v>
      </c>
      <c r="G22" t="s">
        <v>125</v>
      </c>
      <c r="H22" s="14">
        <f>SUMIF($AA$3:$AA$99,G22,$Y$3:$AA$99)</f>
        <v>3032475.8899999997</v>
      </c>
      <c r="J22" s="13"/>
      <c r="K22" s="13"/>
      <c r="L22" s="13"/>
      <c r="M22" s="13"/>
      <c r="N22" s="13"/>
      <c r="Q22" t="s">
        <v>107</v>
      </c>
      <c r="R22" t="s">
        <v>108</v>
      </c>
      <c r="S22" s="9">
        <v>0</v>
      </c>
      <c r="T22" s="10">
        <v>43100</v>
      </c>
      <c r="U22" t="s">
        <v>124</v>
      </c>
      <c r="W22" t="s">
        <v>14</v>
      </c>
      <c r="X22" t="s">
        <v>101</v>
      </c>
      <c r="Y22" s="9">
        <v>2546.64</v>
      </c>
      <c r="Z22" s="10">
        <v>43129</v>
      </c>
      <c r="AA22" t="s">
        <v>121</v>
      </c>
      <c r="AC22" t="s">
        <v>107</v>
      </c>
      <c r="AD22" t="s">
        <v>154</v>
      </c>
      <c r="AE22">
        <v>0</v>
      </c>
      <c r="AF22" s="10">
        <v>43544</v>
      </c>
      <c r="AG22" t="s">
        <v>121</v>
      </c>
      <c r="AI22" t="s">
        <v>103</v>
      </c>
      <c r="AJ22" t="s">
        <v>379</v>
      </c>
      <c r="AK22">
        <v>500000</v>
      </c>
      <c r="AL22" s="10">
        <v>43891</v>
      </c>
      <c r="AM22" t="s">
        <v>121</v>
      </c>
      <c r="AO22" t="s">
        <v>103</v>
      </c>
      <c r="AP22" t="s">
        <v>444</v>
      </c>
      <c r="AQ22">
        <v>30</v>
      </c>
      <c r="AR22" s="10">
        <v>44250</v>
      </c>
      <c r="AS22" t="s">
        <v>121</v>
      </c>
      <c r="AU22" t="s">
        <v>103</v>
      </c>
      <c r="AV22" t="s">
        <v>444</v>
      </c>
      <c r="AW22">
        <v>35</v>
      </c>
      <c r="AX22" s="10">
        <v>44612</v>
      </c>
      <c r="AY22" t="s">
        <v>121</v>
      </c>
      <c r="BA22" t="s">
        <v>103</v>
      </c>
      <c r="BB22" t="s">
        <v>444</v>
      </c>
      <c r="BC22">
        <v>35</v>
      </c>
      <c r="BD22">
        <v>44981</v>
      </c>
      <c r="BE22" t="s">
        <v>121</v>
      </c>
      <c r="BG22" t="s">
        <v>103</v>
      </c>
      <c r="BH22" t="s">
        <v>444</v>
      </c>
      <c r="BI22">
        <v>35</v>
      </c>
      <c r="BJ22">
        <v>45313</v>
      </c>
      <c r="BK22" t="s">
        <v>121</v>
      </c>
      <c r="BL22" t="s">
        <v>103</v>
      </c>
      <c r="BM22" t="s">
        <v>444</v>
      </c>
      <c r="BN22">
        <v>35</v>
      </c>
      <c r="BO22">
        <v>45709</v>
      </c>
      <c r="BP22" t="s">
        <v>121</v>
      </c>
    </row>
    <row r="23" spans="1:68">
      <c r="A23" t="s">
        <v>103</v>
      </c>
      <c r="B23" t="s">
        <v>574</v>
      </c>
      <c r="C23">
        <v>40</v>
      </c>
      <c r="D23" s="10">
        <v>46071</v>
      </c>
      <c r="E23" t="s">
        <v>121</v>
      </c>
      <c r="G23" t="s">
        <v>126</v>
      </c>
      <c r="H23" s="14">
        <f>SUMIF($AA$3:$AA$99,G23,$Y$3:$AA$99)</f>
        <v>4023316.6705022827</v>
      </c>
      <c r="J23" s="13"/>
      <c r="K23" s="13"/>
      <c r="L23" s="13"/>
      <c r="M23" s="13"/>
      <c r="N23" s="13"/>
      <c r="Q23" t="s">
        <v>14</v>
      </c>
      <c r="R23" t="s">
        <v>101</v>
      </c>
      <c r="S23" s="9">
        <v>202194.94</v>
      </c>
      <c r="T23" s="10">
        <v>43100</v>
      </c>
      <c r="U23" t="s">
        <v>124</v>
      </c>
      <c r="W23" t="s">
        <v>111</v>
      </c>
      <c r="X23" t="s">
        <v>112</v>
      </c>
      <c r="Y23" s="9">
        <f>399200+300000+360000+400000+200000</f>
        <v>1659200</v>
      </c>
      <c r="Z23" s="10">
        <v>43129</v>
      </c>
      <c r="AA23" t="s">
        <v>121</v>
      </c>
      <c r="AC23" t="s">
        <v>14</v>
      </c>
      <c r="AD23" t="s">
        <v>131</v>
      </c>
      <c r="AE23">
        <v>500</v>
      </c>
      <c r="AF23" s="10">
        <v>43544</v>
      </c>
      <c r="AG23" t="s">
        <v>121</v>
      </c>
      <c r="AI23" t="s">
        <v>107</v>
      </c>
      <c r="AJ23" t="s">
        <v>401</v>
      </c>
      <c r="AK23">
        <v>900000</v>
      </c>
      <c r="AL23" s="10">
        <v>43891</v>
      </c>
      <c r="AM23" t="s">
        <v>121</v>
      </c>
      <c r="AO23" t="s">
        <v>107</v>
      </c>
      <c r="AP23" t="s">
        <v>413</v>
      </c>
      <c r="AQ23">
        <v>0</v>
      </c>
      <c r="AR23" s="10">
        <v>44250</v>
      </c>
      <c r="AS23" t="s">
        <v>121</v>
      </c>
      <c r="AU23" t="s">
        <v>107</v>
      </c>
      <c r="AV23" t="s">
        <v>472</v>
      </c>
      <c r="AW23">
        <v>35</v>
      </c>
      <c r="AX23" s="10">
        <v>44612</v>
      </c>
      <c r="AY23" t="s">
        <v>121</v>
      </c>
      <c r="BA23" t="s">
        <v>107</v>
      </c>
      <c r="BB23" t="s">
        <v>413</v>
      </c>
      <c r="BC23">
        <v>0</v>
      </c>
      <c r="BD23">
        <v>44981</v>
      </c>
      <c r="BE23" t="s">
        <v>121</v>
      </c>
      <c r="BG23" t="s">
        <v>107</v>
      </c>
      <c r="BH23" t="s">
        <v>523</v>
      </c>
      <c r="BI23">
        <v>0</v>
      </c>
      <c r="BJ23">
        <v>45313</v>
      </c>
      <c r="BK23" t="s">
        <v>121</v>
      </c>
      <c r="BL23" t="s">
        <v>107</v>
      </c>
      <c r="BM23" t="s">
        <v>551</v>
      </c>
      <c r="BN23">
        <v>0</v>
      </c>
      <c r="BO23">
        <v>45709</v>
      </c>
      <c r="BP23" t="s">
        <v>121</v>
      </c>
    </row>
    <row r="24" spans="1:68">
      <c r="A24" t="s">
        <v>107</v>
      </c>
      <c r="B24" t="s">
        <v>611</v>
      </c>
      <c r="C24">
        <v>45</v>
      </c>
      <c r="D24" s="10">
        <v>46071</v>
      </c>
      <c r="E24" t="s">
        <v>121</v>
      </c>
      <c r="G24" t="s">
        <v>127</v>
      </c>
      <c r="H24" s="14">
        <f>SUMIF($AA$3:$AA$99,G24,$Y$3:$AA$99)</f>
        <v>13828815.18</v>
      </c>
      <c r="J24" s="13"/>
      <c r="K24" s="13"/>
      <c r="L24" s="13"/>
      <c r="M24" s="13"/>
      <c r="N24" s="13"/>
      <c r="Q24" t="s">
        <v>111</v>
      </c>
      <c r="R24" t="s">
        <v>112</v>
      </c>
      <c r="S24" s="9">
        <v>429000</v>
      </c>
      <c r="T24" s="10">
        <v>43100</v>
      </c>
      <c r="U24" t="s">
        <v>124</v>
      </c>
      <c r="W24" t="s">
        <v>15</v>
      </c>
      <c r="X24" t="s">
        <v>114</v>
      </c>
      <c r="Y24" s="9">
        <v>0</v>
      </c>
      <c r="Z24" s="10">
        <v>43129</v>
      </c>
      <c r="AA24" t="s">
        <v>121</v>
      </c>
      <c r="AC24" t="s">
        <v>111</v>
      </c>
      <c r="AD24" t="s">
        <v>155</v>
      </c>
      <c r="AE24">
        <v>40000</v>
      </c>
      <c r="AF24" s="10">
        <v>43544</v>
      </c>
      <c r="AG24" t="s">
        <v>121</v>
      </c>
      <c r="AI24" t="s">
        <v>14</v>
      </c>
      <c r="AJ24" t="s">
        <v>131</v>
      </c>
      <c r="AK24">
        <v>0</v>
      </c>
      <c r="AL24" s="10">
        <v>43891</v>
      </c>
      <c r="AM24" t="s">
        <v>121</v>
      </c>
      <c r="AO24" t="s">
        <v>14</v>
      </c>
      <c r="AP24" t="s">
        <v>131</v>
      </c>
      <c r="AQ24">
        <v>0</v>
      </c>
      <c r="AR24" s="10">
        <v>44250</v>
      </c>
      <c r="AS24" t="s">
        <v>121</v>
      </c>
      <c r="AU24" t="s">
        <v>14</v>
      </c>
      <c r="AV24" t="s">
        <v>413</v>
      </c>
      <c r="AW24">
        <v>0</v>
      </c>
      <c r="AX24" s="10">
        <v>44612</v>
      </c>
      <c r="AY24" t="s">
        <v>121</v>
      </c>
      <c r="BA24" t="s">
        <v>14</v>
      </c>
      <c r="BB24" t="s">
        <v>503</v>
      </c>
      <c r="BC24">
        <v>70</v>
      </c>
      <c r="BD24">
        <v>44981</v>
      </c>
      <c r="BE24" t="s">
        <v>121</v>
      </c>
      <c r="BG24" t="s">
        <v>14</v>
      </c>
      <c r="BH24" t="s">
        <v>503</v>
      </c>
      <c r="BI24">
        <v>70</v>
      </c>
      <c r="BJ24">
        <v>45313</v>
      </c>
      <c r="BK24" t="s">
        <v>121</v>
      </c>
      <c r="BL24" t="s">
        <v>14</v>
      </c>
      <c r="BM24" t="s">
        <v>503</v>
      </c>
      <c r="BN24">
        <v>70</v>
      </c>
      <c r="BO24">
        <v>45709</v>
      </c>
      <c r="BP24" t="s">
        <v>121</v>
      </c>
    </row>
    <row r="25" spans="1:68">
      <c r="A25" t="s">
        <v>14</v>
      </c>
      <c r="B25" t="s">
        <v>503</v>
      </c>
      <c r="C25">
        <v>70</v>
      </c>
      <c r="D25" s="10">
        <v>46071</v>
      </c>
      <c r="E25" t="s">
        <v>121</v>
      </c>
      <c r="G25" t="s">
        <v>128</v>
      </c>
      <c r="H25" s="14">
        <f>SUMIF($AA$3:$AA$103,G25,$Y$3:$AA$103)</f>
        <v>20604235.817600001</v>
      </c>
      <c r="J25" s="13"/>
      <c r="K25" s="13"/>
      <c r="L25" s="13"/>
      <c r="M25" s="13"/>
      <c r="N25" s="13"/>
      <c r="Q25" t="s">
        <v>89</v>
      </c>
      <c r="R25" t="s">
        <v>129</v>
      </c>
      <c r="S25" s="9">
        <v>35000</v>
      </c>
      <c r="T25" s="10">
        <v>43100</v>
      </c>
      <c r="U25" t="s">
        <v>124</v>
      </c>
      <c r="W25" t="s">
        <v>87</v>
      </c>
      <c r="X25" t="s">
        <v>117</v>
      </c>
      <c r="Y25" s="9">
        <v>0</v>
      </c>
      <c r="Z25" s="10">
        <v>43129</v>
      </c>
      <c r="AA25" t="s">
        <v>121</v>
      </c>
      <c r="AC25" t="s">
        <v>15</v>
      </c>
      <c r="AD25" t="s">
        <v>338</v>
      </c>
      <c r="AE25">
        <v>55000</v>
      </c>
      <c r="AF25" s="10">
        <v>43544</v>
      </c>
      <c r="AG25" t="s">
        <v>121</v>
      </c>
      <c r="AI25" t="s">
        <v>111</v>
      </c>
      <c r="AJ25" t="s">
        <v>402</v>
      </c>
      <c r="AK25">
        <v>3704600</v>
      </c>
      <c r="AL25" s="10">
        <v>43891</v>
      </c>
      <c r="AM25" t="s">
        <v>121</v>
      </c>
      <c r="AO25" t="s">
        <v>111</v>
      </c>
      <c r="AP25" t="s">
        <v>443</v>
      </c>
      <c r="AQ25">
        <v>50</v>
      </c>
      <c r="AR25" s="10">
        <v>44250</v>
      </c>
      <c r="AS25" t="s">
        <v>121</v>
      </c>
      <c r="AU25" t="s">
        <v>111</v>
      </c>
      <c r="AV25" t="s">
        <v>413</v>
      </c>
      <c r="AW25">
        <v>0</v>
      </c>
      <c r="AX25" s="10">
        <v>44612</v>
      </c>
      <c r="AY25" t="s">
        <v>121</v>
      </c>
      <c r="BA25" t="s">
        <v>111</v>
      </c>
      <c r="BB25" t="s">
        <v>413</v>
      </c>
      <c r="BC25">
        <v>0</v>
      </c>
      <c r="BD25">
        <v>44981</v>
      </c>
      <c r="BE25" t="s">
        <v>121</v>
      </c>
      <c r="BG25" t="s">
        <v>111</v>
      </c>
      <c r="BH25" t="s">
        <v>529</v>
      </c>
      <c r="BI25">
        <v>30</v>
      </c>
      <c r="BJ25">
        <v>45313</v>
      </c>
      <c r="BK25" t="s">
        <v>121</v>
      </c>
      <c r="BL25" t="s">
        <v>111</v>
      </c>
      <c r="BM25" t="s">
        <v>570</v>
      </c>
      <c r="BN25">
        <v>60</v>
      </c>
      <c r="BO25">
        <v>45709</v>
      </c>
      <c r="BP25" t="s">
        <v>121</v>
      </c>
    </row>
    <row r="26" spans="1:68">
      <c r="A26" t="s">
        <v>111</v>
      </c>
      <c r="B26" t="s">
        <v>413</v>
      </c>
      <c r="C26">
        <v>0</v>
      </c>
      <c r="D26" s="10">
        <v>46071</v>
      </c>
      <c r="E26" t="s">
        <v>121</v>
      </c>
      <c r="Q26" t="s">
        <v>15</v>
      </c>
      <c r="S26" s="9">
        <v>0</v>
      </c>
      <c r="T26" s="10">
        <v>43100</v>
      </c>
      <c r="U26" t="s">
        <v>124</v>
      </c>
      <c r="W26" t="s">
        <v>16</v>
      </c>
      <c r="X26" t="s">
        <v>119</v>
      </c>
      <c r="Y26" s="9">
        <v>700000</v>
      </c>
      <c r="Z26" s="10">
        <v>43129</v>
      </c>
      <c r="AA26" t="s">
        <v>121</v>
      </c>
      <c r="AC26" t="s">
        <v>87</v>
      </c>
      <c r="AD26" t="s">
        <v>158</v>
      </c>
      <c r="AE26">
        <v>0</v>
      </c>
      <c r="AF26" s="10">
        <v>43544</v>
      </c>
      <c r="AG26" t="s">
        <v>121</v>
      </c>
      <c r="AI26" t="s">
        <v>15</v>
      </c>
      <c r="AJ26" t="s">
        <v>399</v>
      </c>
      <c r="AK26">
        <v>809600</v>
      </c>
      <c r="AL26" s="10">
        <v>43891</v>
      </c>
      <c r="AM26" t="s">
        <v>121</v>
      </c>
      <c r="AO26" t="s">
        <v>15</v>
      </c>
      <c r="AP26" t="s">
        <v>447</v>
      </c>
      <c r="AQ26">
        <v>0</v>
      </c>
      <c r="AR26" s="10">
        <v>44250</v>
      </c>
      <c r="AS26" t="s">
        <v>121</v>
      </c>
      <c r="AU26" t="s">
        <v>15</v>
      </c>
      <c r="AV26" t="s">
        <v>413</v>
      </c>
      <c r="AW26">
        <v>0</v>
      </c>
      <c r="AX26" s="10">
        <v>44612</v>
      </c>
      <c r="AY26" t="s">
        <v>121</v>
      </c>
      <c r="BA26" t="s">
        <v>15</v>
      </c>
      <c r="BB26" t="s">
        <v>502</v>
      </c>
      <c r="BC26">
        <v>35</v>
      </c>
      <c r="BD26">
        <v>44981</v>
      </c>
      <c r="BE26" t="s">
        <v>121</v>
      </c>
      <c r="BG26" t="s">
        <v>118</v>
      </c>
      <c r="BH26" t="s">
        <v>530</v>
      </c>
      <c r="BI26">
        <v>35</v>
      </c>
      <c r="BJ26">
        <v>45313</v>
      </c>
      <c r="BK26" t="s">
        <v>121</v>
      </c>
      <c r="BL26" t="s">
        <v>118</v>
      </c>
      <c r="BM26" t="s">
        <v>551</v>
      </c>
      <c r="BN26">
        <v>0</v>
      </c>
      <c r="BO26">
        <v>45709</v>
      </c>
      <c r="BP26" t="s">
        <v>121</v>
      </c>
    </row>
    <row r="27" spans="1:68">
      <c r="A27" t="s">
        <v>118</v>
      </c>
      <c r="B27" t="s">
        <v>413</v>
      </c>
      <c r="C27">
        <v>0</v>
      </c>
      <c r="D27" s="10">
        <v>46071</v>
      </c>
      <c r="E27" t="s">
        <v>121</v>
      </c>
      <c r="L27" t="s">
        <v>130</v>
      </c>
      <c r="Q27" t="s">
        <v>118</v>
      </c>
      <c r="S27" s="9">
        <v>0</v>
      </c>
      <c r="T27" s="10">
        <v>43100</v>
      </c>
      <c r="U27" t="s">
        <v>124</v>
      </c>
      <c r="W27" t="s">
        <v>81</v>
      </c>
      <c r="X27" t="s">
        <v>84</v>
      </c>
      <c r="Y27" s="9">
        <v>1308000</v>
      </c>
      <c r="Z27" s="10">
        <v>43182</v>
      </c>
      <c r="AA27" t="s">
        <v>125</v>
      </c>
      <c r="AC27" t="s">
        <v>16</v>
      </c>
      <c r="AD27" t="s">
        <v>119</v>
      </c>
      <c r="AE27">
        <v>7</v>
      </c>
      <c r="AF27" s="10">
        <v>43544</v>
      </c>
      <c r="AG27" t="s">
        <v>121</v>
      </c>
      <c r="AI27" t="s">
        <v>87</v>
      </c>
      <c r="AJ27" t="s">
        <v>158</v>
      </c>
      <c r="AK27">
        <v>1548000</v>
      </c>
      <c r="AL27" s="10">
        <v>43891</v>
      </c>
      <c r="AM27" t="s">
        <v>121</v>
      </c>
      <c r="AO27" t="s">
        <v>87</v>
      </c>
      <c r="AP27" t="s">
        <v>158</v>
      </c>
      <c r="AQ27">
        <v>37</v>
      </c>
      <c r="AR27" s="10">
        <v>44250</v>
      </c>
      <c r="AS27" t="s">
        <v>121</v>
      </c>
      <c r="AU27" t="s">
        <v>87</v>
      </c>
      <c r="AV27" t="s">
        <v>158</v>
      </c>
      <c r="AW27">
        <v>90</v>
      </c>
      <c r="AX27" s="10">
        <v>44612</v>
      </c>
      <c r="AY27" t="s">
        <v>121</v>
      </c>
      <c r="BA27" t="s">
        <v>87</v>
      </c>
      <c r="BB27" t="s">
        <v>158</v>
      </c>
      <c r="BC27">
        <v>90</v>
      </c>
      <c r="BD27">
        <v>44981</v>
      </c>
      <c r="BE27" t="s">
        <v>121</v>
      </c>
      <c r="BG27" t="s">
        <v>87</v>
      </c>
      <c r="BH27" t="s">
        <v>158</v>
      </c>
      <c r="BI27">
        <v>90</v>
      </c>
      <c r="BJ27">
        <v>45313</v>
      </c>
      <c r="BK27" t="s">
        <v>121</v>
      </c>
      <c r="BL27" t="s">
        <v>87</v>
      </c>
      <c r="BM27" t="s">
        <v>158</v>
      </c>
      <c r="BN27">
        <v>85</v>
      </c>
      <c r="BO27">
        <v>45709</v>
      </c>
      <c r="BP27" t="s">
        <v>121</v>
      </c>
    </row>
    <row r="28" spans="1:68">
      <c r="A28" t="s">
        <v>87</v>
      </c>
      <c r="B28" t="s">
        <v>158</v>
      </c>
      <c r="C28">
        <v>100</v>
      </c>
      <c r="D28" s="10">
        <v>46071</v>
      </c>
      <c r="E28" t="s">
        <v>121</v>
      </c>
      <c r="H28" s="10">
        <v>44218</v>
      </c>
      <c r="L28" s="16">
        <v>1500000</v>
      </c>
      <c r="Q28" t="s">
        <v>16</v>
      </c>
      <c r="R28" t="s">
        <v>119</v>
      </c>
      <c r="S28" s="9">
        <v>175000</v>
      </c>
      <c r="T28" s="10">
        <v>43100</v>
      </c>
      <c r="U28" t="s">
        <v>124</v>
      </c>
      <c r="W28" t="s">
        <v>89</v>
      </c>
      <c r="X28" t="s">
        <v>88</v>
      </c>
      <c r="Y28" s="9">
        <v>519999.99</v>
      </c>
      <c r="Z28" s="10">
        <v>43182</v>
      </c>
      <c r="AA28" t="s">
        <v>125</v>
      </c>
      <c r="AC28" t="s">
        <v>118</v>
      </c>
      <c r="AD28" t="s">
        <v>337</v>
      </c>
      <c r="AE28">
        <v>78196.866000000009</v>
      </c>
      <c r="AF28" s="10">
        <v>43544</v>
      </c>
      <c r="AG28" t="s">
        <v>121</v>
      </c>
      <c r="AI28" t="s">
        <v>16</v>
      </c>
      <c r="AJ28" t="s">
        <v>119</v>
      </c>
      <c r="AK28">
        <v>7</v>
      </c>
      <c r="AL28" s="10">
        <v>43891</v>
      </c>
      <c r="AM28" t="s">
        <v>121</v>
      </c>
      <c r="AO28" t="s">
        <v>16</v>
      </c>
      <c r="AP28" t="s">
        <v>119</v>
      </c>
      <c r="AQ28">
        <v>0</v>
      </c>
      <c r="AR28" s="10">
        <v>44250</v>
      </c>
      <c r="AS28" t="s">
        <v>121</v>
      </c>
      <c r="AU28" t="s">
        <v>16</v>
      </c>
      <c r="AV28" t="s">
        <v>443</v>
      </c>
      <c r="AW28">
        <v>100</v>
      </c>
      <c r="AX28" s="10">
        <v>44612</v>
      </c>
      <c r="AY28" t="s">
        <v>121</v>
      </c>
      <c r="BA28" t="s">
        <v>16</v>
      </c>
      <c r="BB28" t="s">
        <v>480</v>
      </c>
      <c r="BC28">
        <v>100</v>
      </c>
      <c r="BD28">
        <v>44981</v>
      </c>
      <c r="BE28" t="s">
        <v>121</v>
      </c>
      <c r="BG28" t="s">
        <v>16</v>
      </c>
      <c r="BH28" t="s">
        <v>480</v>
      </c>
      <c r="BI28">
        <v>100</v>
      </c>
      <c r="BJ28">
        <v>45313</v>
      </c>
      <c r="BK28" t="s">
        <v>121</v>
      </c>
      <c r="BL28" t="s">
        <v>16</v>
      </c>
      <c r="BM28" t="s">
        <v>480</v>
      </c>
      <c r="BN28">
        <v>100</v>
      </c>
      <c r="BO28">
        <v>45709</v>
      </c>
      <c r="BP28" t="s">
        <v>121</v>
      </c>
    </row>
    <row r="29" spans="1:68">
      <c r="A29" t="s">
        <v>16</v>
      </c>
      <c r="B29" t="s">
        <v>604</v>
      </c>
      <c r="C29">
        <v>150</v>
      </c>
      <c r="D29" s="10">
        <v>46071</v>
      </c>
      <c r="E29" t="s">
        <v>121</v>
      </c>
      <c r="G29" t="s">
        <v>353</v>
      </c>
      <c r="H29">
        <v>1651774.35</v>
      </c>
      <c r="W29" t="s">
        <v>91</v>
      </c>
      <c r="X29" t="s">
        <v>92</v>
      </c>
      <c r="Y29" s="9">
        <v>4000</v>
      </c>
      <c r="Z29" s="10">
        <v>43182</v>
      </c>
      <c r="AA29" t="s">
        <v>125</v>
      </c>
      <c r="AC29" t="s">
        <v>81</v>
      </c>
      <c r="AD29" t="s">
        <v>145</v>
      </c>
      <c r="AE29">
        <v>25000</v>
      </c>
      <c r="AF29" s="10">
        <v>43578</v>
      </c>
      <c r="AG29" t="s">
        <v>125</v>
      </c>
      <c r="AI29" t="s">
        <v>118</v>
      </c>
      <c r="AJ29" t="s">
        <v>403</v>
      </c>
      <c r="AK29">
        <v>8530200</v>
      </c>
      <c r="AL29" s="10">
        <v>43891</v>
      </c>
      <c r="AM29" t="s">
        <v>121</v>
      </c>
      <c r="AO29" t="s">
        <v>118</v>
      </c>
      <c r="AP29" t="s">
        <v>440</v>
      </c>
      <c r="AQ29">
        <v>0</v>
      </c>
      <c r="AR29" s="10">
        <v>44250</v>
      </c>
      <c r="AS29" t="s">
        <v>121</v>
      </c>
      <c r="AU29" t="s">
        <v>118</v>
      </c>
      <c r="AV29" t="s">
        <v>470</v>
      </c>
      <c r="AW29">
        <v>0</v>
      </c>
      <c r="AX29" s="10">
        <v>44612</v>
      </c>
      <c r="AY29" t="s">
        <v>121</v>
      </c>
      <c r="BA29" t="s">
        <v>118</v>
      </c>
      <c r="BB29" t="s">
        <v>413</v>
      </c>
      <c r="BC29">
        <v>0</v>
      </c>
      <c r="BD29">
        <v>44981</v>
      </c>
      <c r="BE29" t="s">
        <v>121</v>
      </c>
      <c r="BG29" t="s">
        <v>15</v>
      </c>
      <c r="BH29" t="s">
        <v>413</v>
      </c>
      <c r="BI29">
        <v>0</v>
      </c>
      <c r="BJ29">
        <v>45313</v>
      </c>
      <c r="BK29" t="s">
        <v>121</v>
      </c>
      <c r="BL29" t="s">
        <v>15</v>
      </c>
      <c r="BM29" t="s">
        <v>413</v>
      </c>
      <c r="BN29">
        <v>0</v>
      </c>
      <c r="BO29">
        <v>45709</v>
      </c>
      <c r="BP29" t="s">
        <v>121</v>
      </c>
    </row>
    <row r="30" spans="1:68">
      <c r="A30" t="s">
        <v>15</v>
      </c>
      <c r="B30" t="s">
        <v>413</v>
      </c>
      <c r="C30">
        <v>0</v>
      </c>
      <c r="D30" s="10">
        <v>46071</v>
      </c>
      <c r="E30" t="s">
        <v>121</v>
      </c>
      <c r="H30" s="10">
        <v>44250</v>
      </c>
      <c r="W30" t="s">
        <v>94</v>
      </c>
      <c r="X30" t="s">
        <v>95</v>
      </c>
      <c r="Y30" s="9">
        <v>48000</v>
      </c>
      <c r="Z30" s="10">
        <v>43182</v>
      </c>
      <c r="AA30" t="s">
        <v>125</v>
      </c>
      <c r="AC30" t="s">
        <v>89</v>
      </c>
      <c r="AD30" t="s">
        <v>153</v>
      </c>
      <c r="AE30">
        <f>5000+8500</f>
        <v>13500</v>
      </c>
      <c r="AF30" s="10">
        <v>43578</v>
      </c>
      <c r="AG30" t="s">
        <v>125</v>
      </c>
      <c r="AI30" t="s">
        <v>194</v>
      </c>
      <c r="AJ30" t="s">
        <v>396</v>
      </c>
      <c r="AK30">
        <v>80000</v>
      </c>
      <c r="AL30" s="10">
        <v>43891</v>
      </c>
      <c r="AM30" t="s">
        <v>121</v>
      </c>
      <c r="AO30" t="s">
        <v>194</v>
      </c>
      <c r="AP30" t="s">
        <v>396</v>
      </c>
      <c r="AQ30">
        <v>0.5</v>
      </c>
      <c r="AR30" s="10">
        <v>44250</v>
      </c>
      <c r="AS30" t="s">
        <v>121</v>
      </c>
      <c r="AU30" t="s">
        <v>194</v>
      </c>
      <c r="AV30" t="s">
        <v>396</v>
      </c>
      <c r="AW30">
        <v>0.5</v>
      </c>
      <c r="AX30" s="10">
        <v>44612</v>
      </c>
      <c r="AY30" t="s">
        <v>121</v>
      </c>
      <c r="BA30" t="s">
        <v>194</v>
      </c>
      <c r="BB30" t="s">
        <v>396</v>
      </c>
      <c r="BC30">
        <v>2</v>
      </c>
      <c r="BD30">
        <v>44981</v>
      </c>
      <c r="BE30" t="s">
        <v>121</v>
      </c>
      <c r="BG30" t="s">
        <v>194</v>
      </c>
      <c r="BH30" t="s">
        <v>396</v>
      </c>
      <c r="BI30">
        <v>2</v>
      </c>
      <c r="BJ30">
        <v>45313</v>
      </c>
      <c r="BK30" t="s">
        <v>121</v>
      </c>
      <c r="BL30" t="s">
        <v>194</v>
      </c>
      <c r="BM30" t="s">
        <v>396</v>
      </c>
      <c r="BN30">
        <v>2</v>
      </c>
      <c r="BO30">
        <v>45709</v>
      </c>
      <c r="BP30" t="s">
        <v>121</v>
      </c>
    </row>
    <row r="31" spans="1:68">
      <c r="A31" t="s">
        <v>194</v>
      </c>
      <c r="B31" t="s">
        <v>396</v>
      </c>
      <c r="C31">
        <v>2</v>
      </c>
      <c r="D31" s="10">
        <v>46071</v>
      </c>
      <c r="E31" t="s">
        <v>121</v>
      </c>
      <c r="F31" s="9"/>
      <c r="H31">
        <v>1932752.19</v>
      </c>
      <c r="W31" t="s">
        <v>99</v>
      </c>
      <c r="X31" t="s">
        <v>100</v>
      </c>
      <c r="Y31" s="9">
        <v>10000</v>
      </c>
      <c r="Z31" s="10">
        <v>43182</v>
      </c>
      <c r="AA31" t="s">
        <v>125</v>
      </c>
      <c r="AC31" t="s">
        <v>91</v>
      </c>
      <c r="AD31" t="s">
        <v>92</v>
      </c>
      <c r="AE31">
        <v>162.24</v>
      </c>
      <c r="AF31" s="10">
        <v>43578</v>
      </c>
      <c r="AG31" t="s">
        <v>125</v>
      </c>
      <c r="AI31" t="s">
        <v>81</v>
      </c>
      <c r="AJ31" t="s">
        <v>145</v>
      </c>
      <c r="AK31">
        <v>450000</v>
      </c>
      <c r="AL31" s="10">
        <v>43922</v>
      </c>
      <c r="AM31" t="s">
        <v>125</v>
      </c>
      <c r="AO31" t="s">
        <v>81</v>
      </c>
      <c r="AP31" t="s">
        <v>426</v>
      </c>
      <c r="AQ31">
        <v>10</v>
      </c>
      <c r="AR31" s="10">
        <v>44285</v>
      </c>
      <c r="AS31" t="s">
        <v>125</v>
      </c>
      <c r="AU31" t="s">
        <v>81</v>
      </c>
      <c r="AV31" t="s">
        <v>426</v>
      </c>
      <c r="AW31">
        <v>60</v>
      </c>
      <c r="AX31" s="10">
        <v>44643</v>
      </c>
      <c r="AY31" t="s">
        <v>125</v>
      </c>
      <c r="BA31" t="s">
        <v>81</v>
      </c>
      <c r="BB31" t="s">
        <v>426</v>
      </c>
      <c r="BC31">
        <v>120</v>
      </c>
      <c r="BD31">
        <v>45010</v>
      </c>
      <c r="BE31" t="s">
        <v>125</v>
      </c>
      <c r="BG31" t="s">
        <v>81</v>
      </c>
      <c r="BH31" t="s">
        <v>426</v>
      </c>
      <c r="BI31">
        <v>120</v>
      </c>
      <c r="BJ31">
        <v>45372</v>
      </c>
      <c r="BK31" t="s">
        <v>125</v>
      </c>
      <c r="BL31" t="s">
        <v>81</v>
      </c>
      <c r="BM31" t="s">
        <v>426</v>
      </c>
      <c r="BN31">
        <v>120</v>
      </c>
      <c r="BO31">
        <v>45734</v>
      </c>
      <c r="BP31" t="s">
        <v>125</v>
      </c>
    </row>
    <row r="32" spans="1:68">
      <c r="A32" t="s">
        <v>81</v>
      </c>
      <c r="B32" t="s">
        <v>426</v>
      </c>
      <c r="C32">
        <v>180</v>
      </c>
      <c r="D32" s="10">
        <v>46099</v>
      </c>
      <c r="E32" t="s">
        <v>125</v>
      </c>
      <c r="H32" s="10"/>
      <c r="J32">
        <f>SUM(C57,C58,C59,C60,C61,C66)</f>
        <v>420</v>
      </c>
      <c r="K32">
        <f>J32*33.78%</f>
        <v>141.876</v>
      </c>
      <c r="W32" t="s">
        <v>103</v>
      </c>
      <c r="X32" t="s">
        <v>104</v>
      </c>
      <c r="Y32" s="9">
        <v>0</v>
      </c>
      <c r="Z32" s="10">
        <v>43182</v>
      </c>
      <c r="AA32" t="s">
        <v>125</v>
      </c>
      <c r="AC32" t="s">
        <v>94</v>
      </c>
      <c r="AD32" t="s">
        <v>95</v>
      </c>
      <c r="AE32">
        <f>15516+15000</f>
        <v>30516</v>
      </c>
      <c r="AF32" s="10">
        <v>43578</v>
      </c>
      <c r="AG32" t="s">
        <v>125</v>
      </c>
      <c r="AI32" t="s">
        <v>89</v>
      </c>
      <c r="AJ32" t="s">
        <v>406</v>
      </c>
      <c r="AK32">
        <v>300000</v>
      </c>
      <c r="AL32" s="10">
        <v>43922</v>
      </c>
      <c r="AM32" t="s">
        <v>125</v>
      </c>
      <c r="AO32" t="s">
        <v>89</v>
      </c>
      <c r="AP32" t="s">
        <v>445</v>
      </c>
      <c r="AQ32">
        <v>5</v>
      </c>
      <c r="AR32" s="10">
        <v>44285</v>
      </c>
      <c r="AS32" t="s">
        <v>125</v>
      </c>
      <c r="AU32" t="s">
        <v>89</v>
      </c>
      <c r="AV32" t="s">
        <v>435</v>
      </c>
      <c r="AW32">
        <v>6</v>
      </c>
      <c r="AX32" s="10">
        <v>44643</v>
      </c>
      <c r="AY32" t="s">
        <v>125</v>
      </c>
      <c r="BA32" t="s">
        <v>89</v>
      </c>
      <c r="BB32" t="s">
        <v>435</v>
      </c>
      <c r="BC32">
        <v>9</v>
      </c>
      <c r="BD32">
        <v>45010</v>
      </c>
      <c r="BE32" t="s">
        <v>125</v>
      </c>
      <c r="BG32" t="s">
        <v>89</v>
      </c>
      <c r="BH32" t="s">
        <v>435</v>
      </c>
      <c r="BI32">
        <v>8</v>
      </c>
      <c r="BJ32">
        <v>45372</v>
      </c>
      <c r="BK32" t="s">
        <v>125</v>
      </c>
      <c r="BL32" t="s">
        <v>89</v>
      </c>
      <c r="BM32" t="s">
        <v>435</v>
      </c>
      <c r="BN32">
        <v>9</v>
      </c>
      <c r="BO32">
        <v>45734</v>
      </c>
      <c r="BP32" t="s">
        <v>125</v>
      </c>
    </row>
    <row r="33" spans="1:68">
      <c r="A33" t="s">
        <v>89</v>
      </c>
      <c r="B33" t="s">
        <v>435</v>
      </c>
      <c r="C33">
        <v>15</v>
      </c>
      <c r="D33" s="10">
        <v>46099</v>
      </c>
      <c r="E33" t="s">
        <v>125</v>
      </c>
      <c r="G33">
        <f>10.1*H29</f>
        <v>16682920.935000001</v>
      </c>
      <c r="W33" t="s">
        <v>107</v>
      </c>
      <c r="X33" t="s">
        <v>108</v>
      </c>
      <c r="Y33" s="9">
        <v>0</v>
      </c>
      <c r="Z33" s="10">
        <v>43182</v>
      </c>
      <c r="AA33" t="s">
        <v>125</v>
      </c>
      <c r="AC33" t="s">
        <v>99</v>
      </c>
      <c r="AD33" t="s">
        <v>100</v>
      </c>
      <c r="AE33">
        <v>2500</v>
      </c>
      <c r="AF33" s="10">
        <v>43578</v>
      </c>
      <c r="AG33" t="s">
        <v>125</v>
      </c>
      <c r="AI33" t="s">
        <v>91</v>
      </c>
      <c r="AJ33" t="s">
        <v>92</v>
      </c>
      <c r="AK33">
        <v>202070.2</v>
      </c>
      <c r="AL33" s="10">
        <v>43922</v>
      </c>
      <c r="AM33" t="s">
        <v>125</v>
      </c>
      <c r="AO33" t="s">
        <v>91</v>
      </c>
      <c r="AP33" t="s">
        <v>92</v>
      </c>
      <c r="AQ33">
        <v>38</v>
      </c>
      <c r="AR33" s="10">
        <v>44285</v>
      </c>
      <c r="AS33" t="s">
        <v>125</v>
      </c>
      <c r="AU33" t="s">
        <v>91</v>
      </c>
      <c r="AV33" t="s">
        <v>92</v>
      </c>
      <c r="AW33">
        <v>45</v>
      </c>
      <c r="AX33" s="10">
        <v>44643</v>
      </c>
      <c r="AY33" t="s">
        <v>125</v>
      </c>
      <c r="BA33" t="s">
        <v>91</v>
      </c>
      <c r="BB33" t="s">
        <v>92</v>
      </c>
      <c r="BC33">
        <v>50</v>
      </c>
      <c r="BD33">
        <v>45010</v>
      </c>
      <c r="BE33" t="s">
        <v>125</v>
      </c>
      <c r="BG33" t="s">
        <v>91</v>
      </c>
      <c r="BH33" t="s">
        <v>92</v>
      </c>
      <c r="BI33">
        <v>80</v>
      </c>
      <c r="BJ33">
        <v>45372</v>
      </c>
      <c r="BK33" t="s">
        <v>125</v>
      </c>
      <c r="BL33" t="s">
        <v>91</v>
      </c>
      <c r="BM33" t="s">
        <v>569</v>
      </c>
      <c r="BN33">
        <v>170</v>
      </c>
      <c r="BO33">
        <v>45734</v>
      </c>
      <c r="BP33" t="s">
        <v>125</v>
      </c>
    </row>
    <row r="34" spans="1:68" ht="15.75" thickBot="1">
      <c r="A34" t="s">
        <v>91</v>
      </c>
      <c r="B34" t="s">
        <v>610</v>
      </c>
      <c r="C34">
        <v>190</v>
      </c>
      <c r="D34" s="10">
        <v>46099</v>
      </c>
      <c r="E34" t="s">
        <v>125</v>
      </c>
      <c r="H34" s="10"/>
      <c r="W34" t="s">
        <v>14</v>
      </c>
      <c r="X34" t="s">
        <v>101</v>
      </c>
      <c r="Y34" s="9">
        <v>2475.9</v>
      </c>
      <c r="Z34" s="10">
        <v>43182</v>
      </c>
      <c r="AA34" t="s">
        <v>125</v>
      </c>
      <c r="AC34" t="s">
        <v>103</v>
      </c>
      <c r="AD34" t="s">
        <v>104</v>
      </c>
      <c r="AE34">
        <v>60000</v>
      </c>
      <c r="AF34" s="10">
        <v>43578</v>
      </c>
      <c r="AG34" t="s">
        <v>125</v>
      </c>
      <c r="AI34" t="s">
        <v>94</v>
      </c>
      <c r="AJ34" t="s">
        <v>95</v>
      </c>
      <c r="AK34">
        <v>76140</v>
      </c>
      <c r="AL34" s="10">
        <v>43922</v>
      </c>
      <c r="AM34" t="s">
        <v>125</v>
      </c>
      <c r="AO34" t="s">
        <v>94</v>
      </c>
      <c r="AP34" t="s">
        <v>95</v>
      </c>
      <c r="AQ34">
        <v>0.9</v>
      </c>
      <c r="AR34" s="10">
        <v>44285</v>
      </c>
      <c r="AS34" t="s">
        <v>125</v>
      </c>
      <c r="AU34" t="s">
        <v>94</v>
      </c>
      <c r="AV34" t="s">
        <v>95</v>
      </c>
      <c r="AW34">
        <v>0</v>
      </c>
      <c r="AX34" s="10">
        <v>44643</v>
      </c>
      <c r="AY34" t="s">
        <v>125</v>
      </c>
      <c r="BA34" t="s">
        <v>94</v>
      </c>
      <c r="BB34" t="s">
        <v>95</v>
      </c>
      <c r="BC34">
        <v>0</v>
      </c>
      <c r="BD34">
        <v>45010</v>
      </c>
      <c r="BE34" t="s">
        <v>125</v>
      </c>
      <c r="BG34" t="s">
        <v>94</v>
      </c>
      <c r="BH34" t="s">
        <v>531</v>
      </c>
      <c r="BI34">
        <v>120</v>
      </c>
      <c r="BJ34">
        <v>45372</v>
      </c>
      <c r="BK34" t="s">
        <v>125</v>
      </c>
      <c r="BL34" t="s">
        <v>94</v>
      </c>
      <c r="BM34" t="s">
        <v>542</v>
      </c>
      <c r="BN34">
        <v>85</v>
      </c>
      <c r="BO34">
        <v>45734</v>
      </c>
      <c r="BP34" t="s">
        <v>125</v>
      </c>
    </row>
    <row r="35" spans="1:68">
      <c r="A35" t="s">
        <v>94</v>
      </c>
      <c r="B35" t="s">
        <v>542</v>
      </c>
      <c r="C35">
        <v>95</v>
      </c>
      <c r="D35" s="10">
        <v>46099</v>
      </c>
      <c r="E35" t="s">
        <v>125</v>
      </c>
      <c r="G35" s="233" t="s">
        <v>69</v>
      </c>
      <c r="H35" s="234" t="s">
        <v>341</v>
      </c>
      <c r="I35" s="235">
        <f>VLOOKUP(G35,PROPIETARIOS!A:D,4,FALSE)</f>
        <v>14.83</v>
      </c>
      <c r="W35" t="s">
        <v>111</v>
      </c>
      <c r="X35" t="s">
        <v>112</v>
      </c>
      <c r="Y35" s="9">
        <v>440000</v>
      </c>
      <c r="Z35" s="10">
        <v>43182</v>
      </c>
      <c r="AA35" t="s">
        <v>125</v>
      </c>
      <c r="AC35" t="s">
        <v>107</v>
      </c>
      <c r="AD35" t="s">
        <v>154</v>
      </c>
      <c r="AE35">
        <v>8000</v>
      </c>
      <c r="AF35" s="10">
        <v>43578</v>
      </c>
      <c r="AG35" t="s">
        <v>125</v>
      </c>
      <c r="AI35" t="s">
        <v>99</v>
      </c>
      <c r="AJ35" t="s">
        <v>390</v>
      </c>
      <c r="AK35">
        <v>330500</v>
      </c>
      <c r="AL35" s="10">
        <v>43922</v>
      </c>
      <c r="AM35" t="s">
        <v>125</v>
      </c>
      <c r="AO35" t="s">
        <v>99</v>
      </c>
      <c r="AP35" t="s">
        <v>448</v>
      </c>
      <c r="AQ35">
        <v>8</v>
      </c>
      <c r="AR35" s="10">
        <v>44285</v>
      </c>
      <c r="AS35" t="s">
        <v>125</v>
      </c>
      <c r="AU35" t="s">
        <v>99</v>
      </c>
      <c r="AV35" t="s">
        <v>448</v>
      </c>
      <c r="AW35">
        <v>0</v>
      </c>
      <c r="AX35" s="10">
        <v>44643</v>
      </c>
      <c r="AY35" t="s">
        <v>125</v>
      </c>
      <c r="BA35" t="s">
        <v>99</v>
      </c>
      <c r="BB35" t="s">
        <v>448</v>
      </c>
      <c r="BC35">
        <v>0</v>
      </c>
      <c r="BD35">
        <v>45010</v>
      </c>
      <c r="BE35" t="s">
        <v>125</v>
      </c>
      <c r="BG35" t="s">
        <v>99</v>
      </c>
      <c r="BH35" t="s">
        <v>448</v>
      </c>
      <c r="BI35">
        <v>10</v>
      </c>
      <c r="BJ35">
        <v>45372</v>
      </c>
      <c r="BK35" t="s">
        <v>125</v>
      </c>
      <c r="BL35" t="s">
        <v>99</v>
      </c>
      <c r="BM35" t="s">
        <v>448</v>
      </c>
      <c r="BN35">
        <v>15</v>
      </c>
      <c r="BO35">
        <v>45734</v>
      </c>
      <c r="BP35" t="s">
        <v>125</v>
      </c>
    </row>
    <row r="36" spans="1:68" ht="15.75" thickBot="1">
      <c r="A36" t="s">
        <v>99</v>
      </c>
      <c r="B36" t="s">
        <v>448</v>
      </c>
      <c r="C36">
        <v>20</v>
      </c>
      <c r="D36" s="10">
        <v>46099</v>
      </c>
      <c r="E36" t="s">
        <v>125</v>
      </c>
      <c r="G36" s="236" t="str">
        <f>VLOOKUP(G35,PROPIETARIOS!A:D,3,FALSE)</f>
        <v xml:space="preserve">BANCO BICENTENARIO BANCO UNIVERSAL C.A.
</v>
      </c>
      <c r="H36" s="10"/>
      <c r="I36" s="237"/>
      <c r="W36" t="s">
        <v>15</v>
      </c>
      <c r="X36" t="s">
        <v>114</v>
      </c>
      <c r="Y36" s="9">
        <v>0</v>
      </c>
      <c r="Z36" s="10">
        <v>43182</v>
      </c>
      <c r="AA36" t="s">
        <v>125</v>
      </c>
      <c r="AC36" t="s">
        <v>14</v>
      </c>
      <c r="AD36" t="s">
        <v>131</v>
      </c>
      <c r="AE36">
        <v>500</v>
      </c>
      <c r="AF36" s="10">
        <v>43578</v>
      </c>
      <c r="AG36" t="s">
        <v>125</v>
      </c>
      <c r="AI36" t="s">
        <v>103</v>
      </c>
      <c r="AJ36" t="s">
        <v>379</v>
      </c>
      <c r="AK36">
        <v>700000</v>
      </c>
      <c r="AL36" s="10">
        <v>43922</v>
      </c>
      <c r="AM36" t="s">
        <v>125</v>
      </c>
      <c r="AO36" t="s">
        <v>103</v>
      </c>
      <c r="AP36" t="s">
        <v>444</v>
      </c>
      <c r="AQ36">
        <v>30</v>
      </c>
      <c r="AR36" s="10">
        <v>44285</v>
      </c>
      <c r="AS36" t="s">
        <v>125</v>
      </c>
      <c r="AU36" t="s">
        <v>103</v>
      </c>
      <c r="AV36" t="s">
        <v>444</v>
      </c>
      <c r="AW36">
        <v>35</v>
      </c>
      <c r="AX36" s="10">
        <v>44643</v>
      </c>
      <c r="AY36" t="s">
        <v>125</v>
      </c>
      <c r="BA36" t="s">
        <v>103</v>
      </c>
      <c r="BB36" t="s">
        <v>444</v>
      </c>
      <c r="BC36">
        <v>35</v>
      </c>
      <c r="BD36">
        <v>45010</v>
      </c>
      <c r="BE36" t="s">
        <v>125</v>
      </c>
      <c r="BG36" t="s">
        <v>103</v>
      </c>
      <c r="BH36" t="s">
        <v>444</v>
      </c>
      <c r="BI36">
        <v>35</v>
      </c>
      <c r="BJ36">
        <v>45372</v>
      </c>
      <c r="BK36" t="s">
        <v>125</v>
      </c>
      <c r="BL36" t="s">
        <v>103</v>
      </c>
      <c r="BM36" t="s">
        <v>444</v>
      </c>
      <c r="BN36">
        <v>35</v>
      </c>
      <c r="BO36">
        <v>45734</v>
      </c>
      <c r="BP36" t="s">
        <v>125</v>
      </c>
    </row>
    <row r="37" spans="1:68">
      <c r="A37" t="s">
        <v>103</v>
      </c>
      <c r="B37" t="s">
        <v>574</v>
      </c>
      <c r="C37">
        <v>40</v>
      </c>
      <c r="D37" s="10">
        <v>46099</v>
      </c>
      <c r="E37" t="s">
        <v>125</v>
      </c>
      <c r="G37" s="233" t="str">
        <f>B32</f>
        <v>HONORARIOS LOURDES GARCIA</v>
      </c>
      <c r="H37" s="235"/>
      <c r="I37" s="243">
        <f>C32*$I$35%</f>
        <v>26.693999999999999</v>
      </c>
      <c r="W37" t="s">
        <v>87</v>
      </c>
      <c r="X37" t="s">
        <v>117</v>
      </c>
      <c r="Y37" s="9">
        <v>0</v>
      </c>
      <c r="Z37" s="10">
        <v>43182</v>
      </c>
      <c r="AA37" t="s">
        <v>125</v>
      </c>
      <c r="AC37" t="s">
        <v>111</v>
      </c>
      <c r="AD37" t="s">
        <v>155</v>
      </c>
      <c r="AE37">
        <v>0</v>
      </c>
      <c r="AF37" s="10">
        <v>43578</v>
      </c>
      <c r="AG37" t="s">
        <v>125</v>
      </c>
      <c r="AI37" t="s">
        <v>107</v>
      </c>
      <c r="AJ37" t="s">
        <v>405</v>
      </c>
      <c r="AK37">
        <v>300000</v>
      </c>
      <c r="AL37" s="10">
        <v>43922</v>
      </c>
      <c r="AM37" t="s">
        <v>125</v>
      </c>
      <c r="AO37" t="s">
        <v>107</v>
      </c>
      <c r="AP37" t="s">
        <v>449</v>
      </c>
      <c r="AQ37">
        <v>10</v>
      </c>
      <c r="AR37" s="10">
        <v>44285</v>
      </c>
      <c r="AS37" t="s">
        <v>125</v>
      </c>
      <c r="AU37" t="s">
        <v>107</v>
      </c>
      <c r="AV37" t="s">
        <v>413</v>
      </c>
      <c r="AW37">
        <v>0</v>
      </c>
      <c r="AX37" s="10">
        <v>44643</v>
      </c>
      <c r="AY37" t="s">
        <v>125</v>
      </c>
      <c r="BA37" t="s">
        <v>107</v>
      </c>
      <c r="BB37" t="s">
        <v>413</v>
      </c>
      <c r="BC37">
        <v>0</v>
      </c>
      <c r="BD37">
        <v>45010</v>
      </c>
      <c r="BE37" t="s">
        <v>125</v>
      </c>
      <c r="BG37" t="s">
        <v>107</v>
      </c>
      <c r="BH37" t="s">
        <v>413</v>
      </c>
      <c r="BI37">
        <v>0</v>
      </c>
      <c r="BJ37">
        <v>45372</v>
      </c>
      <c r="BK37" t="s">
        <v>125</v>
      </c>
      <c r="BL37" t="s">
        <v>107</v>
      </c>
      <c r="BM37" t="s">
        <v>551</v>
      </c>
      <c r="BN37">
        <v>0</v>
      </c>
      <c r="BO37">
        <v>45734</v>
      </c>
      <c r="BP37" t="s">
        <v>125</v>
      </c>
    </row>
    <row r="38" spans="1:68">
      <c r="A38" t="s">
        <v>107</v>
      </c>
      <c r="B38" t="s">
        <v>612</v>
      </c>
      <c r="C38">
        <v>30</v>
      </c>
      <c r="D38" s="10">
        <v>46099</v>
      </c>
      <c r="E38" t="s">
        <v>125</v>
      </c>
      <c r="G38" s="236" t="str">
        <f t="shared" ref="G38:G50" si="0">B33</f>
        <v>Aceite para ascensor.</v>
      </c>
      <c r="H38" s="241"/>
      <c r="I38" s="244">
        <f t="shared" ref="I38:I49" si="1">C33*$I$35%</f>
        <v>2.2244999999999999</v>
      </c>
      <c r="W38" t="s">
        <v>16</v>
      </c>
      <c r="X38" t="s">
        <v>119</v>
      </c>
      <c r="Y38" s="9">
        <v>700000</v>
      </c>
      <c r="Z38" s="10">
        <v>43182</v>
      </c>
      <c r="AA38" t="s">
        <v>125</v>
      </c>
      <c r="AC38" t="s">
        <v>15</v>
      </c>
      <c r="AD38" t="s">
        <v>338</v>
      </c>
      <c r="AE38">
        <v>50000</v>
      </c>
      <c r="AF38" s="10">
        <v>43578</v>
      </c>
      <c r="AG38" t="s">
        <v>125</v>
      </c>
      <c r="AI38" t="s">
        <v>14</v>
      </c>
      <c r="AJ38" t="s">
        <v>131</v>
      </c>
      <c r="AK38">
        <v>0</v>
      </c>
      <c r="AL38" s="10">
        <v>43922</v>
      </c>
      <c r="AM38" t="s">
        <v>125</v>
      </c>
      <c r="AO38" t="s">
        <v>14</v>
      </c>
      <c r="AP38" t="s">
        <v>131</v>
      </c>
      <c r="AQ38">
        <v>0</v>
      </c>
      <c r="AR38" s="10">
        <v>44285</v>
      </c>
      <c r="AS38" t="s">
        <v>125</v>
      </c>
      <c r="AU38" t="s">
        <v>14</v>
      </c>
      <c r="AV38" t="s">
        <v>413</v>
      </c>
      <c r="AW38">
        <v>0</v>
      </c>
      <c r="AX38" s="10">
        <v>44643</v>
      </c>
      <c r="AY38" t="s">
        <v>125</v>
      </c>
      <c r="BA38" t="s">
        <v>14</v>
      </c>
      <c r="BB38" t="s">
        <v>503</v>
      </c>
      <c r="BC38">
        <v>70</v>
      </c>
      <c r="BD38">
        <v>45010</v>
      </c>
      <c r="BE38" t="s">
        <v>125</v>
      </c>
      <c r="BG38" t="s">
        <v>14</v>
      </c>
      <c r="BH38" t="s">
        <v>503</v>
      </c>
      <c r="BI38">
        <v>70</v>
      </c>
      <c r="BJ38">
        <v>45372</v>
      </c>
      <c r="BK38" t="s">
        <v>125</v>
      </c>
      <c r="BL38" t="s">
        <v>14</v>
      </c>
      <c r="BM38" t="s">
        <v>503</v>
      </c>
      <c r="BN38">
        <v>70</v>
      </c>
      <c r="BO38">
        <v>45734</v>
      </c>
      <c r="BP38" t="s">
        <v>125</v>
      </c>
    </row>
    <row r="39" spans="1:68">
      <c r="A39" t="s">
        <v>14</v>
      </c>
      <c r="B39" t="s">
        <v>503</v>
      </c>
      <c r="C39">
        <v>70</v>
      </c>
      <c r="D39" s="10">
        <v>46099</v>
      </c>
      <c r="E39" t="s">
        <v>125</v>
      </c>
      <c r="G39" s="236" t="str">
        <f t="shared" si="0"/>
        <v>ELECTRICIDAD 95$ + Relleno Sanitario 95$</v>
      </c>
      <c r="H39" s="237"/>
      <c r="I39" s="244">
        <f t="shared" si="1"/>
        <v>28.176999999999996</v>
      </c>
      <c r="W39" t="s">
        <v>81</v>
      </c>
      <c r="X39" t="s">
        <v>84</v>
      </c>
      <c r="Y39" s="9">
        <v>1308000</v>
      </c>
      <c r="Z39" s="10">
        <v>43192</v>
      </c>
      <c r="AA39" t="s">
        <v>126</v>
      </c>
      <c r="AC39" t="s">
        <v>87</v>
      </c>
      <c r="AD39" t="s">
        <v>158</v>
      </c>
      <c r="AE39">
        <v>30000</v>
      </c>
      <c r="AF39" s="10">
        <v>43578</v>
      </c>
      <c r="AG39" t="s">
        <v>125</v>
      </c>
      <c r="AI39" t="s">
        <v>111</v>
      </c>
      <c r="AJ39" t="s">
        <v>404</v>
      </c>
      <c r="AK39">
        <v>4047300</v>
      </c>
      <c r="AL39" s="10">
        <v>43922</v>
      </c>
      <c r="AM39" t="s">
        <v>125</v>
      </c>
      <c r="AO39" t="s">
        <v>111</v>
      </c>
      <c r="AP39" t="s">
        <v>443</v>
      </c>
      <c r="AQ39">
        <v>50</v>
      </c>
      <c r="AR39" s="10">
        <v>44285</v>
      </c>
      <c r="AS39" t="s">
        <v>125</v>
      </c>
      <c r="AU39" t="s">
        <v>111</v>
      </c>
      <c r="AV39" t="s">
        <v>413</v>
      </c>
      <c r="AW39">
        <v>0</v>
      </c>
      <c r="AX39" s="10">
        <v>44643</v>
      </c>
      <c r="AY39" t="s">
        <v>125</v>
      </c>
      <c r="BA39" t="s">
        <v>111</v>
      </c>
      <c r="BB39" t="s">
        <v>504</v>
      </c>
      <c r="BC39">
        <v>30</v>
      </c>
      <c r="BD39">
        <v>45010</v>
      </c>
      <c r="BE39" t="s">
        <v>125</v>
      </c>
      <c r="BG39" t="s">
        <v>111</v>
      </c>
      <c r="BH39" t="s">
        <v>413</v>
      </c>
      <c r="BI39">
        <v>0</v>
      </c>
      <c r="BJ39">
        <v>45372</v>
      </c>
      <c r="BK39" t="s">
        <v>125</v>
      </c>
      <c r="BL39" t="s">
        <v>111</v>
      </c>
      <c r="BM39" t="s">
        <v>551</v>
      </c>
      <c r="BN39">
        <v>0</v>
      </c>
      <c r="BO39">
        <v>45734</v>
      </c>
      <c r="BP39" t="s">
        <v>125</v>
      </c>
    </row>
    <row r="40" spans="1:68">
      <c r="A40" t="s">
        <v>111</v>
      </c>
      <c r="B40" t="s">
        <v>413</v>
      </c>
      <c r="C40">
        <v>0</v>
      </c>
      <c r="D40" s="10">
        <v>46099</v>
      </c>
      <c r="E40" t="s">
        <v>125</v>
      </c>
      <c r="G40" s="236" t="str">
        <f t="shared" si="0"/>
        <v xml:space="preserve">HIDROCENTRO </v>
      </c>
      <c r="H40" s="241"/>
      <c r="I40" s="244">
        <f t="shared" si="1"/>
        <v>14.088499999999998</v>
      </c>
      <c r="W40" t="s">
        <v>89</v>
      </c>
      <c r="X40" t="s">
        <v>88</v>
      </c>
      <c r="Y40" s="9">
        <f>65000+65000+390000</f>
        <v>520000</v>
      </c>
      <c r="Z40" s="10">
        <v>43220</v>
      </c>
      <c r="AA40" t="s">
        <v>126</v>
      </c>
      <c r="AC40" t="s">
        <v>16</v>
      </c>
      <c r="AD40" t="s">
        <v>119</v>
      </c>
      <c r="AE40">
        <v>7</v>
      </c>
      <c r="AF40" s="10">
        <v>43578</v>
      </c>
      <c r="AG40" t="s">
        <v>125</v>
      </c>
      <c r="AI40" t="s">
        <v>15</v>
      </c>
      <c r="AJ40" t="s">
        <v>406</v>
      </c>
      <c r="AK40">
        <v>0</v>
      </c>
      <c r="AL40" s="10">
        <v>43922</v>
      </c>
      <c r="AM40" t="s">
        <v>125</v>
      </c>
      <c r="AO40" t="s">
        <v>15</v>
      </c>
      <c r="AP40" t="s">
        <v>450</v>
      </c>
      <c r="AQ40">
        <v>16</v>
      </c>
      <c r="AR40" s="10">
        <v>44285</v>
      </c>
      <c r="AS40" t="s">
        <v>125</v>
      </c>
      <c r="AU40" t="s">
        <v>15</v>
      </c>
      <c r="AV40" t="s">
        <v>413</v>
      </c>
      <c r="AW40">
        <v>0</v>
      </c>
      <c r="AX40" s="10">
        <v>44643</v>
      </c>
      <c r="AY40" t="s">
        <v>125</v>
      </c>
      <c r="BA40" t="s">
        <v>15</v>
      </c>
      <c r="BB40" t="s">
        <v>413</v>
      </c>
      <c r="BC40">
        <v>0</v>
      </c>
      <c r="BD40">
        <v>45010</v>
      </c>
      <c r="BE40" t="s">
        <v>125</v>
      </c>
      <c r="BG40" t="s">
        <v>118</v>
      </c>
      <c r="BH40" t="s">
        <v>413</v>
      </c>
      <c r="BI40">
        <v>0</v>
      </c>
      <c r="BJ40">
        <v>45372</v>
      </c>
      <c r="BK40" t="s">
        <v>125</v>
      </c>
      <c r="BL40" t="s">
        <v>118</v>
      </c>
      <c r="BM40" t="s">
        <v>551</v>
      </c>
      <c r="BN40">
        <v>0</v>
      </c>
      <c r="BO40">
        <v>45734</v>
      </c>
      <c r="BP40" t="s">
        <v>125</v>
      </c>
    </row>
    <row r="41" spans="1:68">
      <c r="A41" t="s">
        <v>118</v>
      </c>
      <c r="B41" t="s">
        <v>413</v>
      </c>
      <c r="C41">
        <v>0</v>
      </c>
      <c r="D41" s="10">
        <v>46099</v>
      </c>
      <c r="E41" t="s">
        <v>125</v>
      </c>
      <c r="G41" s="236" t="str">
        <f t="shared" si="0"/>
        <v>Bombillos normales y Led.</v>
      </c>
      <c r="H41" s="237"/>
      <c r="I41" s="244">
        <f t="shared" si="1"/>
        <v>2.9659999999999997</v>
      </c>
      <c r="W41" t="s">
        <v>91</v>
      </c>
      <c r="X41" t="s">
        <v>92</v>
      </c>
      <c r="Y41" s="9">
        <v>3339.8</v>
      </c>
      <c r="Z41" s="10">
        <v>43220</v>
      </c>
      <c r="AA41" t="s">
        <v>126</v>
      </c>
      <c r="AC41" t="s">
        <v>118</v>
      </c>
      <c r="AD41" t="s">
        <v>347</v>
      </c>
      <c r="AE41" t="str">
        <f>AP86</f>
        <v>impresión de recibos.</v>
      </c>
      <c r="AF41" s="10">
        <v>43578</v>
      </c>
      <c r="AG41" t="s">
        <v>125</v>
      </c>
      <c r="AI41" t="s">
        <v>87</v>
      </c>
      <c r="AJ41" t="s">
        <v>158</v>
      </c>
      <c r="AK41">
        <v>1892000</v>
      </c>
      <c r="AL41" s="10">
        <v>43922</v>
      </c>
      <c r="AM41" t="s">
        <v>125</v>
      </c>
      <c r="AO41" t="s">
        <v>87</v>
      </c>
      <c r="AP41" t="s">
        <v>158</v>
      </c>
      <c r="AQ41">
        <v>42</v>
      </c>
      <c r="AR41" s="10">
        <v>44285</v>
      </c>
      <c r="AS41" t="s">
        <v>125</v>
      </c>
      <c r="AU41" t="s">
        <v>87</v>
      </c>
      <c r="AV41" t="s">
        <v>158</v>
      </c>
      <c r="AW41">
        <v>70</v>
      </c>
      <c r="AX41" s="10">
        <v>44643</v>
      </c>
      <c r="AY41" t="s">
        <v>125</v>
      </c>
      <c r="BA41" t="s">
        <v>87</v>
      </c>
      <c r="BB41" t="s">
        <v>158</v>
      </c>
      <c r="BC41">
        <v>85</v>
      </c>
      <c r="BD41">
        <v>45010</v>
      </c>
      <c r="BE41" t="s">
        <v>125</v>
      </c>
      <c r="BG41" t="s">
        <v>87</v>
      </c>
      <c r="BH41" t="s">
        <v>158</v>
      </c>
      <c r="BI41">
        <v>90</v>
      </c>
      <c r="BJ41">
        <v>45372</v>
      </c>
      <c r="BK41" t="s">
        <v>125</v>
      </c>
      <c r="BL41" t="s">
        <v>87</v>
      </c>
      <c r="BM41" t="s">
        <v>158</v>
      </c>
      <c r="BN41">
        <v>85</v>
      </c>
      <c r="BO41">
        <v>45734</v>
      </c>
      <c r="BP41" t="s">
        <v>125</v>
      </c>
    </row>
    <row r="42" spans="1:68">
      <c r="A42" t="s">
        <v>87</v>
      </c>
      <c r="B42" t="s">
        <v>158</v>
      </c>
      <c r="C42">
        <v>110</v>
      </c>
      <c r="D42" s="10">
        <v>46099</v>
      </c>
      <c r="E42" t="s">
        <v>125</v>
      </c>
      <c r="F42" s="9"/>
      <c r="G42" s="236" t="str">
        <f t="shared" si="0"/>
        <v xml:space="preserve">MANTENIMIENTO ASCENSOR </v>
      </c>
      <c r="H42" s="241"/>
      <c r="I42" s="244">
        <f t="shared" si="1"/>
        <v>5.9319999999999995</v>
      </c>
      <c r="W42" t="s">
        <v>94</v>
      </c>
      <c r="X42" t="s">
        <v>95</v>
      </c>
      <c r="Y42" s="9">
        <v>0</v>
      </c>
      <c r="Z42" s="10">
        <v>43220</v>
      </c>
      <c r="AA42" t="s">
        <v>126</v>
      </c>
      <c r="AC42" t="s">
        <v>81</v>
      </c>
      <c r="AD42" t="s">
        <v>145</v>
      </c>
      <c r="AE42">
        <v>65000</v>
      </c>
      <c r="AF42" s="10">
        <v>43590</v>
      </c>
      <c r="AG42" t="s">
        <v>126</v>
      </c>
      <c r="AI42" t="s">
        <v>16</v>
      </c>
      <c r="AJ42" t="s">
        <v>119</v>
      </c>
      <c r="AK42">
        <v>7</v>
      </c>
      <c r="AL42" s="10">
        <v>43922</v>
      </c>
      <c r="AM42" t="s">
        <v>125</v>
      </c>
      <c r="AO42" t="s">
        <v>16</v>
      </c>
      <c r="AP42" t="s">
        <v>119</v>
      </c>
      <c r="AQ42">
        <v>0</v>
      </c>
      <c r="AR42" s="10">
        <v>44285</v>
      </c>
      <c r="AS42" t="s">
        <v>125</v>
      </c>
      <c r="AU42" t="s">
        <v>16</v>
      </c>
      <c r="AV42" t="s">
        <v>443</v>
      </c>
      <c r="AW42">
        <v>100</v>
      </c>
      <c r="AX42" s="10">
        <v>44643</v>
      </c>
      <c r="AY42" t="s">
        <v>125</v>
      </c>
      <c r="BA42" t="s">
        <v>16</v>
      </c>
      <c r="BB42" t="s">
        <v>480</v>
      </c>
      <c r="BC42">
        <v>100</v>
      </c>
      <c r="BD42">
        <v>45010</v>
      </c>
      <c r="BE42" t="s">
        <v>125</v>
      </c>
      <c r="BG42" t="s">
        <v>16</v>
      </c>
      <c r="BH42" t="s">
        <v>480</v>
      </c>
      <c r="BI42">
        <v>100</v>
      </c>
      <c r="BJ42">
        <v>45372</v>
      </c>
      <c r="BK42" t="s">
        <v>125</v>
      </c>
      <c r="BL42" t="s">
        <v>16</v>
      </c>
      <c r="BM42" t="s">
        <v>480</v>
      </c>
      <c r="BN42">
        <v>100</v>
      </c>
      <c r="BO42">
        <v>45734</v>
      </c>
      <c r="BP42" t="s">
        <v>125</v>
      </c>
    </row>
    <row r="43" spans="1:68">
      <c r="A43" t="s">
        <v>16</v>
      </c>
      <c r="B43" t="s">
        <v>604</v>
      </c>
      <c r="C43">
        <v>150</v>
      </c>
      <c r="D43" s="10">
        <v>46099</v>
      </c>
      <c r="E43" t="s">
        <v>125</v>
      </c>
      <c r="G43" s="236" t="str">
        <f t="shared" si="0"/>
        <v>Mantenimiento portón</v>
      </c>
      <c r="H43" s="237"/>
      <c r="I43" s="244">
        <f t="shared" si="1"/>
        <v>4.4489999999999998</v>
      </c>
      <c r="W43" t="s">
        <v>99</v>
      </c>
      <c r="X43" t="s">
        <v>100</v>
      </c>
      <c r="Y43" s="9">
        <v>6500</v>
      </c>
      <c r="Z43" s="10">
        <v>43220</v>
      </c>
      <c r="AA43" t="s">
        <v>126</v>
      </c>
      <c r="AC43" t="s">
        <v>89</v>
      </c>
      <c r="AD43" t="s">
        <v>153</v>
      </c>
      <c r="AE43">
        <v>3300</v>
      </c>
      <c r="AF43" s="10">
        <v>43590</v>
      </c>
      <c r="AG43" t="s">
        <v>126</v>
      </c>
      <c r="AI43" t="s">
        <v>118</v>
      </c>
      <c r="AJ43" t="s">
        <v>407</v>
      </c>
      <c r="AK43">
        <v>789040</v>
      </c>
      <c r="AL43" s="10">
        <v>43922</v>
      </c>
      <c r="AM43" t="s">
        <v>125</v>
      </c>
      <c r="AO43" t="s">
        <v>118</v>
      </c>
      <c r="AP43" t="s">
        <v>440</v>
      </c>
      <c r="AQ43">
        <v>0</v>
      </c>
      <c r="AR43" s="10">
        <v>44285</v>
      </c>
      <c r="AS43" t="s">
        <v>125</v>
      </c>
      <c r="AU43" t="s">
        <v>118</v>
      </c>
      <c r="AV43" t="s">
        <v>470</v>
      </c>
      <c r="AW43">
        <v>0</v>
      </c>
      <c r="AX43" s="10">
        <v>44643</v>
      </c>
      <c r="AY43" t="s">
        <v>125</v>
      </c>
      <c r="BA43" t="s">
        <v>118</v>
      </c>
      <c r="BB43" t="s">
        <v>413</v>
      </c>
      <c r="BC43">
        <v>0</v>
      </c>
      <c r="BD43">
        <v>45010</v>
      </c>
      <c r="BE43" t="s">
        <v>125</v>
      </c>
      <c r="BG43" t="s">
        <v>15</v>
      </c>
      <c r="BH43" t="s">
        <v>413</v>
      </c>
      <c r="BI43">
        <v>0</v>
      </c>
      <c r="BJ43">
        <v>45372</v>
      </c>
      <c r="BK43" t="s">
        <v>125</v>
      </c>
      <c r="BL43" t="s">
        <v>15</v>
      </c>
      <c r="BM43" t="s">
        <v>413</v>
      </c>
      <c r="BN43">
        <v>0</v>
      </c>
      <c r="BO43">
        <v>45734</v>
      </c>
      <c r="BP43" t="s">
        <v>125</v>
      </c>
    </row>
    <row r="44" spans="1:68">
      <c r="A44" t="s">
        <v>15</v>
      </c>
      <c r="B44" t="s">
        <v>413</v>
      </c>
      <c r="C44">
        <v>0</v>
      </c>
      <c r="D44" s="10">
        <v>46099</v>
      </c>
      <c r="E44" t="s">
        <v>125</v>
      </c>
      <c r="G44" s="236" t="str">
        <f t="shared" si="0"/>
        <v xml:space="preserve">Ajuste por aumento inflacionario </v>
      </c>
      <c r="H44" s="241"/>
      <c r="I44" s="244">
        <f>C39/35</f>
        <v>2</v>
      </c>
      <c r="W44" t="s">
        <v>103</v>
      </c>
      <c r="X44" t="s">
        <v>104</v>
      </c>
      <c r="Y44" s="9"/>
      <c r="Z44" s="10">
        <v>43220</v>
      </c>
      <c r="AA44" t="s">
        <v>126</v>
      </c>
      <c r="AC44" t="s">
        <v>91</v>
      </c>
      <c r="AD44" t="s">
        <v>92</v>
      </c>
      <c r="AE44">
        <v>205.58</v>
      </c>
      <c r="AF44" s="10">
        <v>43590</v>
      </c>
      <c r="AG44" t="s">
        <v>126</v>
      </c>
      <c r="AI44" t="s">
        <v>194</v>
      </c>
      <c r="AJ44" t="s">
        <v>396</v>
      </c>
      <c r="AK44">
        <v>80000</v>
      </c>
      <c r="AL44" s="10">
        <v>43922</v>
      </c>
      <c r="AM44" t="s">
        <v>125</v>
      </c>
      <c r="AO44" t="s">
        <v>194</v>
      </c>
      <c r="AP44" t="s">
        <v>396</v>
      </c>
      <c r="AQ44">
        <v>0.5</v>
      </c>
      <c r="AR44" s="10">
        <v>44285</v>
      </c>
      <c r="AS44" t="s">
        <v>125</v>
      </c>
      <c r="AU44" t="s">
        <v>194</v>
      </c>
      <c r="AV44" t="s">
        <v>396</v>
      </c>
      <c r="AW44">
        <v>0.5</v>
      </c>
      <c r="AX44" s="10">
        <v>44643</v>
      </c>
      <c r="AY44" t="s">
        <v>125</v>
      </c>
      <c r="BA44" t="s">
        <v>194</v>
      </c>
      <c r="BB44" t="s">
        <v>396</v>
      </c>
      <c r="BC44">
        <v>2</v>
      </c>
      <c r="BD44">
        <v>45010</v>
      </c>
      <c r="BE44" t="s">
        <v>125</v>
      </c>
      <c r="BG44" t="s">
        <v>194</v>
      </c>
      <c r="BH44" t="s">
        <v>396</v>
      </c>
      <c r="BI44">
        <v>2</v>
      </c>
      <c r="BJ44">
        <v>45372</v>
      </c>
      <c r="BK44" t="s">
        <v>125</v>
      </c>
      <c r="BL44" t="s">
        <v>194</v>
      </c>
      <c r="BM44" t="s">
        <v>396</v>
      </c>
      <c r="BN44">
        <v>2</v>
      </c>
      <c r="BO44">
        <v>45734</v>
      </c>
      <c r="BP44" t="s">
        <v>125</v>
      </c>
    </row>
    <row r="45" spans="1:68">
      <c r="A45" t="s">
        <v>194</v>
      </c>
      <c r="B45" t="s">
        <v>396</v>
      </c>
      <c r="C45">
        <v>2</v>
      </c>
      <c r="D45" s="10">
        <v>46099</v>
      </c>
      <c r="E45" t="s">
        <v>125</v>
      </c>
      <c r="G45" s="236" t="str">
        <f t="shared" si="0"/>
        <v>Otros</v>
      </c>
      <c r="H45" s="237"/>
      <c r="I45" s="244">
        <f t="shared" si="1"/>
        <v>0</v>
      </c>
      <c r="W45" t="s">
        <v>107</v>
      </c>
      <c r="X45" t="s">
        <v>108</v>
      </c>
      <c r="Y45" s="9"/>
      <c r="Z45" s="10">
        <v>43220</v>
      </c>
      <c r="AA45" t="s">
        <v>126</v>
      </c>
      <c r="AC45" t="s">
        <v>94</v>
      </c>
      <c r="AD45" t="s">
        <v>95</v>
      </c>
      <c r="AE45">
        <v>7714</v>
      </c>
      <c r="AF45" s="10">
        <v>43590</v>
      </c>
      <c r="AG45" t="s">
        <v>126</v>
      </c>
      <c r="AI45" t="s">
        <v>81</v>
      </c>
      <c r="AJ45" t="s">
        <v>145</v>
      </c>
      <c r="AK45">
        <v>0</v>
      </c>
      <c r="AL45" s="10">
        <v>43952</v>
      </c>
      <c r="AM45" t="s">
        <v>126</v>
      </c>
      <c r="AO45" t="s">
        <v>81</v>
      </c>
      <c r="AP45" t="s">
        <v>426</v>
      </c>
      <c r="AQ45">
        <v>10</v>
      </c>
      <c r="AR45" s="10">
        <v>44312</v>
      </c>
      <c r="AS45" t="s">
        <v>126</v>
      </c>
      <c r="AU45" t="s">
        <v>81</v>
      </c>
      <c r="AV45" t="s">
        <v>426</v>
      </c>
      <c r="AW45">
        <v>60</v>
      </c>
      <c r="AX45" s="10">
        <v>44674</v>
      </c>
      <c r="AY45" t="s">
        <v>126</v>
      </c>
      <c r="BA45" t="s">
        <v>81</v>
      </c>
      <c r="BB45" t="s">
        <v>426</v>
      </c>
      <c r="BC45">
        <v>120</v>
      </c>
      <c r="BD45">
        <v>45040</v>
      </c>
      <c r="BE45" t="s">
        <v>126</v>
      </c>
      <c r="BG45" t="s">
        <v>81</v>
      </c>
      <c r="BH45" t="s">
        <v>426</v>
      </c>
      <c r="BI45">
        <v>120</v>
      </c>
      <c r="BJ45">
        <v>45403</v>
      </c>
      <c r="BK45" t="s">
        <v>126</v>
      </c>
      <c r="BL45" t="s">
        <v>81</v>
      </c>
      <c r="BM45" t="s">
        <v>426</v>
      </c>
      <c r="BN45">
        <v>120</v>
      </c>
      <c r="BO45">
        <v>45765</v>
      </c>
      <c r="BP45" t="s">
        <v>126</v>
      </c>
    </row>
    <row r="46" spans="1:68">
      <c r="A46" t="s">
        <v>81</v>
      </c>
      <c r="B46" t="s">
        <v>426</v>
      </c>
      <c r="C46">
        <v>180</v>
      </c>
      <c r="D46" s="10">
        <v>46128</v>
      </c>
      <c r="E46" t="s">
        <v>126</v>
      </c>
      <c r="G46" s="236" t="str">
        <f t="shared" si="0"/>
        <v>Otros</v>
      </c>
      <c r="H46" s="241"/>
      <c r="I46" s="244">
        <f t="shared" si="1"/>
        <v>0</v>
      </c>
      <c r="W46" t="s">
        <v>14</v>
      </c>
      <c r="X46" t="s">
        <v>131</v>
      </c>
      <c r="Y46" s="9">
        <f>20000</f>
        <v>20000</v>
      </c>
      <c r="Z46" s="10">
        <v>43220</v>
      </c>
      <c r="AA46" t="s">
        <v>126</v>
      </c>
      <c r="AC46" t="s">
        <v>99</v>
      </c>
      <c r="AD46" t="s">
        <v>100</v>
      </c>
      <c r="AE46">
        <v>4000</v>
      </c>
      <c r="AF46" s="10">
        <v>43590</v>
      </c>
      <c r="AG46" t="s">
        <v>126</v>
      </c>
      <c r="AI46" t="s">
        <v>89</v>
      </c>
      <c r="AJ46" t="s">
        <v>406</v>
      </c>
      <c r="AK46">
        <v>0</v>
      </c>
      <c r="AL46" s="10">
        <v>43952</v>
      </c>
      <c r="AM46" t="s">
        <v>126</v>
      </c>
      <c r="AO46" t="s">
        <v>89</v>
      </c>
      <c r="AP46" t="s">
        <v>445</v>
      </c>
      <c r="AQ46">
        <v>5</v>
      </c>
      <c r="AR46" s="10">
        <v>44312</v>
      </c>
      <c r="AS46" t="s">
        <v>126</v>
      </c>
      <c r="AU46" t="s">
        <v>89</v>
      </c>
      <c r="AV46" t="s">
        <v>435</v>
      </c>
      <c r="AW46">
        <v>6</v>
      </c>
      <c r="AX46" s="10">
        <v>44674</v>
      </c>
      <c r="AY46" t="s">
        <v>126</v>
      </c>
      <c r="BA46" t="s">
        <v>89</v>
      </c>
      <c r="BB46" t="s">
        <v>435</v>
      </c>
      <c r="BC46">
        <v>9</v>
      </c>
      <c r="BD46">
        <v>45040</v>
      </c>
      <c r="BE46" t="s">
        <v>126</v>
      </c>
      <c r="BG46" t="s">
        <v>89</v>
      </c>
      <c r="BH46" t="s">
        <v>435</v>
      </c>
      <c r="BI46">
        <v>8</v>
      </c>
      <c r="BJ46">
        <v>45403</v>
      </c>
      <c r="BK46" t="s">
        <v>126</v>
      </c>
      <c r="BL46" t="s">
        <v>89</v>
      </c>
      <c r="BM46" t="s">
        <v>435</v>
      </c>
      <c r="BN46">
        <v>9</v>
      </c>
      <c r="BO46">
        <v>45765</v>
      </c>
      <c r="BP46" t="s">
        <v>126</v>
      </c>
    </row>
    <row r="47" spans="1:68">
      <c r="A47" t="s">
        <v>89</v>
      </c>
      <c r="B47" t="s">
        <v>435</v>
      </c>
      <c r="C47">
        <v>15</v>
      </c>
      <c r="D47" s="10">
        <v>46128</v>
      </c>
      <c r="E47" t="s">
        <v>126</v>
      </c>
      <c r="G47" s="236" t="str">
        <f t="shared" si="0"/>
        <v>Productos de limpieza</v>
      </c>
      <c r="H47" s="237"/>
      <c r="I47" s="244">
        <f t="shared" si="1"/>
        <v>16.312999999999999</v>
      </c>
      <c r="W47" t="s">
        <v>111</v>
      </c>
      <c r="X47" t="s">
        <v>112</v>
      </c>
      <c r="Y47" s="9">
        <f>165000+95000+280000+125000+180000+120000+240000+100000</f>
        <v>1305000</v>
      </c>
      <c r="Z47" s="10">
        <v>43220</v>
      </c>
      <c r="AA47" t="s">
        <v>126</v>
      </c>
      <c r="AC47" t="s">
        <v>103</v>
      </c>
      <c r="AD47" t="s">
        <v>104</v>
      </c>
      <c r="AE47">
        <v>150000</v>
      </c>
      <c r="AF47" s="10">
        <v>43590</v>
      </c>
      <c r="AG47" t="s">
        <v>126</v>
      </c>
      <c r="AI47" t="s">
        <v>91</v>
      </c>
      <c r="AJ47" t="s">
        <v>92</v>
      </c>
      <c r="AK47">
        <v>202070.2</v>
      </c>
      <c r="AL47" s="10">
        <v>43952</v>
      </c>
      <c r="AM47" t="s">
        <v>126</v>
      </c>
      <c r="AO47" t="s">
        <v>91</v>
      </c>
      <c r="AP47" t="s">
        <v>92</v>
      </c>
      <c r="AQ47">
        <v>43</v>
      </c>
      <c r="AR47" s="10">
        <v>44312</v>
      </c>
      <c r="AS47" t="s">
        <v>126</v>
      </c>
      <c r="AU47" t="s">
        <v>91</v>
      </c>
      <c r="AV47" t="s">
        <v>92</v>
      </c>
      <c r="AW47">
        <v>40</v>
      </c>
      <c r="AX47" s="10">
        <v>44674</v>
      </c>
      <c r="AY47" t="s">
        <v>126</v>
      </c>
      <c r="BA47" t="s">
        <v>91</v>
      </c>
      <c r="BB47" t="s">
        <v>92</v>
      </c>
      <c r="BC47">
        <v>50</v>
      </c>
      <c r="BD47">
        <v>45040</v>
      </c>
      <c r="BE47" t="s">
        <v>126</v>
      </c>
      <c r="BG47" t="s">
        <v>91</v>
      </c>
      <c r="BH47" t="s">
        <v>532</v>
      </c>
      <c r="BI47">
        <v>138</v>
      </c>
      <c r="BJ47">
        <v>45403</v>
      </c>
      <c r="BK47" t="s">
        <v>126</v>
      </c>
      <c r="BL47" t="s">
        <v>91</v>
      </c>
      <c r="BM47" t="s">
        <v>569</v>
      </c>
      <c r="BN47">
        <v>170</v>
      </c>
      <c r="BO47">
        <v>45765</v>
      </c>
      <c r="BP47" t="s">
        <v>126</v>
      </c>
    </row>
    <row r="48" spans="1:68">
      <c r="A48" t="s">
        <v>91</v>
      </c>
      <c r="B48" t="s">
        <v>610</v>
      </c>
      <c r="C48">
        <v>190</v>
      </c>
      <c r="D48" s="10">
        <v>46128</v>
      </c>
      <c r="E48" t="s">
        <v>126</v>
      </c>
      <c r="G48" s="236" t="str">
        <f t="shared" si="0"/>
        <v xml:space="preserve">Administración 150 $ </v>
      </c>
      <c r="H48" s="241"/>
      <c r="I48" s="244">
        <f>C43/35</f>
        <v>4.2857142857142856</v>
      </c>
      <c r="W48" t="s">
        <v>15</v>
      </c>
      <c r="X48" t="s">
        <v>114</v>
      </c>
      <c r="Y48" s="9"/>
      <c r="Z48" s="10">
        <v>43220</v>
      </c>
      <c r="AA48" t="s">
        <v>126</v>
      </c>
      <c r="AC48" t="s">
        <v>107</v>
      </c>
      <c r="AD48" t="s">
        <v>355</v>
      </c>
      <c r="AE48">
        <v>80000</v>
      </c>
      <c r="AF48" s="10">
        <v>43590</v>
      </c>
      <c r="AG48" t="s">
        <v>126</v>
      </c>
      <c r="AI48" t="s">
        <v>94</v>
      </c>
      <c r="AJ48" t="s">
        <v>95</v>
      </c>
      <c r="AK48">
        <v>76140</v>
      </c>
      <c r="AL48" s="10">
        <v>43952</v>
      </c>
      <c r="AM48" t="s">
        <v>126</v>
      </c>
      <c r="AO48" t="s">
        <v>94</v>
      </c>
      <c r="AP48" t="s">
        <v>95</v>
      </c>
      <c r="AQ48">
        <v>3</v>
      </c>
      <c r="AR48" s="10">
        <v>44312</v>
      </c>
      <c r="AS48" t="s">
        <v>126</v>
      </c>
      <c r="AU48" t="s">
        <v>94</v>
      </c>
      <c r="AV48" t="s">
        <v>95</v>
      </c>
      <c r="AW48">
        <v>0</v>
      </c>
      <c r="AX48" s="10">
        <v>44674</v>
      </c>
      <c r="AY48" t="s">
        <v>126</v>
      </c>
      <c r="BA48" t="s">
        <v>94</v>
      </c>
      <c r="BB48" t="s">
        <v>95</v>
      </c>
      <c r="BC48">
        <v>0</v>
      </c>
      <c r="BD48">
        <v>45040</v>
      </c>
      <c r="BE48" t="s">
        <v>126</v>
      </c>
      <c r="BG48" t="s">
        <v>94</v>
      </c>
      <c r="BH48" t="s">
        <v>531</v>
      </c>
      <c r="BI48">
        <v>75</v>
      </c>
      <c r="BJ48">
        <v>45403</v>
      </c>
      <c r="BK48" t="s">
        <v>126</v>
      </c>
      <c r="BL48" t="s">
        <v>94</v>
      </c>
      <c r="BM48" t="s">
        <v>542</v>
      </c>
      <c r="BN48">
        <v>85</v>
      </c>
      <c r="BO48">
        <v>45765</v>
      </c>
      <c r="BP48" t="s">
        <v>126</v>
      </c>
    </row>
    <row r="49" spans="1:68">
      <c r="A49" t="s">
        <v>94</v>
      </c>
      <c r="B49" t="s">
        <v>542</v>
      </c>
      <c r="C49">
        <v>95</v>
      </c>
      <c r="D49" s="10">
        <v>46128</v>
      </c>
      <c r="E49" t="s">
        <v>126</v>
      </c>
      <c r="G49" s="236" t="str">
        <f t="shared" si="0"/>
        <v>Otros</v>
      </c>
      <c r="H49" s="237"/>
      <c r="I49" s="244">
        <f t="shared" si="1"/>
        <v>0</v>
      </c>
      <c r="W49" t="s">
        <v>87</v>
      </c>
      <c r="X49" t="s">
        <v>132</v>
      </c>
      <c r="Y49" s="9">
        <v>160476.8705022831</v>
      </c>
      <c r="Z49" s="10">
        <v>43220</v>
      </c>
      <c r="AA49" t="s">
        <v>126</v>
      </c>
      <c r="AC49" t="s">
        <v>14</v>
      </c>
      <c r="AD49" t="s">
        <v>131</v>
      </c>
      <c r="AE49">
        <v>2000</v>
      </c>
      <c r="AF49" s="10">
        <v>43590</v>
      </c>
      <c r="AG49" t="s">
        <v>126</v>
      </c>
      <c r="AI49" t="s">
        <v>99</v>
      </c>
      <c r="AJ49" t="s">
        <v>390</v>
      </c>
      <c r="AK49">
        <v>582000</v>
      </c>
      <c r="AL49" s="10">
        <v>43952</v>
      </c>
      <c r="AM49" t="s">
        <v>126</v>
      </c>
      <c r="AO49" t="s">
        <v>99</v>
      </c>
      <c r="AP49" t="s">
        <v>448</v>
      </c>
      <c r="AQ49">
        <v>10</v>
      </c>
      <c r="AR49" s="10">
        <v>44312</v>
      </c>
      <c r="AS49" t="s">
        <v>126</v>
      </c>
      <c r="AU49" t="s">
        <v>99</v>
      </c>
      <c r="AV49" t="s">
        <v>448</v>
      </c>
      <c r="AW49">
        <v>0</v>
      </c>
      <c r="AX49" s="10">
        <v>44674</v>
      </c>
      <c r="AY49" t="s">
        <v>126</v>
      </c>
      <c r="BA49" t="s">
        <v>99</v>
      </c>
      <c r="BB49" t="s">
        <v>448</v>
      </c>
      <c r="BC49">
        <v>5</v>
      </c>
      <c r="BD49">
        <v>45040</v>
      </c>
      <c r="BE49" t="s">
        <v>126</v>
      </c>
      <c r="BG49" t="s">
        <v>99</v>
      </c>
      <c r="BH49" t="s">
        <v>448</v>
      </c>
      <c r="BI49">
        <v>10</v>
      </c>
      <c r="BJ49">
        <v>45403</v>
      </c>
      <c r="BK49" t="s">
        <v>126</v>
      </c>
      <c r="BL49" t="s">
        <v>99</v>
      </c>
      <c r="BM49" t="s">
        <v>448</v>
      </c>
      <c r="BN49">
        <v>15</v>
      </c>
      <c r="BO49">
        <v>45765</v>
      </c>
      <c r="BP49" t="s">
        <v>126</v>
      </c>
    </row>
    <row r="50" spans="1:68" ht="15.75" thickBot="1">
      <c r="A50" t="s">
        <v>99</v>
      </c>
      <c r="B50" t="s">
        <v>448</v>
      </c>
      <c r="C50">
        <v>20</v>
      </c>
      <c r="D50" s="10">
        <v>46128</v>
      </c>
      <c r="E50" t="s">
        <v>126</v>
      </c>
      <c r="G50" s="238" t="str">
        <f t="shared" si="0"/>
        <v>impresión de recibos.</v>
      </c>
      <c r="H50" s="242"/>
      <c r="I50" s="245">
        <v>0</v>
      </c>
      <c r="W50" t="s">
        <v>16</v>
      </c>
      <c r="X50" t="s">
        <v>119</v>
      </c>
      <c r="Y50" s="9">
        <v>700000</v>
      </c>
      <c r="Z50" s="10">
        <v>43220</v>
      </c>
      <c r="AA50" t="s">
        <v>126</v>
      </c>
      <c r="AC50" t="s">
        <v>111</v>
      </c>
      <c r="AD50" t="s">
        <v>354</v>
      </c>
      <c r="AE50" t="e">
        <f>50*AJ28</f>
        <v>#VALUE!</v>
      </c>
      <c r="AF50" s="10">
        <v>43590</v>
      </c>
      <c r="AG50" t="s">
        <v>126</v>
      </c>
      <c r="AI50" t="s">
        <v>103</v>
      </c>
      <c r="AJ50" t="s">
        <v>379</v>
      </c>
      <c r="AK50">
        <v>1780000</v>
      </c>
      <c r="AL50" s="10">
        <v>43952</v>
      </c>
      <c r="AM50" t="s">
        <v>126</v>
      </c>
      <c r="AO50" t="s">
        <v>103</v>
      </c>
      <c r="AP50" t="s">
        <v>444</v>
      </c>
      <c r="AQ50">
        <v>30</v>
      </c>
      <c r="AR50" s="10">
        <v>44312</v>
      </c>
      <c r="AS50" t="s">
        <v>126</v>
      </c>
      <c r="AU50" t="s">
        <v>103</v>
      </c>
      <c r="AV50" t="s">
        <v>444</v>
      </c>
      <c r="AW50">
        <v>35</v>
      </c>
      <c r="AX50" s="10">
        <v>44674</v>
      </c>
      <c r="AY50" t="s">
        <v>126</v>
      </c>
      <c r="BA50" t="s">
        <v>103</v>
      </c>
      <c r="BB50" t="s">
        <v>444</v>
      </c>
      <c r="BC50">
        <v>35</v>
      </c>
      <c r="BD50">
        <v>45040</v>
      </c>
      <c r="BE50" t="s">
        <v>126</v>
      </c>
      <c r="BG50" t="s">
        <v>103</v>
      </c>
      <c r="BH50" t="s">
        <v>444</v>
      </c>
      <c r="BI50">
        <v>35</v>
      </c>
      <c r="BJ50">
        <v>45403</v>
      </c>
      <c r="BK50" t="s">
        <v>126</v>
      </c>
      <c r="BL50" t="s">
        <v>103</v>
      </c>
      <c r="BM50" t="s">
        <v>444</v>
      </c>
      <c r="BN50">
        <v>35</v>
      </c>
      <c r="BO50">
        <v>45765</v>
      </c>
      <c r="BP50" t="s">
        <v>126</v>
      </c>
    </row>
    <row r="51" spans="1:68">
      <c r="A51" t="s">
        <v>103</v>
      </c>
      <c r="B51" t="s">
        <v>574</v>
      </c>
      <c r="C51">
        <v>40</v>
      </c>
      <c r="D51" s="10">
        <v>46128</v>
      </c>
      <c r="E51" t="s">
        <v>126</v>
      </c>
      <c r="G51" s="236"/>
      <c r="I51" s="237"/>
      <c r="W51" t="s">
        <v>118</v>
      </c>
      <c r="X51" t="s">
        <v>133</v>
      </c>
      <c r="Y51" s="9">
        <f>N57</f>
        <v>0</v>
      </c>
      <c r="Z51" s="10">
        <v>43220</v>
      </c>
      <c r="AA51" t="s">
        <v>126</v>
      </c>
      <c r="AC51" t="s">
        <v>15</v>
      </c>
      <c r="AD51" t="s">
        <v>338</v>
      </c>
      <c r="AE51">
        <v>57150</v>
      </c>
      <c r="AF51" s="10">
        <v>43590</v>
      </c>
      <c r="AG51" t="s">
        <v>126</v>
      </c>
      <c r="AI51" t="s">
        <v>107</v>
      </c>
      <c r="AJ51" t="s">
        <v>408</v>
      </c>
      <c r="AK51">
        <v>800000</v>
      </c>
      <c r="AL51" s="10">
        <v>43952</v>
      </c>
      <c r="AM51" t="s">
        <v>126</v>
      </c>
      <c r="AO51" t="s">
        <v>107</v>
      </c>
      <c r="AP51" t="s">
        <v>451</v>
      </c>
      <c r="AQ51">
        <v>12</v>
      </c>
      <c r="AR51" s="10">
        <v>44312</v>
      </c>
      <c r="AS51" t="s">
        <v>126</v>
      </c>
      <c r="AU51" t="s">
        <v>107</v>
      </c>
      <c r="AV51" t="s">
        <v>475</v>
      </c>
      <c r="AW51">
        <v>25</v>
      </c>
      <c r="AX51" s="10">
        <v>44674</v>
      </c>
      <c r="AY51" t="s">
        <v>126</v>
      </c>
      <c r="BA51" t="s">
        <v>107</v>
      </c>
      <c r="BB51" t="s">
        <v>413</v>
      </c>
      <c r="BC51">
        <v>0</v>
      </c>
      <c r="BD51">
        <v>45040</v>
      </c>
      <c r="BE51" t="s">
        <v>126</v>
      </c>
      <c r="BG51" t="s">
        <v>107</v>
      </c>
      <c r="BH51" t="s">
        <v>413</v>
      </c>
      <c r="BI51">
        <v>0</v>
      </c>
      <c r="BJ51">
        <v>45403</v>
      </c>
      <c r="BK51" t="s">
        <v>126</v>
      </c>
      <c r="BL51" t="s">
        <v>107</v>
      </c>
      <c r="BM51" t="s">
        <v>572</v>
      </c>
      <c r="BN51">
        <v>55</v>
      </c>
      <c r="BO51">
        <v>45765</v>
      </c>
      <c r="BP51" t="s">
        <v>126</v>
      </c>
    </row>
    <row r="52" spans="1:68">
      <c r="A52" t="s">
        <v>107</v>
      </c>
      <c r="B52" t="s">
        <v>413</v>
      </c>
      <c r="C52">
        <v>0</v>
      </c>
      <c r="D52" s="10">
        <v>46128</v>
      </c>
      <c r="E52" t="s">
        <v>126</v>
      </c>
      <c r="G52" s="236"/>
      <c r="H52" s="10"/>
      <c r="I52" s="237"/>
      <c r="W52" t="s">
        <v>81</v>
      </c>
      <c r="X52" t="s">
        <v>84</v>
      </c>
      <c r="Y52" s="9">
        <v>2555000</v>
      </c>
      <c r="Z52" s="10">
        <v>43250</v>
      </c>
      <c r="AA52" t="s">
        <v>127</v>
      </c>
      <c r="AC52" t="s">
        <v>87</v>
      </c>
      <c r="AD52" t="s">
        <v>158</v>
      </c>
      <c r="AE52">
        <v>26600</v>
      </c>
      <c r="AF52" s="10">
        <v>43590</v>
      </c>
      <c r="AG52" t="s">
        <v>126</v>
      </c>
      <c r="AI52" t="s">
        <v>14</v>
      </c>
      <c r="AJ52" t="s">
        <v>131</v>
      </c>
      <c r="AK52">
        <v>0</v>
      </c>
      <c r="AL52" s="10">
        <v>43952</v>
      </c>
      <c r="AM52" t="s">
        <v>126</v>
      </c>
      <c r="AO52" t="s">
        <v>195</v>
      </c>
      <c r="AP52" t="s">
        <v>413</v>
      </c>
      <c r="AQ52">
        <v>0</v>
      </c>
      <c r="AR52" s="10">
        <v>44312</v>
      </c>
      <c r="AS52" t="s">
        <v>126</v>
      </c>
      <c r="AU52" t="s">
        <v>14</v>
      </c>
      <c r="AV52" t="s">
        <v>413</v>
      </c>
      <c r="AW52">
        <v>0</v>
      </c>
      <c r="AX52" s="10">
        <v>44674</v>
      </c>
      <c r="AY52" t="s">
        <v>126</v>
      </c>
      <c r="BA52" t="s">
        <v>14</v>
      </c>
      <c r="BB52" t="s">
        <v>503</v>
      </c>
      <c r="BC52">
        <v>70</v>
      </c>
      <c r="BD52">
        <v>45040</v>
      </c>
      <c r="BE52" t="s">
        <v>126</v>
      </c>
      <c r="BG52" t="s">
        <v>14</v>
      </c>
      <c r="BH52" t="s">
        <v>503</v>
      </c>
      <c r="BI52">
        <v>70</v>
      </c>
      <c r="BJ52">
        <v>45403</v>
      </c>
      <c r="BK52" t="s">
        <v>126</v>
      </c>
      <c r="BL52" t="s">
        <v>14</v>
      </c>
      <c r="BM52" t="s">
        <v>503</v>
      </c>
      <c r="BN52">
        <v>70</v>
      </c>
      <c r="BO52">
        <v>45765</v>
      </c>
      <c r="BP52" t="s">
        <v>126</v>
      </c>
    </row>
    <row r="53" spans="1:68" ht="15.75" thickBot="1">
      <c r="A53" t="s">
        <v>14</v>
      </c>
      <c r="B53" t="s">
        <v>503</v>
      </c>
      <c r="C53">
        <v>70</v>
      </c>
      <c r="D53" s="10">
        <v>46128</v>
      </c>
      <c r="E53" t="s">
        <v>126</v>
      </c>
      <c r="G53" s="238"/>
      <c r="H53" s="239"/>
      <c r="I53" s="240">
        <f>SUM(I37:I52)</f>
        <v>107.12971428571429</v>
      </c>
      <c r="W53" t="s">
        <v>89</v>
      </c>
      <c r="X53" t="s">
        <v>88</v>
      </c>
      <c r="Y53" s="9">
        <v>2540000</v>
      </c>
      <c r="Z53" s="10">
        <v>43250</v>
      </c>
      <c r="AA53" t="s">
        <v>127</v>
      </c>
      <c r="AC53" t="s">
        <v>16</v>
      </c>
      <c r="AD53" t="s">
        <v>119</v>
      </c>
      <c r="AE53">
        <v>7</v>
      </c>
      <c r="AF53" s="10">
        <v>43590</v>
      </c>
      <c r="AG53" t="s">
        <v>126</v>
      </c>
      <c r="AI53" t="s">
        <v>111</v>
      </c>
      <c r="AJ53" t="s">
        <v>404</v>
      </c>
      <c r="AK53">
        <v>8825000</v>
      </c>
      <c r="AL53" s="10">
        <v>43952</v>
      </c>
      <c r="AM53" t="s">
        <v>126</v>
      </c>
      <c r="AO53" t="s">
        <v>111</v>
      </c>
      <c r="AP53" t="s">
        <v>443</v>
      </c>
      <c r="AQ53">
        <v>50</v>
      </c>
      <c r="AR53" s="10">
        <v>44312</v>
      </c>
      <c r="AS53" t="s">
        <v>126</v>
      </c>
      <c r="AU53" t="s">
        <v>111</v>
      </c>
      <c r="AV53" t="s">
        <v>413</v>
      </c>
      <c r="AW53">
        <v>0</v>
      </c>
      <c r="AX53" s="10">
        <v>44674</v>
      </c>
      <c r="AY53" t="s">
        <v>126</v>
      </c>
      <c r="BA53" t="s">
        <v>111</v>
      </c>
      <c r="BB53" t="s">
        <v>413</v>
      </c>
      <c r="BC53">
        <v>0</v>
      </c>
      <c r="BD53">
        <v>45040</v>
      </c>
      <c r="BE53" t="s">
        <v>126</v>
      </c>
      <c r="BG53" t="s">
        <v>111</v>
      </c>
      <c r="BH53" t="s">
        <v>413</v>
      </c>
      <c r="BI53">
        <v>0</v>
      </c>
      <c r="BJ53">
        <v>45403</v>
      </c>
      <c r="BK53" t="s">
        <v>126</v>
      </c>
      <c r="BL53" t="s">
        <v>111</v>
      </c>
      <c r="BM53" t="s">
        <v>573</v>
      </c>
      <c r="BN53">
        <v>35</v>
      </c>
      <c r="BO53">
        <v>45765</v>
      </c>
      <c r="BP53" t="s">
        <v>126</v>
      </c>
    </row>
    <row r="54" spans="1:68">
      <c r="A54" t="s">
        <v>111</v>
      </c>
      <c r="B54" t="s">
        <v>413</v>
      </c>
      <c r="C54">
        <v>0</v>
      </c>
      <c r="D54" s="10">
        <v>46128</v>
      </c>
      <c r="E54" t="s">
        <v>126</v>
      </c>
      <c r="H54" s="10"/>
      <c r="W54" t="s">
        <v>91</v>
      </c>
      <c r="X54" t="s">
        <v>92</v>
      </c>
      <c r="Y54" s="9">
        <v>3175.18</v>
      </c>
      <c r="Z54" s="10">
        <v>43250</v>
      </c>
      <c r="AA54" t="s">
        <v>127</v>
      </c>
      <c r="AC54" t="s">
        <v>118</v>
      </c>
      <c r="AD54" t="s">
        <v>356</v>
      </c>
      <c r="AE54" s="188" t="str">
        <f>AM31</f>
        <v>MARZO</v>
      </c>
      <c r="AF54" s="10">
        <v>43590</v>
      </c>
      <c r="AG54" t="s">
        <v>126</v>
      </c>
      <c r="AI54" t="s">
        <v>15</v>
      </c>
      <c r="AJ54" t="s">
        <v>406</v>
      </c>
      <c r="AK54">
        <v>1550000</v>
      </c>
      <c r="AL54" s="10">
        <v>43952</v>
      </c>
      <c r="AM54" t="s">
        <v>126</v>
      </c>
      <c r="AO54" t="s">
        <v>15</v>
      </c>
      <c r="AP54" t="s">
        <v>452</v>
      </c>
      <c r="AQ54">
        <v>24</v>
      </c>
      <c r="AR54" s="10">
        <v>44312</v>
      </c>
      <c r="AS54" t="s">
        <v>126</v>
      </c>
      <c r="AU54" t="s">
        <v>15</v>
      </c>
      <c r="AV54" t="s">
        <v>413</v>
      </c>
      <c r="AW54">
        <v>0</v>
      </c>
      <c r="AX54" s="10">
        <v>44674</v>
      </c>
      <c r="AY54" t="s">
        <v>126</v>
      </c>
      <c r="BA54" t="s">
        <v>15</v>
      </c>
      <c r="BB54" t="s">
        <v>413</v>
      </c>
      <c r="BC54">
        <v>0</v>
      </c>
      <c r="BD54">
        <v>45040</v>
      </c>
      <c r="BE54" t="s">
        <v>126</v>
      </c>
      <c r="BG54" t="s">
        <v>118</v>
      </c>
      <c r="BH54" t="s">
        <v>413</v>
      </c>
      <c r="BI54">
        <v>0</v>
      </c>
      <c r="BJ54">
        <v>45403</v>
      </c>
      <c r="BK54" t="s">
        <v>126</v>
      </c>
      <c r="BL54" t="s">
        <v>118</v>
      </c>
      <c r="BM54" t="s">
        <v>551</v>
      </c>
      <c r="BN54">
        <v>0</v>
      </c>
      <c r="BO54">
        <v>45765</v>
      </c>
      <c r="BP54" t="s">
        <v>126</v>
      </c>
    </row>
    <row r="55" spans="1:68">
      <c r="A55" t="s">
        <v>118</v>
      </c>
      <c r="B55" t="s">
        <v>413</v>
      </c>
      <c r="C55">
        <v>0</v>
      </c>
      <c r="D55" s="10">
        <v>46128</v>
      </c>
      <c r="E55" t="s">
        <v>126</v>
      </c>
      <c r="H55" s="9"/>
      <c r="W55" t="s">
        <v>94</v>
      </c>
      <c r="X55" t="s">
        <v>95</v>
      </c>
      <c r="Y55" s="9">
        <v>35738</v>
      </c>
      <c r="Z55" s="10">
        <v>43250</v>
      </c>
      <c r="AA55" t="s">
        <v>127</v>
      </c>
      <c r="AC55" t="s">
        <v>81</v>
      </c>
      <c r="AD55" t="s">
        <v>145</v>
      </c>
      <c r="AE55">
        <v>65000</v>
      </c>
      <c r="AF55" s="10">
        <v>43619</v>
      </c>
      <c r="AG55" t="s">
        <v>127</v>
      </c>
      <c r="AI55" t="s">
        <v>87</v>
      </c>
      <c r="AJ55" t="s">
        <v>158</v>
      </c>
      <c r="AK55">
        <v>2412000</v>
      </c>
      <c r="AL55" s="10">
        <v>43952</v>
      </c>
      <c r="AM55" t="s">
        <v>126</v>
      </c>
      <c r="AO55" t="s">
        <v>87</v>
      </c>
      <c r="AP55" t="s">
        <v>158</v>
      </c>
      <c r="AQ55">
        <v>48</v>
      </c>
      <c r="AR55" s="10">
        <v>44312</v>
      </c>
      <c r="AS55" t="s">
        <v>126</v>
      </c>
      <c r="AU55" t="s">
        <v>87</v>
      </c>
      <c r="AV55" t="s">
        <v>158</v>
      </c>
      <c r="AW55">
        <v>65</v>
      </c>
      <c r="AX55" s="10">
        <v>44674</v>
      </c>
      <c r="AY55" t="s">
        <v>126</v>
      </c>
      <c r="BA55" t="s">
        <v>87</v>
      </c>
      <c r="BB55" t="s">
        <v>158</v>
      </c>
      <c r="BC55">
        <v>90</v>
      </c>
      <c r="BD55">
        <v>45040</v>
      </c>
      <c r="BE55" t="s">
        <v>126</v>
      </c>
      <c r="BG55" t="s">
        <v>87</v>
      </c>
      <c r="BH55" t="s">
        <v>158</v>
      </c>
      <c r="BI55">
        <v>90</v>
      </c>
      <c r="BJ55">
        <v>45403</v>
      </c>
      <c r="BK55" t="s">
        <v>126</v>
      </c>
      <c r="BL55" t="s">
        <v>87</v>
      </c>
      <c r="BM55" t="s">
        <v>158</v>
      </c>
      <c r="BN55">
        <v>90</v>
      </c>
      <c r="BO55">
        <v>45765</v>
      </c>
      <c r="BP55" t="s">
        <v>126</v>
      </c>
    </row>
    <row r="56" spans="1:68">
      <c r="A56" t="s">
        <v>87</v>
      </c>
      <c r="B56" t="s">
        <v>158</v>
      </c>
      <c r="C56">
        <v>100</v>
      </c>
      <c r="D56" s="10">
        <v>46128</v>
      </c>
      <c r="E56" t="s">
        <v>126</v>
      </c>
      <c r="G56">
        <f>23/4.45</f>
        <v>5.1685393258426968</v>
      </c>
      <c r="H56" s="10"/>
      <c r="W56" t="s">
        <v>99</v>
      </c>
      <c r="X56" t="s">
        <v>100</v>
      </c>
      <c r="Y56" s="9">
        <v>232000</v>
      </c>
      <c r="Z56" s="10">
        <v>43250</v>
      </c>
      <c r="AA56" t="s">
        <v>127</v>
      </c>
      <c r="AC56" t="s">
        <v>89</v>
      </c>
      <c r="AD56" t="s">
        <v>153</v>
      </c>
      <c r="AE56">
        <v>11500</v>
      </c>
      <c r="AF56" s="10">
        <v>43619</v>
      </c>
      <c r="AG56" t="s">
        <v>127</v>
      </c>
      <c r="AI56" t="s">
        <v>16</v>
      </c>
      <c r="AJ56" t="s">
        <v>119</v>
      </c>
      <c r="AK56">
        <v>7</v>
      </c>
      <c r="AL56" s="10">
        <v>43952</v>
      </c>
      <c r="AM56" t="s">
        <v>126</v>
      </c>
      <c r="AO56" t="s">
        <v>16</v>
      </c>
      <c r="AP56" t="s">
        <v>119</v>
      </c>
      <c r="AQ56">
        <v>0</v>
      </c>
      <c r="AR56" s="10">
        <v>44312</v>
      </c>
      <c r="AS56" t="s">
        <v>126</v>
      </c>
      <c r="AU56" t="s">
        <v>16</v>
      </c>
      <c r="AV56" t="s">
        <v>443</v>
      </c>
      <c r="AW56">
        <v>100</v>
      </c>
      <c r="AX56" s="10">
        <v>44674</v>
      </c>
      <c r="AY56" t="s">
        <v>126</v>
      </c>
      <c r="BA56" t="s">
        <v>16</v>
      </c>
      <c r="BB56" t="s">
        <v>480</v>
      </c>
      <c r="BC56">
        <v>100</v>
      </c>
      <c r="BD56">
        <v>45040</v>
      </c>
      <c r="BE56" t="s">
        <v>126</v>
      </c>
      <c r="BG56" t="s">
        <v>16</v>
      </c>
      <c r="BH56" t="s">
        <v>480</v>
      </c>
      <c r="BI56">
        <v>100</v>
      </c>
      <c r="BJ56">
        <v>45403</v>
      </c>
      <c r="BK56" t="s">
        <v>126</v>
      </c>
      <c r="BL56" t="s">
        <v>16</v>
      </c>
      <c r="BM56" t="s">
        <v>480</v>
      </c>
      <c r="BN56">
        <v>100</v>
      </c>
      <c r="BO56">
        <v>45765</v>
      </c>
      <c r="BP56" t="s">
        <v>126</v>
      </c>
    </row>
    <row r="57" spans="1:68">
      <c r="A57" t="s">
        <v>16</v>
      </c>
      <c r="B57" t="s">
        <v>604</v>
      </c>
      <c r="C57">
        <v>150</v>
      </c>
      <c r="D57" s="10">
        <v>46128</v>
      </c>
      <c r="E57" t="s">
        <v>126</v>
      </c>
      <c r="H57" s="188"/>
      <c r="W57" t="s">
        <v>103</v>
      </c>
      <c r="X57" t="s">
        <v>104</v>
      </c>
      <c r="Y57" s="9"/>
      <c r="Z57" s="10">
        <v>43250</v>
      </c>
      <c r="AA57" t="s">
        <v>127</v>
      </c>
      <c r="AC57" t="s">
        <v>91</v>
      </c>
      <c r="AD57" t="s">
        <v>92</v>
      </c>
      <c r="AE57">
        <v>199.15</v>
      </c>
      <c r="AF57" s="10">
        <v>43619</v>
      </c>
      <c r="AG57" t="s">
        <v>127</v>
      </c>
      <c r="AI57" t="s">
        <v>118</v>
      </c>
      <c r="AJ57" t="s">
        <v>409</v>
      </c>
      <c r="AK57">
        <v>1490148</v>
      </c>
      <c r="AL57" s="10">
        <v>43952</v>
      </c>
      <c r="AM57" t="s">
        <v>126</v>
      </c>
      <c r="AO57" t="s">
        <v>118</v>
      </c>
      <c r="AP57" t="s">
        <v>440</v>
      </c>
      <c r="AQ57">
        <v>0</v>
      </c>
      <c r="AR57" s="10">
        <v>44312</v>
      </c>
      <c r="AS57" t="s">
        <v>126</v>
      </c>
      <c r="AU57" t="s">
        <v>118</v>
      </c>
      <c r="AV57" t="s">
        <v>470</v>
      </c>
      <c r="AW57">
        <v>0</v>
      </c>
      <c r="AX57" s="10">
        <v>44674</v>
      </c>
      <c r="AY57" t="s">
        <v>126</v>
      </c>
      <c r="BA57" t="s">
        <v>118</v>
      </c>
      <c r="BB57" t="s">
        <v>413</v>
      </c>
      <c r="BC57">
        <v>0</v>
      </c>
      <c r="BD57">
        <v>45040</v>
      </c>
      <c r="BE57" t="s">
        <v>126</v>
      </c>
      <c r="BG57" t="s">
        <v>15</v>
      </c>
      <c r="BH57" t="s">
        <v>413</v>
      </c>
      <c r="BI57">
        <v>0</v>
      </c>
      <c r="BJ57">
        <v>45403</v>
      </c>
      <c r="BK57" t="s">
        <v>126</v>
      </c>
      <c r="BL57" t="s">
        <v>15</v>
      </c>
      <c r="BM57" t="s">
        <v>413</v>
      </c>
      <c r="BN57">
        <v>0</v>
      </c>
      <c r="BO57">
        <v>45765</v>
      </c>
      <c r="BP57" t="s">
        <v>126</v>
      </c>
    </row>
    <row r="58" spans="1:68">
      <c r="A58" t="s">
        <v>15</v>
      </c>
      <c r="B58" t="s">
        <v>613</v>
      </c>
      <c r="C58">
        <v>25</v>
      </c>
      <c r="D58" s="10">
        <v>46128</v>
      </c>
      <c r="E58" t="s">
        <v>126</v>
      </c>
      <c r="H58" s="10"/>
      <c r="W58" t="s">
        <v>107</v>
      </c>
      <c r="X58" t="s">
        <v>108</v>
      </c>
      <c r="Y58" s="9"/>
      <c r="Z58" s="10">
        <v>43250</v>
      </c>
      <c r="AA58" t="s">
        <v>127</v>
      </c>
      <c r="AC58" t="s">
        <v>94</v>
      </c>
      <c r="AD58" t="s">
        <v>95</v>
      </c>
      <c r="AE58">
        <v>7758</v>
      </c>
      <c r="AF58" s="10">
        <v>43619</v>
      </c>
      <c r="AG58" t="s">
        <v>127</v>
      </c>
      <c r="AI58" t="s">
        <v>194</v>
      </c>
      <c r="AJ58" t="s">
        <v>396</v>
      </c>
      <c r="AK58">
        <v>95000</v>
      </c>
      <c r="AL58" s="10">
        <v>43952</v>
      </c>
      <c r="AM58" t="s">
        <v>126</v>
      </c>
      <c r="AO58" t="s">
        <v>194</v>
      </c>
      <c r="AP58" t="s">
        <v>396</v>
      </c>
      <c r="AQ58">
        <v>0.5</v>
      </c>
      <c r="AR58" s="10">
        <v>44312</v>
      </c>
      <c r="AS58" t="s">
        <v>126</v>
      </c>
      <c r="AU58" t="s">
        <v>194</v>
      </c>
      <c r="AV58" t="s">
        <v>396</v>
      </c>
      <c r="AW58">
        <v>0.5</v>
      </c>
      <c r="AX58" s="10">
        <v>44674</v>
      </c>
      <c r="AY58" t="s">
        <v>126</v>
      </c>
      <c r="BA58" t="s">
        <v>194</v>
      </c>
      <c r="BB58" t="s">
        <v>396</v>
      </c>
      <c r="BC58">
        <v>2</v>
      </c>
      <c r="BD58">
        <v>45040</v>
      </c>
      <c r="BE58" t="s">
        <v>126</v>
      </c>
      <c r="BG58" t="s">
        <v>194</v>
      </c>
      <c r="BH58" t="s">
        <v>396</v>
      </c>
      <c r="BI58">
        <v>2</v>
      </c>
      <c r="BJ58">
        <v>45403</v>
      </c>
      <c r="BK58" t="s">
        <v>126</v>
      </c>
      <c r="BL58" t="s">
        <v>194</v>
      </c>
      <c r="BM58" t="s">
        <v>396</v>
      </c>
      <c r="BN58">
        <v>2</v>
      </c>
      <c r="BO58">
        <v>45765</v>
      </c>
      <c r="BP58" t="s">
        <v>126</v>
      </c>
    </row>
    <row r="59" spans="1:68">
      <c r="A59" t="s">
        <v>194</v>
      </c>
      <c r="B59" t="s">
        <v>396</v>
      </c>
      <c r="C59">
        <v>2</v>
      </c>
      <c r="D59" s="10">
        <v>46128</v>
      </c>
      <c r="E59" t="s">
        <v>126</v>
      </c>
      <c r="H59" s="19"/>
      <c r="W59" t="s">
        <v>14</v>
      </c>
      <c r="X59" t="s">
        <v>131</v>
      </c>
      <c r="Y59" s="9">
        <v>20000</v>
      </c>
      <c r="Z59" s="10">
        <v>43250</v>
      </c>
      <c r="AA59" t="s">
        <v>127</v>
      </c>
      <c r="AC59" t="s">
        <v>99</v>
      </c>
      <c r="AD59" t="s">
        <v>100</v>
      </c>
      <c r="AE59">
        <v>4000</v>
      </c>
      <c r="AF59" s="10">
        <v>43619</v>
      </c>
      <c r="AG59" t="s">
        <v>127</v>
      </c>
      <c r="AI59" t="s">
        <v>81</v>
      </c>
      <c r="AJ59" t="s">
        <v>145</v>
      </c>
      <c r="AK59">
        <v>1800000</v>
      </c>
      <c r="AL59" s="10">
        <v>43982</v>
      </c>
      <c r="AM59" t="s">
        <v>127</v>
      </c>
      <c r="AO59" t="s">
        <v>81</v>
      </c>
      <c r="AP59" t="s">
        <v>426</v>
      </c>
      <c r="AQ59">
        <v>10</v>
      </c>
      <c r="AR59" s="10">
        <v>44343</v>
      </c>
      <c r="AS59" t="s">
        <v>127</v>
      </c>
      <c r="AU59" t="s">
        <v>81</v>
      </c>
      <c r="AV59" t="s">
        <v>426</v>
      </c>
      <c r="AW59">
        <v>60</v>
      </c>
      <c r="AX59" s="10">
        <v>44707</v>
      </c>
      <c r="AY59" t="s">
        <v>127</v>
      </c>
      <c r="BA59" t="s">
        <v>81</v>
      </c>
      <c r="BB59" t="s">
        <v>426</v>
      </c>
      <c r="BC59">
        <v>120</v>
      </c>
      <c r="BD59">
        <v>45071</v>
      </c>
      <c r="BE59" t="s">
        <v>127</v>
      </c>
      <c r="BG59" t="s">
        <v>81</v>
      </c>
      <c r="BH59" t="s">
        <v>426</v>
      </c>
      <c r="BI59">
        <v>120</v>
      </c>
      <c r="BJ59">
        <v>45436</v>
      </c>
      <c r="BK59" t="s">
        <v>127</v>
      </c>
      <c r="BL59" t="s">
        <v>81</v>
      </c>
      <c r="BM59" t="s">
        <v>426</v>
      </c>
      <c r="BN59">
        <v>120</v>
      </c>
      <c r="BO59">
        <v>45796</v>
      </c>
      <c r="BP59" t="s">
        <v>127</v>
      </c>
    </row>
    <row r="60" spans="1:68">
      <c r="A60" t="s">
        <v>81</v>
      </c>
      <c r="B60" t="s">
        <v>426</v>
      </c>
      <c r="C60">
        <v>180</v>
      </c>
      <c r="D60" s="10">
        <v>46159</v>
      </c>
      <c r="E60" t="s">
        <v>127</v>
      </c>
      <c r="H60" s="10"/>
      <c r="W60" t="s">
        <v>111</v>
      </c>
      <c r="X60" t="s">
        <v>112</v>
      </c>
      <c r="Y60" s="9">
        <f>1660000+1712000</f>
        <v>3372000</v>
      </c>
      <c r="Z60" s="10">
        <v>43250</v>
      </c>
      <c r="AA60" t="s">
        <v>127</v>
      </c>
      <c r="AC60" t="s">
        <v>103</v>
      </c>
      <c r="AD60" t="s">
        <v>104</v>
      </c>
      <c r="AE60">
        <v>100000</v>
      </c>
      <c r="AF60" s="10">
        <v>43619</v>
      </c>
      <c r="AG60" t="s">
        <v>127</v>
      </c>
      <c r="AI60" t="s">
        <v>89</v>
      </c>
      <c r="AJ60" t="s">
        <v>410</v>
      </c>
      <c r="AK60">
        <v>900000</v>
      </c>
      <c r="AL60" s="10">
        <v>43982</v>
      </c>
      <c r="AM60" t="s">
        <v>127</v>
      </c>
      <c r="AO60" t="s">
        <v>89</v>
      </c>
      <c r="AP60" t="s">
        <v>445</v>
      </c>
      <c r="AQ60">
        <v>5</v>
      </c>
      <c r="AR60" s="10">
        <v>44343</v>
      </c>
      <c r="AS60" t="s">
        <v>127</v>
      </c>
      <c r="AU60" t="s">
        <v>89</v>
      </c>
      <c r="AV60" t="s">
        <v>435</v>
      </c>
      <c r="AW60">
        <v>6</v>
      </c>
      <c r="AX60" s="10">
        <v>44707</v>
      </c>
      <c r="AY60" t="s">
        <v>127</v>
      </c>
      <c r="BA60" t="s">
        <v>89</v>
      </c>
      <c r="BB60" t="s">
        <v>435</v>
      </c>
      <c r="BC60">
        <v>9</v>
      </c>
      <c r="BD60">
        <v>45071</v>
      </c>
      <c r="BE60" t="s">
        <v>127</v>
      </c>
      <c r="BG60" t="s">
        <v>89</v>
      </c>
      <c r="BH60" t="s">
        <v>435</v>
      </c>
      <c r="BI60">
        <v>8</v>
      </c>
      <c r="BJ60">
        <v>45436</v>
      </c>
      <c r="BK60" t="s">
        <v>127</v>
      </c>
      <c r="BL60" t="s">
        <v>89</v>
      </c>
      <c r="BM60" t="s">
        <v>435</v>
      </c>
      <c r="BN60">
        <v>9</v>
      </c>
      <c r="BO60">
        <v>45796</v>
      </c>
      <c r="BP60" t="s">
        <v>127</v>
      </c>
    </row>
    <row r="61" spans="1:68">
      <c r="A61" t="s">
        <v>89</v>
      </c>
      <c r="B61" t="s">
        <v>435</v>
      </c>
      <c r="C61">
        <v>13</v>
      </c>
      <c r="D61" s="10">
        <v>46159</v>
      </c>
      <c r="E61" t="s">
        <v>127</v>
      </c>
      <c r="W61" t="s">
        <v>15</v>
      </c>
      <c r="X61" t="s">
        <v>114</v>
      </c>
      <c r="Y61" s="9"/>
      <c r="Z61" s="10">
        <v>43250</v>
      </c>
      <c r="AA61" t="s">
        <v>127</v>
      </c>
      <c r="AC61" t="s">
        <v>107</v>
      </c>
      <c r="AD61" t="s">
        <v>360</v>
      </c>
      <c r="AE61">
        <v>30000</v>
      </c>
      <c r="AF61" s="10">
        <v>43619</v>
      </c>
      <c r="AG61" t="s">
        <v>127</v>
      </c>
      <c r="AI61" t="s">
        <v>91</v>
      </c>
      <c r="AJ61" t="s">
        <v>92</v>
      </c>
      <c r="AK61">
        <v>1100000</v>
      </c>
      <c r="AL61" s="10">
        <v>43982</v>
      </c>
      <c r="AM61" t="s">
        <v>127</v>
      </c>
      <c r="AO61" t="s">
        <v>91</v>
      </c>
      <c r="AP61" t="s">
        <v>92</v>
      </c>
      <c r="AQ61">
        <v>43</v>
      </c>
      <c r="AR61" s="10">
        <v>44343</v>
      </c>
      <c r="AS61" t="s">
        <v>127</v>
      </c>
      <c r="AU61" t="s">
        <v>91</v>
      </c>
      <c r="AV61" t="s">
        <v>92</v>
      </c>
      <c r="AW61">
        <v>40</v>
      </c>
      <c r="AX61" s="10">
        <v>44707</v>
      </c>
      <c r="AY61" t="s">
        <v>127</v>
      </c>
      <c r="BA61" t="s">
        <v>91</v>
      </c>
      <c r="BB61" t="s">
        <v>92</v>
      </c>
      <c r="BC61">
        <v>50</v>
      </c>
      <c r="BD61">
        <v>45071</v>
      </c>
      <c r="BE61" t="s">
        <v>127</v>
      </c>
      <c r="BG61" t="s">
        <v>91</v>
      </c>
      <c r="BH61" t="s">
        <v>532</v>
      </c>
      <c r="BI61">
        <v>138</v>
      </c>
      <c r="BJ61">
        <v>45436</v>
      </c>
      <c r="BK61" t="s">
        <v>127</v>
      </c>
      <c r="BL61" t="s">
        <v>91</v>
      </c>
      <c r="BM61" t="s">
        <v>569</v>
      </c>
      <c r="BN61">
        <v>170</v>
      </c>
      <c r="BO61">
        <v>45796</v>
      </c>
      <c r="BP61" t="s">
        <v>127</v>
      </c>
    </row>
    <row r="62" spans="1:68">
      <c r="A62" t="s">
        <v>91</v>
      </c>
      <c r="B62" t="s">
        <v>610</v>
      </c>
      <c r="C62">
        <v>190</v>
      </c>
      <c r="D62" s="10">
        <v>46159</v>
      </c>
      <c r="E62" t="s">
        <v>127</v>
      </c>
      <c r="H62" s="10"/>
      <c r="W62" t="s">
        <v>87</v>
      </c>
      <c r="X62" t="s">
        <v>132</v>
      </c>
      <c r="Y62" s="9">
        <v>241972</v>
      </c>
      <c r="Z62" s="10">
        <v>43250</v>
      </c>
      <c r="AA62" t="s">
        <v>127</v>
      </c>
      <c r="AC62" t="s">
        <v>14</v>
      </c>
      <c r="AD62" t="s">
        <v>131</v>
      </c>
      <c r="AE62">
        <v>2000</v>
      </c>
      <c r="AF62" s="10">
        <v>43619</v>
      </c>
      <c r="AG62" t="s">
        <v>127</v>
      </c>
      <c r="AI62" t="s">
        <v>94</v>
      </c>
      <c r="AJ62" t="s">
        <v>95</v>
      </c>
      <c r="AK62">
        <v>80000</v>
      </c>
      <c r="AL62" s="10">
        <v>43982</v>
      </c>
      <c r="AM62" t="s">
        <v>127</v>
      </c>
      <c r="AO62" t="s">
        <v>94</v>
      </c>
      <c r="AP62" t="s">
        <v>95</v>
      </c>
      <c r="AQ62">
        <v>3</v>
      </c>
      <c r="AR62" s="10">
        <v>44343</v>
      </c>
      <c r="AS62" t="s">
        <v>127</v>
      </c>
      <c r="AU62" t="s">
        <v>94</v>
      </c>
      <c r="AV62" t="s">
        <v>95</v>
      </c>
      <c r="AW62">
        <v>0</v>
      </c>
      <c r="AX62" s="10">
        <v>44707</v>
      </c>
      <c r="AY62" t="s">
        <v>127</v>
      </c>
      <c r="BA62" t="s">
        <v>94</v>
      </c>
      <c r="BB62" t="s">
        <v>95</v>
      </c>
      <c r="BC62">
        <v>0</v>
      </c>
      <c r="BD62">
        <v>45071</v>
      </c>
      <c r="BE62" t="s">
        <v>127</v>
      </c>
      <c r="BG62" t="s">
        <v>94</v>
      </c>
      <c r="BH62" t="s">
        <v>531</v>
      </c>
      <c r="BI62">
        <v>75</v>
      </c>
      <c r="BJ62">
        <v>45436</v>
      </c>
      <c r="BK62" t="s">
        <v>127</v>
      </c>
      <c r="BL62" t="s">
        <v>94</v>
      </c>
      <c r="BM62" t="s">
        <v>542</v>
      </c>
      <c r="BN62">
        <v>85</v>
      </c>
      <c r="BO62">
        <v>45796</v>
      </c>
      <c r="BP62" t="s">
        <v>127</v>
      </c>
    </row>
    <row r="63" spans="1:68">
      <c r="A63" t="s">
        <v>94</v>
      </c>
      <c r="B63" t="s">
        <v>542</v>
      </c>
      <c r="C63">
        <v>95</v>
      </c>
      <c r="D63" s="10">
        <v>46159</v>
      </c>
      <c r="E63" t="s">
        <v>127</v>
      </c>
      <c r="W63" t="s">
        <v>16</v>
      </c>
      <c r="X63" t="s">
        <v>119</v>
      </c>
      <c r="Y63" s="9">
        <v>700000</v>
      </c>
      <c r="Z63" s="10">
        <v>43250</v>
      </c>
      <c r="AA63" t="s">
        <v>127</v>
      </c>
      <c r="AC63" t="s">
        <v>111</v>
      </c>
      <c r="AD63" t="s">
        <v>361</v>
      </c>
      <c r="AE63" t="e">
        <f>50*AJ30</f>
        <v>#VALUE!</v>
      </c>
      <c r="AF63" s="10">
        <v>43619</v>
      </c>
      <c r="AG63" t="s">
        <v>127</v>
      </c>
      <c r="AI63" t="s">
        <v>99</v>
      </c>
      <c r="AJ63" t="s">
        <v>390</v>
      </c>
      <c r="AK63">
        <v>240000</v>
      </c>
      <c r="AL63" s="10">
        <v>43982</v>
      </c>
      <c r="AM63" t="s">
        <v>127</v>
      </c>
      <c r="AO63" t="s">
        <v>99</v>
      </c>
      <c r="AP63" t="s">
        <v>448</v>
      </c>
      <c r="AQ63">
        <v>12</v>
      </c>
      <c r="AR63" s="10">
        <v>44343</v>
      </c>
      <c r="AS63" t="s">
        <v>127</v>
      </c>
      <c r="AU63" t="s">
        <v>99</v>
      </c>
      <c r="AV63" t="s">
        <v>448</v>
      </c>
      <c r="AW63">
        <v>0</v>
      </c>
      <c r="AX63" s="10">
        <v>44707</v>
      </c>
      <c r="AY63" t="s">
        <v>127</v>
      </c>
      <c r="BA63" t="s">
        <v>99</v>
      </c>
      <c r="BB63" t="s">
        <v>448</v>
      </c>
      <c r="BC63">
        <v>5</v>
      </c>
      <c r="BD63">
        <v>45071</v>
      </c>
      <c r="BE63" t="s">
        <v>127</v>
      </c>
      <c r="BG63" t="s">
        <v>99</v>
      </c>
      <c r="BH63" t="s">
        <v>448</v>
      </c>
      <c r="BI63">
        <v>10</v>
      </c>
      <c r="BJ63">
        <v>45436</v>
      </c>
      <c r="BK63" t="s">
        <v>127</v>
      </c>
      <c r="BL63" t="s">
        <v>99</v>
      </c>
      <c r="BM63" t="s">
        <v>448</v>
      </c>
      <c r="BN63">
        <v>15</v>
      </c>
      <c r="BO63">
        <v>45796</v>
      </c>
      <c r="BP63" t="s">
        <v>127</v>
      </c>
    </row>
    <row r="64" spans="1:68">
      <c r="A64" t="s">
        <v>99</v>
      </c>
      <c r="B64" t="s">
        <v>448</v>
      </c>
      <c r="C64">
        <v>20</v>
      </c>
      <c r="D64" s="10">
        <v>46159</v>
      </c>
      <c r="E64" t="s">
        <v>127</v>
      </c>
      <c r="H64" s="10"/>
      <c r="W64" t="s">
        <v>118</v>
      </c>
      <c r="X64" t="s">
        <v>133</v>
      </c>
      <c r="Y64" s="9">
        <v>4128930</v>
      </c>
      <c r="Z64" s="10">
        <v>43250</v>
      </c>
      <c r="AA64" t="s">
        <v>127</v>
      </c>
      <c r="AC64" t="s">
        <v>15</v>
      </c>
      <c r="AD64" t="s">
        <v>338</v>
      </c>
      <c r="AE64">
        <v>60000</v>
      </c>
      <c r="AF64" s="10">
        <v>43619</v>
      </c>
      <c r="AG64" t="s">
        <v>127</v>
      </c>
      <c r="AI64" t="s">
        <v>103</v>
      </c>
      <c r="AJ64" t="s">
        <v>379</v>
      </c>
      <c r="AK64">
        <v>2400000</v>
      </c>
      <c r="AL64" s="10">
        <v>43982</v>
      </c>
      <c r="AM64" t="s">
        <v>127</v>
      </c>
      <c r="AO64" t="s">
        <v>103</v>
      </c>
      <c r="AP64" t="s">
        <v>444</v>
      </c>
      <c r="AQ64">
        <v>30</v>
      </c>
      <c r="AR64" s="10">
        <v>44343</v>
      </c>
      <c r="AS64" t="s">
        <v>127</v>
      </c>
      <c r="AU64" t="s">
        <v>103</v>
      </c>
      <c r="AV64" t="s">
        <v>444</v>
      </c>
      <c r="AW64">
        <v>35</v>
      </c>
      <c r="AX64" s="10">
        <v>44707</v>
      </c>
      <c r="AY64" t="s">
        <v>127</v>
      </c>
      <c r="BA64" t="s">
        <v>103</v>
      </c>
      <c r="BB64" t="s">
        <v>444</v>
      </c>
      <c r="BC64">
        <v>35</v>
      </c>
      <c r="BD64">
        <v>45071</v>
      </c>
      <c r="BE64" t="s">
        <v>127</v>
      </c>
      <c r="BG64" t="s">
        <v>103</v>
      </c>
      <c r="BH64" t="s">
        <v>444</v>
      </c>
      <c r="BI64">
        <v>35</v>
      </c>
      <c r="BJ64">
        <v>45436</v>
      </c>
      <c r="BK64" t="s">
        <v>127</v>
      </c>
      <c r="BL64" t="s">
        <v>103</v>
      </c>
      <c r="BM64" t="s">
        <v>574</v>
      </c>
      <c r="BN64">
        <v>35</v>
      </c>
      <c r="BO64">
        <v>45796</v>
      </c>
      <c r="BP64" t="s">
        <v>127</v>
      </c>
    </row>
    <row r="65" spans="1:68">
      <c r="A65" t="s">
        <v>103</v>
      </c>
      <c r="B65" t="s">
        <v>574</v>
      </c>
      <c r="C65">
        <v>40</v>
      </c>
      <c r="D65" s="10">
        <v>46159</v>
      </c>
      <c r="E65" t="s">
        <v>127</v>
      </c>
      <c r="W65" t="s">
        <v>81</v>
      </c>
      <c r="X65" t="s">
        <v>84</v>
      </c>
      <c r="Y65" s="9">
        <v>2555000</v>
      </c>
      <c r="Z65" s="10">
        <v>43276</v>
      </c>
      <c r="AA65" t="s">
        <v>128</v>
      </c>
      <c r="AC65" t="s">
        <v>87</v>
      </c>
      <c r="AD65" t="s">
        <v>362</v>
      </c>
      <c r="AE65">
        <f>154700+25000</f>
        <v>179700</v>
      </c>
      <c r="AF65" s="10">
        <v>43619</v>
      </c>
      <c r="AG65" t="s">
        <v>127</v>
      </c>
      <c r="AI65" t="s">
        <v>107</v>
      </c>
      <c r="AJ65" t="s">
        <v>411</v>
      </c>
      <c r="AK65">
        <v>1153125</v>
      </c>
      <c r="AL65" s="10">
        <v>43982</v>
      </c>
      <c r="AM65" t="s">
        <v>127</v>
      </c>
      <c r="AO65" t="s">
        <v>107</v>
      </c>
      <c r="AP65" t="s">
        <v>454</v>
      </c>
      <c r="AQ65">
        <v>8</v>
      </c>
      <c r="AR65" s="10">
        <v>44343</v>
      </c>
      <c r="AS65" t="s">
        <v>127</v>
      </c>
      <c r="AU65" t="s">
        <v>107</v>
      </c>
      <c r="AV65" t="s">
        <v>475</v>
      </c>
      <c r="AW65">
        <v>0</v>
      </c>
      <c r="AX65" s="10">
        <v>44707</v>
      </c>
      <c r="AY65" t="s">
        <v>127</v>
      </c>
      <c r="BA65" t="s">
        <v>107</v>
      </c>
      <c r="BB65" t="s">
        <v>413</v>
      </c>
      <c r="BC65">
        <v>0</v>
      </c>
      <c r="BD65">
        <v>45071</v>
      </c>
      <c r="BE65" t="s">
        <v>127</v>
      </c>
      <c r="BG65" t="s">
        <v>107</v>
      </c>
      <c r="BH65" t="s">
        <v>413</v>
      </c>
      <c r="BI65">
        <v>0</v>
      </c>
      <c r="BJ65">
        <v>45436</v>
      </c>
      <c r="BK65" t="s">
        <v>127</v>
      </c>
      <c r="BL65" t="s">
        <v>107</v>
      </c>
      <c r="BM65" t="s">
        <v>577</v>
      </c>
      <c r="BN65">
        <v>100</v>
      </c>
      <c r="BO65">
        <v>45796</v>
      </c>
      <c r="BP65" t="s">
        <v>127</v>
      </c>
    </row>
    <row r="66" spans="1:68">
      <c r="A66" t="s">
        <v>107</v>
      </c>
      <c r="B66" t="s">
        <v>621</v>
      </c>
      <c r="C66">
        <v>50</v>
      </c>
      <c r="D66" s="10">
        <v>46159</v>
      </c>
      <c r="E66" t="s">
        <v>127</v>
      </c>
      <c r="H66" s="10"/>
      <c r="W66" t="s">
        <v>89</v>
      </c>
      <c r="X66" t="s">
        <v>88</v>
      </c>
      <c r="Y66" s="9">
        <f>3300000+1000000</f>
        <v>4300000</v>
      </c>
      <c r="Z66" s="10">
        <v>43276</v>
      </c>
      <c r="AA66" t="s">
        <v>128</v>
      </c>
      <c r="AC66" t="s">
        <v>16</v>
      </c>
      <c r="AD66" t="s">
        <v>119</v>
      </c>
      <c r="AE66">
        <v>7</v>
      </c>
      <c r="AF66" s="10">
        <v>43619</v>
      </c>
      <c r="AG66" t="s">
        <v>127</v>
      </c>
      <c r="AI66" t="s">
        <v>14</v>
      </c>
      <c r="AJ66" t="s">
        <v>131</v>
      </c>
      <c r="AK66">
        <v>0</v>
      </c>
      <c r="AL66" s="10">
        <v>43982</v>
      </c>
      <c r="AM66" t="s">
        <v>127</v>
      </c>
      <c r="AO66" t="s">
        <v>195</v>
      </c>
      <c r="AP66" t="s">
        <v>456</v>
      </c>
      <c r="AQ66">
        <v>9</v>
      </c>
      <c r="AR66" s="10">
        <v>44343</v>
      </c>
      <c r="AS66" t="s">
        <v>127</v>
      </c>
      <c r="AU66" t="s">
        <v>14</v>
      </c>
      <c r="AV66" t="s">
        <v>413</v>
      </c>
      <c r="AW66">
        <v>0</v>
      </c>
      <c r="AX66" s="10">
        <v>44707</v>
      </c>
      <c r="AY66" t="s">
        <v>127</v>
      </c>
      <c r="BA66" t="s">
        <v>14</v>
      </c>
      <c r="BB66" t="s">
        <v>503</v>
      </c>
      <c r="BC66">
        <v>70</v>
      </c>
      <c r="BD66">
        <v>45071</v>
      </c>
      <c r="BE66" t="s">
        <v>127</v>
      </c>
      <c r="BG66" t="s">
        <v>14</v>
      </c>
      <c r="BH66" t="s">
        <v>503</v>
      </c>
      <c r="BI66">
        <v>70</v>
      </c>
      <c r="BJ66">
        <v>45436</v>
      </c>
      <c r="BK66" t="s">
        <v>127</v>
      </c>
      <c r="BL66" t="s">
        <v>14</v>
      </c>
      <c r="BM66" t="s">
        <v>503</v>
      </c>
      <c r="BN66">
        <v>70</v>
      </c>
      <c r="BO66">
        <v>45796</v>
      </c>
      <c r="BP66" t="s">
        <v>127</v>
      </c>
    </row>
    <row r="67" spans="1:68">
      <c r="A67" t="s">
        <v>14</v>
      </c>
      <c r="B67" t="s">
        <v>503</v>
      </c>
      <c r="C67">
        <v>70</v>
      </c>
      <c r="D67" s="10">
        <v>46159</v>
      </c>
      <c r="E67" t="s">
        <v>127</v>
      </c>
      <c r="W67" t="s">
        <v>91</v>
      </c>
      <c r="X67" t="s">
        <v>92</v>
      </c>
      <c r="Y67" s="9">
        <v>3347.7</v>
      </c>
      <c r="Z67" s="10">
        <v>43276</v>
      </c>
      <c r="AA67" t="s">
        <v>128</v>
      </c>
      <c r="AC67" t="s">
        <v>118</v>
      </c>
      <c r="AD67" t="s">
        <v>363</v>
      </c>
      <c r="AE67" s="188" t="str">
        <f>AM31</f>
        <v>MARZO</v>
      </c>
      <c r="AF67" s="10">
        <v>43619</v>
      </c>
      <c r="AG67" t="s">
        <v>127</v>
      </c>
      <c r="AI67" t="s">
        <v>111</v>
      </c>
      <c r="AJ67" t="s">
        <v>412</v>
      </c>
      <c r="AK67">
        <v>9905529.5</v>
      </c>
      <c r="AL67" s="10">
        <v>43982</v>
      </c>
      <c r="AM67" t="s">
        <v>127</v>
      </c>
      <c r="AO67" t="s">
        <v>111</v>
      </c>
      <c r="AP67" t="s">
        <v>443</v>
      </c>
      <c r="AQ67">
        <v>50</v>
      </c>
      <c r="AR67" s="10">
        <v>44343</v>
      </c>
      <c r="AS67" t="s">
        <v>127</v>
      </c>
      <c r="AU67" t="s">
        <v>111</v>
      </c>
      <c r="AV67" t="s">
        <v>413</v>
      </c>
      <c r="AW67">
        <v>0</v>
      </c>
      <c r="AX67" s="10">
        <v>44707</v>
      </c>
      <c r="AY67" t="s">
        <v>127</v>
      </c>
      <c r="BA67" t="s">
        <v>111</v>
      </c>
      <c r="BB67" t="s">
        <v>413</v>
      </c>
      <c r="BC67">
        <v>0</v>
      </c>
      <c r="BD67">
        <v>45071</v>
      </c>
      <c r="BE67" t="s">
        <v>127</v>
      </c>
      <c r="BG67" t="s">
        <v>111</v>
      </c>
      <c r="BH67" t="s">
        <v>413</v>
      </c>
      <c r="BI67">
        <v>0</v>
      </c>
      <c r="BJ67">
        <v>45436</v>
      </c>
      <c r="BK67" t="s">
        <v>127</v>
      </c>
      <c r="BL67" t="s">
        <v>111</v>
      </c>
      <c r="BM67" t="s">
        <v>575</v>
      </c>
      <c r="BN67">
        <v>135</v>
      </c>
      <c r="BO67">
        <v>45796</v>
      </c>
      <c r="BP67" t="s">
        <v>127</v>
      </c>
    </row>
    <row r="68" spans="1:68">
      <c r="A68" t="s">
        <v>111</v>
      </c>
      <c r="B68" t="s">
        <v>622</v>
      </c>
      <c r="C68">
        <v>25</v>
      </c>
      <c r="D68" s="10">
        <v>46159</v>
      </c>
      <c r="E68" t="s">
        <v>127</v>
      </c>
      <c r="H68" s="10"/>
      <c r="W68" t="s">
        <v>94</v>
      </c>
      <c r="X68" t="s">
        <v>95</v>
      </c>
      <c r="Y68" s="9">
        <v>0</v>
      </c>
      <c r="Z68" s="10">
        <v>43276</v>
      </c>
      <c r="AA68" t="s">
        <v>128</v>
      </c>
      <c r="AC68" t="s">
        <v>81</v>
      </c>
      <c r="AD68" t="s">
        <v>145</v>
      </c>
      <c r="AE68">
        <v>65000</v>
      </c>
      <c r="AF68" s="10">
        <v>43647</v>
      </c>
      <c r="AG68" t="s">
        <v>128</v>
      </c>
      <c r="AI68" t="s">
        <v>15</v>
      </c>
      <c r="AJ68" t="s">
        <v>413</v>
      </c>
      <c r="AL68" s="10">
        <v>43982</v>
      </c>
      <c r="AM68" t="s">
        <v>127</v>
      </c>
      <c r="AO68" t="s">
        <v>15</v>
      </c>
      <c r="AP68" t="s">
        <v>455</v>
      </c>
      <c r="AQ68">
        <v>7</v>
      </c>
      <c r="AR68" s="10">
        <v>44343</v>
      </c>
      <c r="AS68" t="s">
        <v>127</v>
      </c>
      <c r="AU68" t="s">
        <v>15</v>
      </c>
      <c r="AV68" t="s">
        <v>476</v>
      </c>
      <c r="AW68">
        <v>30</v>
      </c>
      <c r="AX68" s="10">
        <v>44707</v>
      </c>
      <c r="AY68" t="s">
        <v>127</v>
      </c>
      <c r="BA68" t="s">
        <v>15</v>
      </c>
      <c r="BB68" t="s">
        <v>413</v>
      </c>
      <c r="BC68">
        <v>0</v>
      </c>
      <c r="BD68">
        <v>45071</v>
      </c>
      <c r="BE68" t="s">
        <v>127</v>
      </c>
      <c r="BG68" t="s">
        <v>118</v>
      </c>
      <c r="BH68" t="s">
        <v>413</v>
      </c>
      <c r="BI68">
        <v>0</v>
      </c>
      <c r="BJ68">
        <v>45436</v>
      </c>
      <c r="BK68" t="s">
        <v>127</v>
      </c>
      <c r="BL68" t="s">
        <v>118</v>
      </c>
      <c r="BM68" t="s">
        <v>576</v>
      </c>
      <c r="BN68">
        <v>40</v>
      </c>
      <c r="BO68">
        <v>45796</v>
      </c>
      <c r="BP68" t="s">
        <v>127</v>
      </c>
    </row>
    <row r="69" spans="1:68">
      <c r="A69" t="s">
        <v>118</v>
      </c>
      <c r="B69" t="s">
        <v>623</v>
      </c>
      <c r="C69">
        <v>95</v>
      </c>
      <c r="D69" s="10">
        <v>46159</v>
      </c>
      <c r="E69" t="s">
        <v>127</v>
      </c>
      <c r="W69" t="s">
        <v>99</v>
      </c>
      <c r="X69" t="s">
        <v>100</v>
      </c>
      <c r="Y69" s="9">
        <v>100000</v>
      </c>
      <c r="Z69" s="10">
        <v>43276</v>
      </c>
      <c r="AA69" t="s">
        <v>128</v>
      </c>
      <c r="AC69" t="s">
        <v>89</v>
      </c>
      <c r="AD69" t="s">
        <v>153</v>
      </c>
      <c r="AE69">
        <v>11400</v>
      </c>
      <c r="AF69" s="10">
        <v>43647</v>
      </c>
      <c r="AG69" t="s">
        <v>128</v>
      </c>
      <c r="AI69" t="s">
        <v>87</v>
      </c>
      <c r="AJ69" t="s">
        <v>158</v>
      </c>
      <c r="AK69">
        <v>3550000</v>
      </c>
      <c r="AL69" s="10">
        <v>43982</v>
      </c>
      <c r="AM69" t="s">
        <v>127</v>
      </c>
      <c r="AO69" t="s">
        <v>87</v>
      </c>
      <c r="AP69" t="s">
        <v>158</v>
      </c>
      <c r="AQ69">
        <v>55</v>
      </c>
      <c r="AR69" s="10">
        <v>44343</v>
      </c>
      <c r="AS69" t="s">
        <v>127</v>
      </c>
      <c r="AU69" t="s">
        <v>87</v>
      </c>
      <c r="AV69" t="s">
        <v>158</v>
      </c>
      <c r="AW69">
        <v>70</v>
      </c>
      <c r="AX69" s="10">
        <v>44707</v>
      </c>
      <c r="AY69" t="s">
        <v>127</v>
      </c>
      <c r="BA69" t="s">
        <v>87</v>
      </c>
      <c r="BB69" t="s">
        <v>158</v>
      </c>
      <c r="BC69">
        <v>95</v>
      </c>
      <c r="BD69">
        <v>45071</v>
      </c>
      <c r="BE69" t="s">
        <v>127</v>
      </c>
      <c r="BG69" t="s">
        <v>87</v>
      </c>
      <c r="BH69" t="s">
        <v>158</v>
      </c>
      <c r="BI69">
        <v>95</v>
      </c>
      <c r="BJ69">
        <v>45436</v>
      </c>
      <c r="BK69" t="s">
        <v>127</v>
      </c>
      <c r="BL69" t="s">
        <v>87</v>
      </c>
      <c r="BM69" t="s">
        <v>158</v>
      </c>
      <c r="BN69">
        <v>90</v>
      </c>
      <c r="BO69">
        <v>45796</v>
      </c>
      <c r="BP69" t="s">
        <v>127</v>
      </c>
    </row>
    <row r="70" spans="1:68">
      <c r="A70" t="s">
        <v>87</v>
      </c>
      <c r="B70" t="s">
        <v>158</v>
      </c>
      <c r="C70">
        <v>100</v>
      </c>
      <c r="D70" s="10">
        <v>46159</v>
      </c>
      <c r="E70" t="s">
        <v>127</v>
      </c>
      <c r="H70" s="9"/>
      <c r="W70" t="s">
        <v>103</v>
      </c>
      <c r="X70" t="s">
        <v>104</v>
      </c>
      <c r="Y70" s="9"/>
      <c r="Z70" s="10">
        <v>43276</v>
      </c>
      <c r="AA70" t="s">
        <v>128</v>
      </c>
      <c r="AC70" t="s">
        <v>91</v>
      </c>
      <c r="AD70" t="s">
        <v>92</v>
      </c>
      <c r="AE70">
        <v>11326.77</v>
      </c>
      <c r="AF70" s="10">
        <v>43647</v>
      </c>
      <c r="AG70" t="s">
        <v>128</v>
      </c>
      <c r="AI70" t="s">
        <v>16</v>
      </c>
      <c r="AJ70" t="s">
        <v>119</v>
      </c>
      <c r="AK70">
        <v>7</v>
      </c>
      <c r="AL70" s="10">
        <v>43982</v>
      </c>
      <c r="AM70" t="s">
        <v>127</v>
      </c>
      <c r="AO70" t="s">
        <v>16</v>
      </c>
      <c r="AP70" t="s">
        <v>119</v>
      </c>
      <c r="AQ70">
        <v>0</v>
      </c>
      <c r="AR70" s="10">
        <v>44343</v>
      </c>
      <c r="AS70" t="s">
        <v>127</v>
      </c>
      <c r="AU70" t="s">
        <v>16</v>
      </c>
      <c r="AV70" t="s">
        <v>443</v>
      </c>
      <c r="AW70">
        <v>100</v>
      </c>
      <c r="AX70" s="10">
        <v>44707</v>
      </c>
      <c r="AY70" t="s">
        <v>127</v>
      </c>
      <c r="BA70" t="s">
        <v>16</v>
      </c>
      <c r="BB70" t="s">
        <v>480</v>
      </c>
      <c r="BC70">
        <v>100</v>
      </c>
      <c r="BD70">
        <v>45071</v>
      </c>
      <c r="BE70" t="s">
        <v>127</v>
      </c>
      <c r="BG70" t="s">
        <v>16</v>
      </c>
      <c r="BH70" t="s">
        <v>480</v>
      </c>
      <c r="BI70">
        <v>100</v>
      </c>
      <c r="BJ70">
        <v>45436</v>
      </c>
      <c r="BK70" t="s">
        <v>127</v>
      </c>
      <c r="BL70" t="s">
        <v>16</v>
      </c>
      <c r="BM70" t="s">
        <v>480</v>
      </c>
      <c r="BN70">
        <v>100</v>
      </c>
      <c r="BO70">
        <v>45796</v>
      </c>
      <c r="BP70" t="s">
        <v>127</v>
      </c>
    </row>
    <row r="71" spans="1:68">
      <c r="A71" t="s">
        <v>16</v>
      </c>
      <c r="B71" t="s">
        <v>604</v>
      </c>
      <c r="C71">
        <v>150</v>
      </c>
      <c r="D71" s="10">
        <v>46159</v>
      </c>
      <c r="E71" t="s">
        <v>127</v>
      </c>
      <c r="M71" s="17">
        <v>0.41549999999999998</v>
      </c>
      <c r="W71" t="s">
        <v>107</v>
      </c>
      <c r="X71" t="s">
        <v>108</v>
      </c>
      <c r="Y71" s="9">
        <v>671523.88</v>
      </c>
      <c r="Z71" s="10">
        <v>43276</v>
      </c>
      <c r="AA71" t="s">
        <v>128</v>
      </c>
      <c r="AC71" t="s">
        <v>94</v>
      </c>
      <c r="AD71" t="s">
        <v>95</v>
      </c>
      <c r="AE71">
        <v>76140</v>
      </c>
      <c r="AF71" s="10">
        <v>43647</v>
      </c>
      <c r="AG71" t="s">
        <v>128</v>
      </c>
      <c r="AI71" t="s">
        <v>118</v>
      </c>
      <c r="AJ71" t="s">
        <v>414</v>
      </c>
      <c r="AK71">
        <v>8530200</v>
      </c>
      <c r="AL71" s="10">
        <v>43982</v>
      </c>
      <c r="AM71" t="s">
        <v>127</v>
      </c>
      <c r="AO71" t="s">
        <v>118</v>
      </c>
      <c r="AP71" t="s">
        <v>440</v>
      </c>
      <c r="AQ71">
        <v>0</v>
      </c>
      <c r="AR71" s="10">
        <v>44343</v>
      </c>
      <c r="AS71" t="s">
        <v>127</v>
      </c>
      <c r="AU71" t="s">
        <v>118</v>
      </c>
      <c r="AV71" t="s">
        <v>470</v>
      </c>
      <c r="AW71">
        <v>0</v>
      </c>
      <c r="AX71" s="10">
        <v>44707</v>
      </c>
      <c r="AY71" t="s">
        <v>127</v>
      </c>
      <c r="BA71" t="s">
        <v>118</v>
      </c>
      <c r="BB71" t="s">
        <v>413</v>
      </c>
      <c r="BC71">
        <v>0</v>
      </c>
      <c r="BD71">
        <v>45071</v>
      </c>
      <c r="BE71" t="s">
        <v>127</v>
      </c>
      <c r="BG71" t="s">
        <v>15</v>
      </c>
      <c r="BH71" t="s">
        <v>533</v>
      </c>
      <c r="BI71">
        <v>12</v>
      </c>
      <c r="BJ71">
        <v>45436</v>
      </c>
      <c r="BK71" t="s">
        <v>127</v>
      </c>
      <c r="BL71" t="s">
        <v>15</v>
      </c>
      <c r="BM71" t="s">
        <v>413</v>
      </c>
      <c r="BN71">
        <v>0</v>
      </c>
      <c r="BO71">
        <v>45796</v>
      </c>
      <c r="BP71" t="s">
        <v>127</v>
      </c>
    </row>
    <row r="72" spans="1:68">
      <c r="A72" t="s">
        <v>179</v>
      </c>
      <c r="B72" t="s">
        <v>620</v>
      </c>
      <c r="C72">
        <v>50</v>
      </c>
      <c r="D72" s="10">
        <v>46159</v>
      </c>
      <c r="E72" t="s">
        <v>127</v>
      </c>
      <c r="I72" s="7" t="s">
        <v>134</v>
      </c>
      <c r="J72" s="7" t="s">
        <v>135</v>
      </c>
      <c r="K72" s="7" t="s">
        <v>136</v>
      </c>
      <c r="L72" s="7" t="s">
        <v>137</v>
      </c>
      <c r="M72" s="7" t="s">
        <v>138</v>
      </c>
      <c r="N72" s="7" t="s">
        <v>139</v>
      </c>
      <c r="W72" t="s">
        <v>14</v>
      </c>
      <c r="X72" t="s">
        <v>131</v>
      </c>
      <c r="Y72" s="9">
        <v>40000</v>
      </c>
      <c r="Z72" s="10">
        <v>43276</v>
      </c>
      <c r="AA72" t="s">
        <v>128</v>
      </c>
      <c r="AC72" t="s">
        <v>99</v>
      </c>
      <c r="AD72" t="s">
        <v>100</v>
      </c>
      <c r="AE72">
        <v>4000</v>
      </c>
      <c r="AF72" s="10">
        <v>43647</v>
      </c>
      <c r="AG72" t="s">
        <v>128</v>
      </c>
      <c r="AI72" t="s">
        <v>194</v>
      </c>
      <c r="AJ72" t="s">
        <v>396</v>
      </c>
      <c r="AK72">
        <v>80000</v>
      </c>
      <c r="AL72" s="10">
        <v>43982</v>
      </c>
      <c r="AM72" t="s">
        <v>127</v>
      </c>
      <c r="AO72" t="s">
        <v>194</v>
      </c>
      <c r="AP72" t="s">
        <v>396</v>
      </c>
      <c r="AQ72">
        <v>0.5</v>
      </c>
      <c r="AR72" s="10">
        <v>44343</v>
      </c>
      <c r="AS72" t="s">
        <v>127</v>
      </c>
      <c r="AU72" t="s">
        <v>194</v>
      </c>
      <c r="AV72" t="s">
        <v>396</v>
      </c>
      <c r="AW72">
        <v>1</v>
      </c>
      <c r="AX72" s="10">
        <v>44707</v>
      </c>
      <c r="AY72" t="s">
        <v>127</v>
      </c>
      <c r="BA72" t="s">
        <v>194</v>
      </c>
      <c r="BB72" t="s">
        <v>396</v>
      </c>
      <c r="BC72">
        <v>2</v>
      </c>
      <c r="BD72">
        <v>45071</v>
      </c>
      <c r="BE72" t="s">
        <v>127</v>
      </c>
      <c r="BG72" t="s">
        <v>194</v>
      </c>
      <c r="BH72" t="s">
        <v>396</v>
      </c>
      <c r="BI72">
        <v>2</v>
      </c>
      <c r="BJ72">
        <v>45436</v>
      </c>
      <c r="BK72" t="s">
        <v>127</v>
      </c>
      <c r="BL72" t="s">
        <v>194</v>
      </c>
      <c r="BM72" t="s">
        <v>396</v>
      </c>
      <c r="BN72">
        <v>2</v>
      </c>
      <c r="BO72">
        <v>45796</v>
      </c>
      <c r="BP72" t="s">
        <v>127</v>
      </c>
    </row>
    <row r="73" spans="1:68">
      <c r="A73" t="s">
        <v>194</v>
      </c>
      <c r="B73" t="s">
        <v>396</v>
      </c>
      <c r="C73">
        <v>2</v>
      </c>
      <c r="D73" s="10">
        <v>46159</v>
      </c>
      <c r="E73" t="s">
        <v>127</v>
      </c>
      <c r="I73" s="13" t="s">
        <v>86</v>
      </c>
      <c r="J73" s="13">
        <v>6</v>
      </c>
      <c r="K73" s="13">
        <f>J73*5</f>
        <v>30</v>
      </c>
      <c r="L73" s="18">
        <v>35000</v>
      </c>
      <c r="M73" s="18">
        <f>L73+(L73*$M$71)</f>
        <v>49542.5</v>
      </c>
      <c r="N73" s="18">
        <f>M73*K73</f>
        <v>1486275</v>
      </c>
      <c r="W73" t="s">
        <v>111</v>
      </c>
      <c r="X73" t="s">
        <v>112</v>
      </c>
      <c r="Y73" s="9">
        <f>1792000+640000+600000+1200000+1000000</f>
        <v>5232000</v>
      </c>
      <c r="Z73" s="10">
        <v>43276</v>
      </c>
      <c r="AA73" t="s">
        <v>128</v>
      </c>
      <c r="AC73" t="s">
        <v>103</v>
      </c>
      <c r="AD73" t="s">
        <v>364</v>
      </c>
      <c r="AE73">
        <v>120000</v>
      </c>
      <c r="AF73" s="10">
        <v>43647</v>
      </c>
      <c r="AG73" t="s">
        <v>128</v>
      </c>
      <c r="AI73" t="s">
        <v>81</v>
      </c>
      <c r="AJ73" t="s">
        <v>145</v>
      </c>
      <c r="AK73">
        <v>1800000</v>
      </c>
      <c r="AL73" s="10">
        <v>44010</v>
      </c>
      <c r="AM73" t="s">
        <v>128</v>
      </c>
      <c r="AO73" t="s">
        <v>81</v>
      </c>
      <c r="AP73" t="s">
        <v>426</v>
      </c>
      <c r="AQ73">
        <v>10</v>
      </c>
      <c r="AR73" s="10">
        <v>44373</v>
      </c>
      <c r="AS73" t="s">
        <v>128</v>
      </c>
      <c r="AU73" t="s">
        <v>81</v>
      </c>
      <c r="AV73" t="s">
        <v>426</v>
      </c>
      <c r="AW73">
        <v>60</v>
      </c>
      <c r="AX73" s="10">
        <v>44737</v>
      </c>
      <c r="AY73" t="s">
        <v>128</v>
      </c>
      <c r="BA73" t="s">
        <v>81</v>
      </c>
      <c r="BB73" t="s">
        <v>426</v>
      </c>
      <c r="BC73">
        <v>120</v>
      </c>
      <c r="BD73">
        <v>45103</v>
      </c>
      <c r="BE73" t="s">
        <v>128</v>
      </c>
      <c r="BG73" t="s">
        <v>81</v>
      </c>
      <c r="BH73" t="s">
        <v>426</v>
      </c>
      <c r="BI73">
        <v>120</v>
      </c>
      <c r="BJ73">
        <v>45467</v>
      </c>
      <c r="BK73" t="s">
        <v>128</v>
      </c>
      <c r="BL73" t="s">
        <v>81</v>
      </c>
      <c r="BM73" t="s">
        <v>426</v>
      </c>
      <c r="BN73">
        <v>120</v>
      </c>
      <c r="BO73">
        <v>45828</v>
      </c>
      <c r="BP73" t="s">
        <v>128</v>
      </c>
    </row>
    <row r="74" spans="1:68">
      <c r="A74" t="s">
        <v>81</v>
      </c>
      <c r="B74" t="s">
        <v>426</v>
      </c>
      <c r="C74">
        <v>180</v>
      </c>
      <c r="D74" s="10">
        <v>46190</v>
      </c>
      <c r="E74" t="s">
        <v>128</v>
      </c>
      <c r="I74" s="13" t="s">
        <v>105</v>
      </c>
      <c r="J74" s="13">
        <v>2</v>
      </c>
      <c r="K74" s="13">
        <f>J74*5</f>
        <v>10</v>
      </c>
      <c r="L74" s="18">
        <v>250000</v>
      </c>
      <c r="M74" s="18">
        <f>L74+(L74*$M$71)</f>
        <v>353875</v>
      </c>
      <c r="N74" s="18">
        <f>M74*K74</f>
        <v>3538750</v>
      </c>
      <c r="W74" t="s">
        <v>15</v>
      </c>
      <c r="X74" t="s">
        <v>114</v>
      </c>
      <c r="Y74" s="9"/>
      <c r="Z74" s="10">
        <v>43276</v>
      </c>
      <c r="AA74" t="s">
        <v>128</v>
      </c>
      <c r="AC74" t="s">
        <v>107</v>
      </c>
      <c r="AD74" t="s">
        <v>365</v>
      </c>
      <c r="AE74">
        <v>150000</v>
      </c>
      <c r="AF74" s="10">
        <v>43647</v>
      </c>
      <c r="AG74" t="s">
        <v>128</v>
      </c>
      <c r="AI74" t="s">
        <v>89</v>
      </c>
      <c r="AJ74" t="s">
        <v>416</v>
      </c>
      <c r="AK74">
        <v>800000</v>
      </c>
      <c r="AL74" s="10">
        <v>44010</v>
      </c>
      <c r="AM74" t="s">
        <v>128</v>
      </c>
      <c r="AO74" t="s">
        <v>89</v>
      </c>
      <c r="AP74" t="s">
        <v>445</v>
      </c>
      <c r="AQ74">
        <v>5</v>
      </c>
      <c r="AR74" s="10">
        <v>44373</v>
      </c>
      <c r="AS74" t="s">
        <v>128</v>
      </c>
      <c r="AU74" t="s">
        <v>89</v>
      </c>
      <c r="AV74" t="s">
        <v>435</v>
      </c>
      <c r="AW74">
        <v>6</v>
      </c>
      <c r="AX74" s="10">
        <v>44737</v>
      </c>
      <c r="AY74" t="s">
        <v>128</v>
      </c>
      <c r="BA74" t="s">
        <v>89</v>
      </c>
      <c r="BB74" t="s">
        <v>435</v>
      </c>
      <c r="BC74">
        <v>9</v>
      </c>
      <c r="BD74">
        <v>45103</v>
      </c>
      <c r="BE74" t="s">
        <v>128</v>
      </c>
      <c r="BG74" t="s">
        <v>89</v>
      </c>
      <c r="BH74" t="s">
        <v>435</v>
      </c>
      <c r="BI74">
        <v>8</v>
      </c>
      <c r="BJ74">
        <v>45467</v>
      </c>
      <c r="BK74" t="s">
        <v>128</v>
      </c>
      <c r="BL74" t="s">
        <v>89</v>
      </c>
      <c r="BM74" t="s">
        <v>435</v>
      </c>
      <c r="BN74">
        <v>9</v>
      </c>
      <c r="BO74">
        <v>45828</v>
      </c>
      <c r="BP74" t="s">
        <v>128</v>
      </c>
    </row>
    <row r="75" spans="1:68">
      <c r="A75" t="s">
        <v>89</v>
      </c>
      <c r="B75" t="s">
        <v>435</v>
      </c>
      <c r="C75">
        <v>15</v>
      </c>
      <c r="D75" s="10">
        <v>46190</v>
      </c>
      <c r="E75" t="s">
        <v>128</v>
      </c>
      <c r="I75" s="13" t="s">
        <v>140</v>
      </c>
      <c r="J75" s="13"/>
      <c r="K75" s="13"/>
      <c r="L75" s="18"/>
      <c r="M75" s="18"/>
      <c r="N75" s="18">
        <v>1242000</v>
      </c>
      <c r="W75" t="s">
        <v>87</v>
      </c>
      <c r="X75" t="s">
        <v>132</v>
      </c>
      <c r="Y75" s="9">
        <v>536986.30000000005</v>
      </c>
      <c r="Z75" s="10">
        <v>43276</v>
      </c>
      <c r="AA75" t="s">
        <v>128</v>
      </c>
      <c r="AC75" t="s">
        <v>14</v>
      </c>
      <c r="AD75" t="s">
        <v>131</v>
      </c>
      <c r="AE75">
        <v>2000</v>
      </c>
      <c r="AF75" s="10">
        <v>43647</v>
      </c>
      <c r="AG75" t="s">
        <v>128</v>
      </c>
      <c r="AI75" t="s">
        <v>91</v>
      </c>
      <c r="AJ75" t="s">
        <v>92</v>
      </c>
      <c r="AK75">
        <v>1200000</v>
      </c>
      <c r="AL75" s="10">
        <v>44010</v>
      </c>
      <c r="AM75" t="s">
        <v>128</v>
      </c>
      <c r="AO75" t="s">
        <v>91</v>
      </c>
      <c r="AP75" t="s">
        <v>458</v>
      </c>
      <c r="AQ75">
        <v>76</v>
      </c>
      <c r="AR75" s="10">
        <v>44373</v>
      </c>
      <c r="AS75" t="s">
        <v>128</v>
      </c>
      <c r="AU75" t="s">
        <v>91</v>
      </c>
      <c r="AV75" t="s">
        <v>92</v>
      </c>
      <c r="AW75">
        <v>40</v>
      </c>
      <c r="AX75" s="10">
        <v>44737</v>
      </c>
      <c r="AY75" t="s">
        <v>128</v>
      </c>
      <c r="BA75" t="s">
        <v>91</v>
      </c>
      <c r="BB75" t="s">
        <v>92</v>
      </c>
      <c r="BC75">
        <v>50</v>
      </c>
      <c r="BD75">
        <v>45103</v>
      </c>
      <c r="BE75" t="s">
        <v>128</v>
      </c>
      <c r="BG75" t="s">
        <v>91</v>
      </c>
      <c r="BH75" t="s">
        <v>532</v>
      </c>
      <c r="BI75">
        <v>133</v>
      </c>
      <c r="BJ75">
        <v>45467</v>
      </c>
      <c r="BK75" t="s">
        <v>128</v>
      </c>
      <c r="BL75" t="s">
        <v>91</v>
      </c>
      <c r="BM75" t="s">
        <v>569</v>
      </c>
      <c r="BN75">
        <v>170</v>
      </c>
      <c r="BO75">
        <v>45828</v>
      </c>
      <c r="BP75" t="s">
        <v>128</v>
      </c>
    </row>
    <row r="76" spans="1:68">
      <c r="A76" t="s">
        <v>91</v>
      </c>
      <c r="B76" t="s">
        <v>610</v>
      </c>
      <c r="C76">
        <v>190</v>
      </c>
      <c r="D76" s="10">
        <v>46190</v>
      </c>
      <c r="E76" t="s">
        <v>128</v>
      </c>
      <c r="I76" s="13" t="s">
        <v>141</v>
      </c>
      <c r="J76" s="13">
        <v>0.5</v>
      </c>
      <c r="K76" s="13">
        <f>J76*5</f>
        <v>2.5</v>
      </c>
      <c r="L76" s="18">
        <v>225000</v>
      </c>
      <c r="M76" s="18">
        <f>L76+(L76*$M$71)</f>
        <v>318487.5</v>
      </c>
      <c r="N76" s="18">
        <f>M76*K76</f>
        <v>796218.75</v>
      </c>
      <c r="W76" t="s">
        <v>16</v>
      </c>
      <c r="X76" t="s">
        <v>119</v>
      </c>
      <c r="Y76" s="9">
        <v>700000</v>
      </c>
      <c r="Z76" s="10">
        <v>43276</v>
      </c>
      <c r="AA76" t="s">
        <v>128</v>
      </c>
      <c r="AC76" t="s">
        <v>111</v>
      </c>
      <c r="AD76" t="s">
        <v>366</v>
      </c>
      <c r="AE76" t="e">
        <f>50*AJ32</f>
        <v>#VALUE!</v>
      </c>
      <c r="AF76" s="10">
        <v>43647</v>
      </c>
      <c r="AG76" t="s">
        <v>128</v>
      </c>
      <c r="AI76" t="s">
        <v>94</v>
      </c>
      <c r="AJ76" t="s">
        <v>95</v>
      </c>
      <c r="AK76">
        <v>76000</v>
      </c>
      <c r="AL76" s="10">
        <v>44010</v>
      </c>
      <c r="AM76" t="s">
        <v>128</v>
      </c>
      <c r="AO76" t="s">
        <v>94</v>
      </c>
      <c r="AP76" t="s">
        <v>95</v>
      </c>
      <c r="AQ76">
        <v>3</v>
      </c>
      <c r="AR76" s="10">
        <v>44373</v>
      </c>
      <c r="AS76" t="s">
        <v>128</v>
      </c>
      <c r="AU76" t="s">
        <v>94</v>
      </c>
      <c r="AV76" t="s">
        <v>95</v>
      </c>
      <c r="AW76">
        <v>0</v>
      </c>
      <c r="AX76" s="10">
        <v>44737</v>
      </c>
      <c r="AY76" t="s">
        <v>128</v>
      </c>
      <c r="BA76" t="s">
        <v>94</v>
      </c>
      <c r="BB76" t="s">
        <v>95</v>
      </c>
      <c r="BC76">
        <v>0</v>
      </c>
      <c r="BD76">
        <v>45103</v>
      </c>
      <c r="BE76" t="s">
        <v>128</v>
      </c>
      <c r="BG76" t="s">
        <v>94</v>
      </c>
      <c r="BH76" t="s">
        <v>531</v>
      </c>
      <c r="BI76">
        <v>75</v>
      </c>
      <c r="BJ76">
        <v>45467</v>
      </c>
      <c r="BK76" t="s">
        <v>128</v>
      </c>
      <c r="BL76" t="s">
        <v>94</v>
      </c>
      <c r="BM76" t="s">
        <v>542</v>
      </c>
      <c r="BN76">
        <v>85</v>
      </c>
      <c r="BO76">
        <v>45828</v>
      </c>
      <c r="BP76" t="s">
        <v>128</v>
      </c>
    </row>
    <row r="77" spans="1:68">
      <c r="A77" t="s">
        <v>94</v>
      </c>
      <c r="B77" t="s">
        <v>542</v>
      </c>
      <c r="C77">
        <v>95</v>
      </c>
      <c r="D77" s="10">
        <v>46190</v>
      </c>
      <c r="E77" t="s">
        <v>128</v>
      </c>
      <c r="I77" s="13" t="s">
        <v>142</v>
      </c>
      <c r="J77" s="13">
        <v>0.5</v>
      </c>
      <c r="K77" s="13">
        <f>J77*4</f>
        <v>2</v>
      </c>
      <c r="L77" s="18">
        <v>180000</v>
      </c>
      <c r="M77" s="18">
        <f>L77+(L77*$M$71)</f>
        <v>254790</v>
      </c>
      <c r="N77" s="18">
        <f>M77*K77</f>
        <v>509580</v>
      </c>
      <c r="W77" t="s">
        <v>118</v>
      </c>
      <c r="X77" t="s">
        <v>133</v>
      </c>
      <c r="Y77" s="9">
        <v>6465377.9375999998</v>
      </c>
      <c r="Z77" s="10">
        <v>43276</v>
      </c>
      <c r="AA77" t="s">
        <v>128</v>
      </c>
      <c r="AC77" t="s">
        <v>15</v>
      </c>
      <c r="AD77" t="s">
        <v>338</v>
      </c>
      <c r="AE77">
        <f>16500*4</f>
        <v>66000</v>
      </c>
      <c r="AF77" s="10">
        <v>43647</v>
      </c>
      <c r="AG77" t="s">
        <v>128</v>
      </c>
      <c r="AI77" t="s">
        <v>99</v>
      </c>
      <c r="AJ77" t="s">
        <v>390</v>
      </c>
      <c r="AK77">
        <v>420000</v>
      </c>
      <c r="AL77" s="10">
        <v>44010</v>
      </c>
      <c r="AM77" t="s">
        <v>128</v>
      </c>
      <c r="AO77" t="s">
        <v>99</v>
      </c>
      <c r="AP77" t="s">
        <v>448</v>
      </c>
      <c r="AQ77">
        <v>12</v>
      </c>
      <c r="AR77" s="10">
        <v>44373</v>
      </c>
      <c r="AS77" t="s">
        <v>128</v>
      </c>
      <c r="AU77" t="s">
        <v>99</v>
      </c>
      <c r="AV77" t="s">
        <v>448</v>
      </c>
      <c r="AW77">
        <v>0</v>
      </c>
      <c r="AX77" s="10">
        <v>44737</v>
      </c>
      <c r="AY77" t="s">
        <v>128</v>
      </c>
      <c r="BA77" t="s">
        <v>99</v>
      </c>
      <c r="BB77" t="s">
        <v>448</v>
      </c>
      <c r="BC77">
        <v>7</v>
      </c>
      <c r="BD77">
        <v>45103</v>
      </c>
      <c r="BE77" t="s">
        <v>128</v>
      </c>
      <c r="BG77" t="s">
        <v>99</v>
      </c>
      <c r="BH77" t="s">
        <v>448</v>
      </c>
      <c r="BI77">
        <v>10</v>
      </c>
      <c r="BJ77">
        <v>45467</v>
      </c>
      <c r="BK77" t="s">
        <v>128</v>
      </c>
      <c r="BL77" t="s">
        <v>99</v>
      </c>
      <c r="BM77" t="s">
        <v>448</v>
      </c>
      <c r="BN77">
        <v>15</v>
      </c>
      <c r="BO77">
        <v>45828</v>
      </c>
      <c r="BP77" t="s">
        <v>128</v>
      </c>
    </row>
    <row r="78" spans="1:68">
      <c r="A78" t="s">
        <v>99</v>
      </c>
      <c r="B78" t="s">
        <v>448</v>
      </c>
      <c r="C78">
        <v>20</v>
      </c>
      <c r="D78" s="10">
        <v>46190</v>
      </c>
      <c r="E78" t="s">
        <v>128</v>
      </c>
      <c r="I78" s="13" t="s">
        <v>143</v>
      </c>
      <c r="J78" s="13">
        <v>0.5</v>
      </c>
      <c r="K78" s="13">
        <f>J78*4</f>
        <v>2</v>
      </c>
      <c r="L78" s="18">
        <v>200000</v>
      </c>
      <c r="M78" s="18">
        <f>L78+(L78*$M$71)</f>
        <v>283100</v>
      </c>
      <c r="N78" s="18">
        <f>M78*K78</f>
        <v>566200</v>
      </c>
      <c r="W78" t="s">
        <v>81</v>
      </c>
      <c r="X78" t="s">
        <v>84</v>
      </c>
      <c r="Y78" s="9">
        <v>5196000</v>
      </c>
      <c r="Z78" s="10">
        <v>43312</v>
      </c>
      <c r="AA78" t="s">
        <v>120</v>
      </c>
      <c r="AC78" t="s">
        <v>87</v>
      </c>
      <c r="AD78" t="s">
        <v>362</v>
      </c>
      <c r="AE78">
        <f>29300+180500+50000</f>
        <v>259800</v>
      </c>
      <c r="AF78" s="10">
        <v>43647</v>
      </c>
      <c r="AG78" t="s">
        <v>128</v>
      </c>
      <c r="AI78" t="s">
        <v>103</v>
      </c>
      <c r="AJ78" t="s">
        <v>379</v>
      </c>
      <c r="AK78">
        <v>4660000</v>
      </c>
      <c r="AL78" s="10">
        <v>44010</v>
      </c>
      <c r="AM78" t="s">
        <v>128</v>
      </c>
      <c r="AO78" t="s">
        <v>103</v>
      </c>
      <c r="AP78" t="s">
        <v>444</v>
      </c>
      <c r="AQ78" s="196">
        <v>30</v>
      </c>
      <c r="AR78" s="10">
        <v>44373</v>
      </c>
      <c r="AS78" t="s">
        <v>128</v>
      </c>
      <c r="AU78" t="s">
        <v>103</v>
      </c>
      <c r="AV78" t="s">
        <v>444</v>
      </c>
      <c r="AW78">
        <v>35</v>
      </c>
      <c r="AX78" s="10">
        <v>44737</v>
      </c>
      <c r="AY78" t="s">
        <v>128</v>
      </c>
      <c r="BA78" t="s">
        <v>103</v>
      </c>
      <c r="BB78" t="s">
        <v>444</v>
      </c>
      <c r="BC78">
        <v>35</v>
      </c>
      <c r="BD78">
        <v>45103</v>
      </c>
      <c r="BE78" t="s">
        <v>128</v>
      </c>
      <c r="BG78" t="s">
        <v>103</v>
      </c>
      <c r="BH78" t="s">
        <v>444</v>
      </c>
      <c r="BI78">
        <v>35</v>
      </c>
      <c r="BJ78">
        <v>45467</v>
      </c>
      <c r="BK78" t="s">
        <v>128</v>
      </c>
      <c r="BL78" t="s">
        <v>103</v>
      </c>
      <c r="BM78" t="s">
        <v>574</v>
      </c>
      <c r="BN78">
        <v>35</v>
      </c>
      <c r="BO78">
        <v>45828</v>
      </c>
      <c r="BP78" t="s">
        <v>128</v>
      </c>
    </row>
    <row r="79" spans="1:68">
      <c r="A79" t="s">
        <v>103</v>
      </c>
      <c r="B79" t="s">
        <v>574</v>
      </c>
      <c r="C79">
        <v>40</v>
      </c>
      <c r="D79" s="10">
        <v>46190</v>
      </c>
      <c r="E79" t="s">
        <v>128</v>
      </c>
      <c r="I79" s="13" t="s">
        <v>144</v>
      </c>
      <c r="J79" s="13"/>
      <c r="K79" s="13"/>
      <c r="L79" s="18"/>
      <c r="M79" s="18"/>
      <c r="N79" s="18">
        <v>248300</v>
      </c>
      <c r="W79" t="s">
        <v>89</v>
      </c>
      <c r="X79" t="s">
        <v>88</v>
      </c>
      <c r="Y79" s="9">
        <v>3100000</v>
      </c>
      <c r="Z79" s="10">
        <v>43312</v>
      </c>
      <c r="AA79" t="s">
        <v>120</v>
      </c>
      <c r="AC79" t="s">
        <v>16</v>
      </c>
      <c r="AD79" t="s">
        <v>119</v>
      </c>
      <c r="AE79">
        <v>7</v>
      </c>
      <c r="AF79" s="10">
        <v>43647</v>
      </c>
      <c r="AG79" t="s">
        <v>128</v>
      </c>
      <c r="AI79" t="s">
        <v>107</v>
      </c>
      <c r="AJ79" t="s">
        <v>417</v>
      </c>
      <c r="AK79">
        <v>3045000</v>
      </c>
      <c r="AL79" s="10">
        <v>44010</v>
      </c>
      <c r="AM79" t="s">
        <v>128</v>
      </c>
      <c r="AO79" t="s">
        <v>107</v>
      </c>
      <c r="AP79" t="s">
        <v>413</v>
      </c>
      <c r="AQ79">
        <v>0</v>
      </c>
      <c r="AR79" s="10">
        <v>44373</v>
      </c>
      <c r="AS79" t="s">
        <v>128</v>
      </c>
      <c r="AU79" t="s">
        <v>107</v>
      </c>
      <c r="AV79" t="s">
        <v>477</v>
      </c>
      <c r="AW79">
        <v>50</v>
      </c>
      <c r="AX79" s="10">
        <v>44737</v>
      </c>
      <c r="AY79" t="s">
        <v>128</v>
      </c>
      <c r="BA79" t="s">
        <v>107</v>
      </c>
      <c r="BB79" t="s">
        <v>507</v>
      </c>
      <c r="BC79">
        <v>25</v>
      </c>
      <c r="BD79">
        <v>45103</v>
      </c>
      <c r="BE79" t="s">
        <v>128</v>
      </c>
      <c r="BG79" t="s">
        <v>107</v>
      </c>
      <c r="BH79" t="s">
        <v>534</v>
      </c>
      <c r="BI79">
        <v>90</v>
      </c>
      <c r="BJ79">
        <v>45467</v>
      </c>
      <c r="BK79" t="s">
        <v>128</v>
      </c>
      <c r="BL79" t="s">
        <v>107</v>
      </c>
      <c r="BM79" t="s">
        <v>413</v>
      </c>
      <c r="BN79">
        <v>0</v>
      </c>
      <c r="BO79">
        <v>45828</v>
      </c>
      <c r="BP79" t="s">
        <v>128</v>
      </c>
    </row>
    <row r="80" spans="1:68">
      <c r="A80" t="s">
        <v>107</v>
      </c>
      <c r="B80" t="s">
        <v>624</v>
      </c>
      <c r="C80">
        <v>35</v>
      </c>
      <c r="D80" s="10">
        <v>46190</v>
      </c>
      <c r="E80" t="s">
        <v>128</v>
      </c>
      <c r="I80" s="13"/>
      <c r="J80" s="13"/>
      <c r="K80" s="13"/>
      <c r="L80" s="18"/>
      <c r="M80" s="18"/>
      <c r="N80" s="18"/>
      <c r="W80" t="s">
        <v>91</v>
      </c>
      <c r="X80" t="s">
        <v>92</v>
      </c>
      <c r="Y80" s="9">
        <v>3374</v>
      </c>
      <c r="Z80" s="10">
        <v>43312</v>
      </c>
      <c r="AA80" t="s">
        <v>120</v>
      </c>
      <c r="AC80" t="s">
        <v>118</v>
      </c>
      <c r="AD80" t="s">
        <v>367</v>
      </c>
      <c r="AE80">
        <f>AK53</f>
        <v>8825000</v>
      </c>
      <c r="AF80" s="10">
        <v>43647</v>
      </c>
      <c r="AG80" t="s">
        <v>128</v>
      </c>
      <c r="AI80" t="s">
        <v>14</v>
      </c>
      <c r="AJ80" t="s">
        <v>131</v>
      </c>
      <c r="AK80">
        <v>0</v>
      </c>
      <c r="AL80" s="10">
        <v>44010</v>
      </c>
      <c r="AM80" t="s">
        <v>128</v>
      </c>
      <c r="AO80" t="s">
        <v>195</v>
      </c>
      <c r="AP80" t="s">
        <v>413</v>
      </c>
      <c r="AQ80">
        <v>0</v>
      </c>
      <c r="AR80" s="10">
        <v>44373</v>
      </c>
      <c r="AS80" t="s">
        <v>128</v>
      </c>
      <c r="AU80" t="s">
        <v>118</v>
      </c>
      <c r="AV80" t="s">
        <v>478</v>
      </c>
      <c r="AW80">
        <v>40</v>
      </c>
      <c r="AX80" s="10">
        <v>44737</v>
      </c>
      <c r="AY80" t="s">
        <v>128</v>
      </c>
      <c r="BA80" t="s">
        <v>14</v>
      </c>
      <c r="BB80" t="s">
        <v>503</v>
      </c>
      <c r="BC80">
        <v>70</v>
      </c>
      <c r="BD80">
        <v>45103</v>
      </c>
      <c r="BE80" t="s">
        <v>128</v>
      </c>
      <c r="BG80" t="s">
        <v>14</v>
      </c>
      <c r="BH80" t="s">
        <v>503</v>
      </c>
      <c r="BI80">
        <v>70</v>
      </c>
      <c r="BJ80">
        <v>45467</v>
      </c>
      <c r="BK80" t="s">
        <v>128</v>
      </c>
      <c r="BL80" t="s">
        <v>14</v>
      </c>
      <c r="BM80" t="s">
        <v>503</v>
      </c>
      <c r="BN80">
        <v>70</v>
      </c>
      <c r="BO80">
        <v>45828</v>
      </c>
      <c r="BP80" t="s">
        <v>128</v>
      </c>
    </row>
    <row r="81" spans="1:68">
      <c r="A81" t="s">
        <v>14</v>
      </c>
      <c r="B81" t="s">
        <v>503</v>
      </c>
      <c r="C81">
        <v>70</v>
      </c>
      <c r="D81" s="10">
        <v>46190</v>
      </c>
      <c r="E81" t="s">
        <v>128</v>
      </c>
      <c r="I81" s="13"/>
      <c r="J81" s="13"/>
      <c r="K81" s="13"/>
      <c r="L81" s="18"/>
      <c r="M81" s="18"/>
      <c r="N81" s="18"/>
      <c r="W81" t="s">
        <v>94</v>
      </c>
      <c r="X81" t="s">
        <v>95</v>
      </c>
      <c r="Y81" s="9">
        <v>0</v>
      </c>
      <c r="Z81" s="10">
        <v>43312</v>
      </c>
      <c r="AA81" t="s">
        <v>120</v>
      </c>
      <c r="AC81" t="s">
        <v>81</v>
      </c>
      <c r="AD81" t="s">
        <v>145</v>
      </c>
      <c r="AE81">
        <v>65000</v>
      </c>
      <c r="AF81" s="10">
        <v>43678</v>
      </c>
      <c r="AG81" t="s">
        <v>120</v>
      </c>
      <c r="AI81" t="s">
        <v>111</v>
      </c>
      <c r="AJ81" t="s">
        <v>418</v>
      </c>
      <c r="AK81">
        <v>10116575.505000001</v>
      </c>
      <c r="AL81" s="10">
        <v>44010</v>
      </c>
      <c r="AM81" t="s">
        <v>128</v>
      </c>
      <c r="AO81" t="s">
        <v>111</v>
      </c>
      <c r="AP81" t="s">
        <v>443</v>
      </c>
      <c r="AQ81" s="19">
        <v>50</v>
      </c>
      <c r="AR81" s="10">
        <v>44373</v>
      </c>
      <c r="AS81" t="s">
        <v>128</v>
      </c>
      <c r="AU81" t="s">
        <v>111</v>
      </c>
      <c r="AV81" t="s">
        <v>482</v>
      </c>
      <c r="AW81">
        <v>25</v>
      </c>
      <c r="AX81" s="10">
        <v>44737</v>
      </c>
      <c r="AY81" t="s">
        <v>128</v>
      </c>
      <c r="BA81" t="s">
        <v>111</v>
      </c>
      <c r="BB81" t="s">
        <v>508</v>
      </c>
      <c r="BC81">
        <v>10</v>
      </c>
      <c r="BD81">
        <v>45103</v>
      </c>
      <c r="BE81" t="s">
        <v>128</v>
      </c>
      <c r="BG81" t="s">
        <v>111</v>
      </c>
      <c r="BH81" t="s">
        <v>536</v>
      </c>
      <c r="BI81">
        <v>40</v>
      </c>
      <c r="BJ81">
        <v>45467</v>
      </c>
      <c r="BK81" t="s">
        <v>128</v>
      </c>
      <c r="BL81" t="s">
        <v>111</v>
      </c>
      <c r="BM81" t="s">
        <v>578</v>
      </c>
      <c r="BN81">
        <v>75</v>
      </c>
      <c r="BO81">
        <v>45828</v>
      </c>
      <c r="BP81" t="s">
        <v>128</v>
      </c>
    </row>
    <row r="82" spans="1:68">
      <c r="A82" t="s">
        <v>111</v>
      </c>
      <c r="B82" t="s">
        <v>625</v>
      </c>
      <c r="C82">
        <v>25</v>
      </c>
      <c r="D82" s="10">
        <v>46190</v>
      </c>
      <c r="E82" t="s">
        <v>128</v>
      </c>
      <c r="I82" s="13"/>
      <c r="J82" s="13"/>
      <c r="K82" s="13"/>
      <c r="L82" s="13"/>
      <c r="M82" s="13"/>
      <c r="N82" s="18"/>
      <c r="W82" t="s">
        <v>99</v>
      </c>
      <c r="X82" t="s">
        <v>100</v>
      </c>
      <c r="Y82" s="9">
        <v>0</v>
      </c>
      <c r="Z82" s="10">
        <v>43312</v>
      </c>
      <c r="AA82" t="s">
        <v>120</v>
      </c>
      <c r="AC82" t="s">
        <v>89</v>
      </c>
      <c r="AD82" t="s">
        <v>153</v>
      </c>
      <c r="AE82">
        <f>90000+25000</f>
        <v>115000</v>
      </c>
      <c r="AF82" s="10">
        <v>43678</v>
      </c>
      <c r="AG82" t="s">
        <v>120</v>
      </c>
      <c r="AI82" t="s">
        <v>15</v>
      </c>
      <c r="AJ82" t="s">
        <v>413</v>
      </c>
      <c r="AL82" s="10">
        <v>44010</v>
      </c>
      <c r="AM82" t="s">
        <v>128</v>
      </c>
      <c r="AO82" t="s">
        <v>15</v>
      </c>
      <c r="AP82" t="s">
        <v>457</v>
      </c>
      <c r="AQ82">
        <v>78</v>
      </c>
      <c r="AR82" s="10">
        <v>44373</v>
      </c>
      <c r="AS82" t="s">
        <v>128</v>
      </c>
      <c r="AU82" t="s">
        <v>15</v>
      </c>
      <c r="AV82" t="s">
        <v>479</v>
      </c>
      <c r="AW82">
        <v>30</v>
      </c>
      <c r="AX82" s="10">
        <v>44737</v>
      </c>
      <c r="AY82" t="s">
        <v>128</v>
      </c>
      <c r="BA82" t="s">
        <v>15</v>
      </c>
      <c r="BB82" t="s">
        <v>509</v>
      </c>
      <c r="BC82">
        <v>14</v>
      </c>
      <c r="BD82">
        <v>45103</v>
      </c>
      <c r="BE82" t="s">
        <v>128</v>
      </c>
      <c r="BG82" t="s">
        <v>118</v>
      </c>
      <c r="BH82" t="s">
        <v>535</v>
      </c>
      <c r="BI82">
        <v>45</v>
      </c>
      <c r="BJ82">
        <v>45467</v>
      </c>
      <c r="BK82" t="s">
        <v>128</v>
      </c>
      <c r="BL82" t="s">
        <v>118</v>
      </c>
      <c r="BM82" t="s">
        <v>413</v>
      </c>
      <c r="BN82">
        <v>0</v>
      </c>
      <c r="BO82">
        <v>45828</v>
      </c>
      <c r="BP82" t="s">
        <v>128</v>
      </c>
    </row>
    <row r="83" spans="1:68">
      <c r="A83" t="s">
        <v>118</v>
      </c>
      <c r="B83" t="s">
        <v>626</v>
      </c>
      <c r="C83">
        <v>30</v>
      </c>
      <c r="D83" s="10">
        <v>46190</v>
      </c>
      <c r="E83" t="s">
        <v>128</v>
      </c>
      <c r="I83" s="13"/>
      <c r="J83" s="13"/>
      <c r="K83" s="13"/>
      <c r="L83" s="13"/>
      <c r="M83" s="13"/>
      <c r="N83" s="18">
        <f>SUM(N73:N82)</f>
        <v>8387323.75</v>
      </c>
      <c r="W83" t="s">
        <v>103</v>
      </c>
      <c r="X83" t="s">
        <v>104</v>
      </c>
      <c r="Y83" s="9">
        <v>10000000</v>
      </c>
      <c r="Z83" s="10">
        <v>43312</v>
      </c>
      <c r="AA83" t="s">
        <v>120</v>
      </c>
      <c r="AC83" t="s">
        <v>91</v>
      </c>
      <c r="AD83" t="s">
        <v>92</v>
      </c>
      <c r="AE83">
        <v>80819.929999999993</v>
      </c>
      <c r="AF83" s="10">
        <v>43678</v>
      </c>
      <c r="AG83" t="s">
        <v>120</v>
      </c>
      <c r="AI83" t="s">
        <v>87</v>
      </c>
      <c r="AJ83" t="s">
        <v>158</v>
      </c>
      <c r="AK83">
        <v>4770000</v>
      </c>
      <c r="AL83" s="10">
        <v>44010</v>
      </c>
      <c r="AM83" t="s">
        <v>128</v>
      </c>
      <c r="AO83" t="s">
        <v>87</v>
      </c>
      <c r="AP83" t="s">
        <v>158</v>
      </c>
      <c r="AQ83">
        <v>58</v>
      </c>
      <c r="AR83" s="10">
        <v>44373</v>
      </c>
      <c r="AS83" t="s">
        <v>128</v>
      </c>
      <c r="AU83" t="s">
        <v>87</v>
      </c>
      <c r="AV83" t="s">
        <v>158</v>
      </c>
      <c r="AW83">
        <v>70</v>
      </c>
      <c r="AX83" s="10">
        <v>44737</v>
      </c>
      <c r="AY83" t="s">
        <v>128</v>
      </c>
      <c r="BA83" t="s">
        <v>87</v>
      </c>
      <c r="BB83" t="s">
        <v>158</v>
      </c>
      <c r="BC83">
        <v>90</v>
      </c>
      <c r="BD83">
        <v>45103</v>
      </c>
      <c r="BE83" t="s">
        <v>128</v>
      </c>
      <c r="BG83" t="s">
        <v>87</v>
      </c>
      <c r="BH83" t="s">
        <v>158</v>
      </c>
      <c r="BI83">
        <v>85</v>
      </c>
      <c r="BJ83">
        <v>45467</v>
      </c>
      <c r="BK83" t="s">
        <v>128</v>
      </c>
      <c r="BL83" t="s">
        <v>87</v>
      </c>
      <c r="BM83" t="s">
        <v>158</v>
      </c>
      <c r="BN83">
        <v>90</v>
      </c>
      <c r="BO83">
        <v>45828</v>
      </c>
      <c r="BP83" t="s">
        <v>128</v>
      </c>
    </row>
    <row r="84" spans="1:68">
      <c r="A84" t="s">
        <v>87</v>
      </c>
      <c r="B84" t="s">
        <v>158</v>
      </c>
      <c r="C84">
        <v>100</v>
      </c>
      <c r="D84" s="10">
        <v>46190</v>
      </c>
      <c r="E84" t="s">
        <v>128</v>
      </c>
      <c r="W84" t="s">
        <v>15</v>
      </c>
      <c r="X84" t="s">
        <v>108</v>
      </c>
      <c r="Y84" s="9">
        <v>9000000</v>
      </c>
      <c r="Z84" s="10">
        <v>43312</v>
      </c>
      <c r="AA84" t="s">
        <v>120</v>
      </c>
      <c r="AC84" t="s">
        <v>94</v>
      </c>
      <c r="AD84" t="s">
        <v>95</v>
      </c>
      <c r="AE84">
        <v>76140</v>
      </c>
      <c r="AF84" s="10">
        <v>43678</v>
      </c>
      <c r="AG84" t="s">
        <v>120</v>
      </c>
      <c r="AI84" t="s">
        <v>16</v>
      </c>
      <c r="AJ84" t="s">
        <v>119</v>
      </c>
      <c r="AK84">
        <v>7</v>
      </c>
      <c r="AL84" s="10">
        <v>44010</v>
      </c>
      <c r="AM84" t="s">
        <v>128</v>
      </c>
      <c r="AO84" t="s">
        <v>16</v>
      </c>
      <c r="AP84" t="s">
        <v>119</v>
      </c>
      <c r="AQ84">
        <v>0</v>
      </c>
      <c r="AR84" s="10">
        <v>44373</v>
      </c>
      <c r="AS84" t="s">
        <v>128</v>
      </c>
      <c r="AU84" t="s">
        <v>16</v>
      </c>
      <c r="AV84" t="s">
        <v>480</v>
      </c>
      <c r="AW84">
        <v>100</v>
      </c>
      <c r="AX84" s="10">
        <v>44737</v>
      </c>
      <c r="AY84" t="s">
        <v>128</v>
      </c>
      <c r="BA84" t="s">
        <v>16</v>
      </c>
      <c r="BB84" t="s">
        <v>480</v>
      </c>
      <c r="BC84">
        <v>100</v>
      </c>
      <c r="BD84">
        <v>45103</v>
      </c>
      <c r="BE84" t="s">
        <v>128</v>
      </c>
      <c r="BG84" t="s">
        <v>16</v>
      </c>
      <c r="BH84" t="s">
        <v>480</v>
      </c>
      <c r="BI84">
        <v>100</v>
      </c>
      <c r="BJ84">
        <v>45467</v>
      </c>
      <c r="BK84" t="s">
        <v>128</v>
      </c>
      <c r="BL84" t="s">
        <v>16</v>
      </c>
      <c r="BM84" t="s">
        <v>480</v>
      </c>
      <c r="BN84">
        <v>100</v>
      </c>
      <c r="BO84">
        <v>45828</v>
      </c>
      <c r="BP84" t="s">
        <v>128</v>
      </c>
    </row>
    <row r="85" spans="1:68">
      <c r="A85" t="s">
        <v>16</v>
      </c>
      <c r="B85" t="s">
        <v>604</v>
      </c>
      <c r="C85">
        <v>150</v>
      </c>
      <c r="D85" s="10">
        <v>46190</v>
      </c>
      <c r="E85" t="s">
        <v>128</v>
      </c>
      <c r="W85" t="s">
        <v>14</v>
      </c>
      <c r="X85" t="s">
        <v>131</v>
      </c>
      <c r="Y85" s="9">
        <v>40000</v>
      </c>
      <c r="Z85" s="10">
        <v>43312</v>
      </c>
      <c r="AA85" t="s">
        <v>120</v>
      </c>
      <c r="AC85" t="s">
        <v>99</v>
      </c>
      <c r="AD85" t="s">
        <v>100</v>
      </c>
      <c r="AE85">
        <v>4000</v>
      </c>
      <c r="AF85" s="10">
        <v>43678</v>
      </c>
      <c r="AG85" t="s">
        <v>120</v>
      </c>
      <c r="AI85" t="s">
        <v>118</v>
      </c>
      <c r="AJ85" t="s">
        <v>419</v>
      </c>
      <c r="AK85">
        <v>2339260</v>
      </c>
      <c r="AL85" s="10">
        <v>44010</v>
      </c>
      <c r="AM85" t="s">
        <v>128</v>
      </c>
      <c r="AO85" t="s">
        <v>118</v>
      </c>
      <c r="AP85" t="s">
        <v>440</v>
      </c>
      <c r="AQ85">
        <v>0</v>
      </c>
      <c r="AR85" s="10">
        <v>44373</v>
      </c>
      <c r="AS85" t="s">
        <v>128</v>
      </c>
      <c r="AU85" t="s">
        <v>179</v>
      </c>
      <c r="AV85" t="s">
        <v>481</v>
      </c>
      <c r="AW85">
        <v>12</v>
      </c>
      <c r="AX85" s="10">
        <v>44737</v>
      </c>
      <c r="AY85" t="s">
        <v>128</v>
      </c>
      <c r="BA85" t="s">
        <v>118</v>
      </c>
      <c r="BB85" t="s">
        <v>413</v>
      </c>
      <c r="BC85">
        <v>0</v>
      </c>
      <c r="BD85">
        <v>45103</v>
      </c>
      <c r="BE85" t="s">
        <v>128</v>
      </c>
      <c r="BG85" t="s">
        <v>15</v>
      </c>
      <c r="BH85" t="s">
        <v>413</v>
      </c>
      <c r="BI85">
        <v>0</v>
      </c>
      <c r="BJ85">
        <v>45467</v>
      </c>
      <c r="BK85" t="s">
        <v>128</v>
      </c>
      <c r="BL85" t="s">
        <v>15</v>
      </c>
      <c r="BM85" t="s">
        <v>413</v>
      </c>
      <c r="BN85">
        <v>0</v>
      </c>
      <c r="BO85">
        <v>45828</v>
      </c>
      <c r="BP85" t="s">
        <v>128</v>
      </c>
    </row>
    <row r="86" spans="1:68">
      <c r="A86" t="s">
        <v>179</v>
      </c>
      <c r="B86" t="s">
        <v>413</v>
      </c>
      <c r="C86">
        <v>0</v>
      </c>
      <c r="D86" s="10">
        <v>46190</v>
      </c>
      <c r="E86" t="s">
        <v>128</v>
      </c>
      <c r="W86" t="s">
        <v>111</v>
      </c>
      <c r="X86" t="s">
        <v>112</v>
      </c>
      <c r="Y86" s="9">
        <f>1620000</f>
        <v>1620000</v>
      </c>
      <c r="Z86" s="10">
        <v>43312</v>
      </c>
      <c r="AA86" t="s">
        <v>120</v>
      </c>
      <c r="AC86" t="s">
        <v>103</v>
      </c>
      <c r="AD86" t="s">
        <v>364</v>
      </c>
      <c r="AE86">
        <v>70000</v>
      </c>
      <c r="AF86" s="10">
        <v>43678</v>
      </c>
      <c r="AG86" t="s">
        <v>120</v>
      </c>
      <c r="AI86" t="s">
        <v>194</v>
      </c>
      <c r="AJ86" t="s">
        <v>396</v>
      </c>
      <c r="AK86">
        <v>86000</v>
      </c>
      <c r="AL86" s="10">
        <v>44010</v>
      </c>
      <c r="AM86" t="s">
        <v>128</v>
      </c>
      <c r="AO86" t="s">
        <v>194</v>
      </c>
      <c r="AP86" t="s">
        <v>396</v>
      </c>
      <c r="AQ86">
        <v>0.5</v>
      </c>
      <c r="AR86" s="10">
        <v>44373</v>
      </c>
      <c r="AS86" t="s">
        <v>128</v>
      </c>
      <c r="AU86" t="s">
        <v>194</v>
      </c>
      <c r="AV86" t="s">
        <v>396</v>
      </c>
      <c r="AW86">
        <v>1</v>
      </c>
      <c r="AX86" s="10">
        <v>44737</v>
      </c>
      <c r="AY86" t="s">
        <v>128</v>
      </c>
      <c r="BA86" t="s">
        <v>194</v>
      </c>
      <c r="BB86" t="s">
        <v>396</v>
      </c>
      <c r="BC86">
        <v>2</v>
      </c>
      <c r="BD86">
        <v>45103</v>
      </c>
      <c r="BE86" t="s">
        <v>128</v>
      </c>
      <c r="BG86" t="s">
        <v>194</v>
      </c>
      <c r="BH86" t="s">
        <v>396</v>
      </c>
      <c r="BI86">
        <v>2</v>
      </c>
      <c r="BJ86">
        <v>45467</v>
      </c>
      <c r="BK86" t="s">
        <v>128</v>
      </c>
      <c r="BL86" t="s">
        <v>194</v>
      </c>
      <c r="BM86" t="s">
        <v>396</v>
      </c>
      <c r="BN86">
        <v>2</v>
      </c>
      <c r="BO86">
        <v>45828</v>
      </c>
      <c r="BP86" t="s">
        <v>128</v>
      </c>
    </row>
    <row r="87" spans="1:68">
      <c r="A87" t="s">
        <v>194</v>
      </c>
      <c r="B87" t="s">
        <v>396</v>
      </c>
      <c r="C87">
        <v>2</v>
      </c>
      <c r="D87" s="10">
        <v>46190</v>
      </c>
      <c r="E87" t="s">
        <v>128</v>
      </c>
      <c r="L87" s="19">
        <v>28434000</v>
      </c>
      <c r="M87" s="17">
        <v>0.3</v>
      </c>
      <c r="N87">
        <f>L87*M87</f>
        <v>8530200</v>
      </c>
      <c r="W87" t="s">
        <v>15</v>
      </c>
      <c r="X87" t="s">
        <v>114</v>
      </c>
      <c r="Y87" s="9"/>
      <c r="Z87" s="10">
        <v>43312</v>
      </c>
      <c r="AA87" t="s">
        <v>120</v>
      </c>
      <c r="AC87" t="s">
        <v>107</v>
      </c>
      <c r="AD87" t="s">
        <v>368</v>
      </c>
      <c r="AE87">
        <v>160000</v>
      </c>
      <c r="AF87" s="10">
        <v>43678</v>
      </c>
      <c r="AG87" t="s">
        <v>120</v>
      </c>
      <c r="AI87" t="s">
        <v>81</v>
      </c>
      <c r="AJ87" t="s">
        <v>145</v>
      </c>
      <c r="AK87">
        <v>1800000</v>
      </c>
      <c r="AL87" s="10">
        <v>44043</v>
      </c>
      <c r="AM87" t="s">
        <v>120</v>
      </c>
      <c r="AO87" t="s">
        <v>81</v>
      </c>
      <c r="AP87" t="s">
        <v>426</v>
      </c>
      <c r="AQ87" s="196">
        <v>10</v>
      </c>
      <c r="AR87" s="10">
        <v>44402</v>
      </c>
      <c r="AS87" t="s">
        <v>120</v>
      </c>
      <c r="AU87" t="s">
        <v>81</v>
      </c>
      <c r="AV87" t="s">
        <v>426</v>
      </c>
      <c r="AW87">
        <v>60</v>
      </c>
      <c r="AX87" s="10">
        <v>44770</v>
      </c>
      <c r="AY87" t="s">
        <v>120</v>
      </c>
      <c r="BA87" t="s">
        <v>81</v>
      </c>
      <c r="BB87" t="s">
        <v>426</v>
      </c>
      <c r="BC87">
        <v>120</v>
      </c>
      <c r="BD87">
        <v>45131</v>
      </c>
      <c r="BE87" t="s">
        <v>120</v>
      </c>
      <c r="BG87" t="s">
        <v>81</v>
      </c>
      <c r="BH87" t="s">
        <v>426</v>
      </c>
      <c r="BI87">
        <v>120</v>
      </c>
      <c r="BJ87">
        <v>45497</v>
      </c>
      <c r="BK87" t="s">
        <v>120</v>
      </c>
      <c r="BL87" t="s">
        <v>81</v>
      </c>
      <c r="BM87" t="s">
        <v>426</v>
      </c>
      <c r="BN87">
        <v>120</v>
      </c>
      <c r="BO87">
        <v>45856</v>
      </c>
      <c r="BP87" t="s">
        <v>120</v>
      </c>
    </row>
    <row r="88" spans="1:68">
      <c r="A88" t="s">
        <v>81</v>
      </c>
      <c r="B88" t="s">
        <v>426</v>
      </c>
      <c r="C88">
        <v>180</v>
      </c>
      <c r="D88" s="10">
        <v>46221</v>
      </c>
      <c r="E88" t="s">
        <v>120</v>
      </c>
      <c r="F88" s="9"/>
      <c r="H88" s="9">
        <f>(765-230)*3.34%+6.57</f>
        <v>24.439</v>
      </c>
      <c r="W88" t="s">
        <v>87</v>
      </c>
      <c r="X88" t="s">
        <v>132</v>
      </c>
      <c r="Y88" s="9">
        <v>536986.30000000005</v>
      </c>
      <c r="Z88" s="10">
        <v>43312</v>
      </c>
      <c r="AA88" t="s">
        <v>120</v>
      </c>
      <c r="AC88" t="s">
        <v>14</v>
      </c>
      <c r="AD88" t="s">
        <v>131</v>
      </c>
      <c r="AE88">
        <v>2000</v>
      </c>
      <c r="AF88" s="10">
        <v>43678</v>
      </c>
      <c r="AG88" t="s">
        <v>120</v>
      </c>
      <c r="AI88" t="s">
        <v>89</v>
      </c>
      <c r="AJ88" t="s">
        <v>416</v>
      </c>
      <c r="AK88">
        <v>0</v>
      </c>
      <c r="AL88" s="10">
        <v>44043</v>
      </c>
      <c r="AM88" t="s">
        <v>120</v>
      </c>
      <c r="AO88" t="s">
        <v>89</v>
      </c>
      <c r="AP88" t="s">
        <v>445</v>
      </c>
      <c r="AQ88" s="196">
        <v>5</v>
      </c>
      <c r="AR88" s="10">
        <v>44402</v>
      </c>
      <c r="AS88" t="s">
        <v>120</v>
      </c>
      <c r="AU88" t="s">
        <v>89</v>
      </c>
      <c r="AV88" t="s">
        <v>435</v>
      </c>
      <c r="AW88">
        <v>6</v>
      </c>
      <c r="AX88" s="10">
        <v>44770</v>
      </c>
      <c r="AY88" t="s">
        <v>120</v>
      </c>
      <c r="BA88" t="s">
        <v>89</v>
      </c>
      <c r="BB88" t="s">
        <v>435</v>
      </c>
      <c r="BC88">
        <v>9</v>
      </c>
      <c r="BD88">
        <v>45131</v>
      </c>
      <c r="BE88" t="s">
        <v>120</v>
      </c>
      <c r="BG88" t="s">
        <v>89</v>
      </c>
      <c r="BH88" t="s">
        <v>435</v>
      </c>
      <c r="BI88">
        <v>8</v>
      </c>
      <c r="BJ88">
        <v>45497</v>
      </c>
      <c r="BK88" t="s">
        <v>120</v>
      </c>
      <c r="BL88" t="s">
        <v>89</v>
      </c>
      <c r="BM88" t="s">
        <v>435</v>
      </c>
      <c r="BN88">
        <v>9</v>
      </c>
      <c r="BO88">
        <v>45856</v>
      </c>
      <c r="BP88" t="s">
        <v>120</v>
      </c>
    </row>
    <row r="89" spans="1:68">
      <c r="A89" t="s">
        <v>89</v>
      </c>
      <c r="B89" t="s">
        <v>435</v>
      </c>
      <c r="C89">
        <v>15</v>
      </c>
      <c r="D89" s="10">
        <v>46221</v>
      </c>
      <c r="E89" t="s">
        <v>120</v>
      </c>
      <c r="F89" s="213"/>
      <c r="G89" s="213"/>
      <c r="H89" s="213">
        <v>2.56</v>
      </c>
      <c r="L89">
        <f>37200-18000</f>
        <v>19200</v>
      </c>
      <c r="M89" s="17">
        <v>1.4175</v>
      </c>
      <c r="N89">
        <f>L89*M89</f>
        <v>27216</v>
      </c>
      <c r="W89" t="s">
        <v>16</v>
      </c>
      <c r="X89" t="s">
        <v>119</v>
      </c>
      <c r="Y89" s="9">
        <v>700000</v>
      </c>
      <c r="Z89" s="10">
        <v>43312</v>
      </c>
      <c r="AA89" t="s">
        <v>120</v>
      </c>
      <c r="AC89" t="s">
        <v>111</v>
      </c>
      <c r="AD89" t="s">
        <v>366</v>
      </c>
      <c r="AE89" t="e">
        <f>50*AJ34</f>
        <v>#VALUE!</v>
      </c>
      <c r="AF89" s="10">
        <v>43678</v>
      </c>
      <c r="AG89" t="s">
        <v>120</v>
      </c>
      <c r="AI89" t="s">
        <v>91</v>
      </c>
      <c r="AJ89" t="s">
        <v>92</v>
      </c>
      <c r="AK89">
        <v>1200000</v>
      </c>
      <c r="AL89" s="10">
        <v>44043</v>
      </c>
      <c r="AM89" t="s">
        <v>120</v>
      </c>
      <c r="AO89" t="s">
        <v>91</v>
      </c>
      <c r="AP89" t="s">
        <v>458</v>
      </c>
      <c r="AQ89" s="196">
        <v>40</v>
      </c>
      <c r="AR89" s="10">
        <v>44402</v>
      </c>
      <c r="AS89" t="s">
        <v>120</v>
      </c>
      <c r="AU89" t="s">
        <v>91</v>
      </c>
      <c r="AV89" t="s">
        <v>92</v>
      </c>
      <c r="AW89">
        <v>40</v>
      </c>
      <c r="AX89" s="10">
        <v>44770</v>
      </c>
      <c r="AY89" t="s">
        <v>120</v>
      </c>
      <c r="BA89" t="s">
        <v>91</v>
      </c>
      <c r="BB89" t="s">
        <v>92</v>
      </c>
      <c r="BC89">
        <v>50</v>
      </c>
      <c r="BD89">
        <v>45131</v>
      </c>
      <c r="BE89" t="s">
        <v>120</v>
      </c>
      <c r="BG89" t="s">
        <v>91</v>
      </c>
      <c r="BH89" t="s">
        <v>532</v>
      </c>
      <c r="BI89">
        <v>133</v>
      </c>
      <c r="BJ89">
        <v>45497</v>
      </c>
      <c r="BK89" t="s">
        <v>120</v>
      </c>
      <c r="BL89" t="s">
        <v>91</v>
      </c>
      <c r="BM89" t="s">
        <v>569</v>
      </c>
      <c r="BN89">
        <v>170</v>
      </c>
      <c r="BO89">
        <v>45856</v>
      </c>
      <c r="BP89" t="s">
        <v>120</v>
      </c>
    </row>
    <row r="90" spans="1:68">
      <c r="A90" t="s">
        <v>91</v>
      </c>
      <c r="B90" t="s">
        <v>627</v>
      </c>
      <c r="C90">
        <v>160</v>
      </c>
      <c r="D90" s="10">
        <v>46221</v>
      </c>
      <c r="E90" t="s">
        <v>120</v>
      </c>
      <c r="W90" t="s">
        <v>118</v>
      </c>
      <c r="X90" t="s">
        <v>133</v>
      </c>
      <c r="Y90">
        <f>N63</f>
        <v>0</v>
      </c>
      <c r="Z90" s="10">
        <v>43312</v>
      </c>
      <c r="AA90" t="s">
        <v>120</v>
      </c>
      <c r="AC90" t="s">
        <v>15</v>
      </c>
      <c r="AD90" t="s">
        <v>338</v>
      </c>
      <c r="AE90">
        <f>12600*4</f>
        <v>50400</v>
      </c>
      <c r="AF90" s="10">
        <v>43678</v>
      </c>
      <c r="AG90" t="s">
        <v>120</v>
      </c>
      <c r="AI90" t="s">
        <v>94</v>
      </c>
      <c r="AJ90" t="s">
        <v>95</v>
      </c>
      <c r="AK90">
        <v>79000</v>
      </c>
      <c r="AL90" s="10">
        <v>44043</v>
      </c>
      <c r="AM90" t="s">
        <v>120</v>
      </c>
      <c r="AO90" t="s">
        <v>94</v>
      </c>
      <c r="AP90" t="s">
        <v>95</v>
      </c>
      <c r="AQ90" s="196">
        <v>3</v>
      </c>
      <c r="AR90" s="10">
        <v>44402</v>
      </c>
      <c r="AS90" t="s">
        <v>120</v>
      </c>
      <c r="AU90" t="s">
        <v>94</v>
      </c>
      <c r="AV90" t="s">
        <v>95</v>
      </c>
      <c r="AW90">
        <v>0</v>
      </c>
      <c r="AX90" s="10">
        <v>44770</v>
      </c>
      <c r="AY90" t="s">
        <v>120</v>
      </c>
      <c r="BA90" t="s">
        <v>94</v>
      </c>
      <c r="BB90" t="s">
        <v>95</v>
      </c>
      <c r="BC90">
        <v>0</v>
      </c>
      <c r="BD90">
        <v>45131</v>
      </c>
      <c r="BE90" t="s">
        <v>120</v>
      </c>
      <c r="BG90" t="s">
        <v>94</v>
      </c>
      <c r="BH90" t="s">
        <v>542</v>
      </c>
      <c r="BI90">
        <v>75</v>
      </c>
      <c r="BJ90">
        <v>45497</v>
      </c>
      <c r="BK90" t="s">
        <v>120</v>
      </c>
      <c r="BL90" t="s">
        <v>94</v>
      </c>
      <c r="BM90" t="s">
        <v>542</v>
      </c>
      <c r="BN90">
        <v>85</v>
      </c>
      <c r="BO90">
        <v>45856</v>
      </c>
      <c r="BP90" t="s">
        <v>120</v>
      </c>
    </row>
    <row r="91" spans="1:68">
      <c r="A91" t="s">
        <v>94</v>
      </c>
      <c r="B91" t="s">
        <v>542</v>
      </c>
      <c r="C91">
        <v>95</v>
      </c>
      <c r="D91" s="10">
        <v>46221</v>
      </c>
      <c r="E91" t="s">
        <v>120</v>
      </c>
      <c r="L91">
        <v>538700</v>
      </c>
      <c r="M91">
        <f>L91*33.8%</f>
        <v>182080.59999999998</v>
      </c>
      <c r="W91" t="s">
        <v>81</v>
      </c>
      <c r="X91" t="s">
        <v>145</v>
      </c>
      <c r="Y91" s="9">
        <v>51.96</v>
      </c>
      <c r="Z91" s="10">
        <v>43341</v>
      </c>
      <c r="AA91" t="s">
        <v>146</v>
      </c>
      <c r="AC91" t="s">
        <v>87</v>
      </c>
      <c r="AD91" t="s">
        <v>362</v>
      </c>
      <c r="AE91">
        <f>72000+90000+27500+18900+39000</f>
        <v>247400</v>
      </c>
      <c r="AF91" s="10">
        <v>43678</v>
      </c>
      <c r="AG91" t="s">
        <v>120</v>
      </c>
      <c r="AI91" t="s">
        <v>99</v>
      </c>
      <c r="AJ91" t="s">
        <v>390</v>
      </c>
      <c r="AK91">
        <v>420000</v>
      </c>
      <c r="AL91" s="10">
        <v>44043</v>
      </c>
      <c r="AM91" t="s">
        <v>120</v>
      </c>
      <c r="AO91" t="s">
        <v>99</v>
      </c>
      <c r="AP91" t="s">
        <v>448</v>
      </c>
      <c r="AQ91" s="196">
        <v>12</v>
      </c>
      <c r="AR91" s="10">
        <v>44402</v>
      </c>
      <c r="AS91" t="s">
        <v>120</v>
      </c>
      <c r="AU91" t="s">
        <v>99</v>
      </c>
      <c r="AV91" t="s">
        <v>448</v>
      </c>
      <c r="AW91">
        <v>0</v>
      </c>
      <c r="AX91" s="10">
        <v>44770</v>
      </c>
      <c r="AY91" t="s">
        <v>120</v>
      </c>
      <c r="BA91" t="s">
        <v>99</v>
      </c>
      <c r="BB91" t="s">
        <v>448</v>
      </c>
      <c r="BC91">
        <v>5</v>
      </c>
      <c r="BD91">
        <v>45131</v>
      </c>
      <c r="BE91" t="s">
        <v>120</v>
      </c>
      <c r="BG91" t="s">
        <v>99</v>
      </c>
      <c r="BH91" t="s">
        <v>448</v>
      </c>
      <c r="BI91">
        <v>10</v>
      </c>
      <c r="BJ91">
        <v>45497</v>
      </c>
      <c r="BK91" t="s">
        <v>120</v>
      </c>
      <c r="BL91" t="s">
        <v>99</v>
      </c>
      <c r="BM91" t="s">
        <v>448</v>
      </c>
      <c r="BN91">
        <v>15</v>
      </c>
      <c r="BO91">
        <v>45856</v>
      </c>
      <c r="BP91" t="s">
        <v>120</v>
      </c>
    </row>
    <row r="92" spans="1:68">
      <c r="A92" t="s">
        <v>99</v>
      </c>
      <c r="B92" t="s">
        <v>448</v>
      </c>
      <c r="C92">
        <v>15</v>
      </c>
      <c r="D92" s="10">
        <v>46221</v>
      </c>
      <c r="E92" t="s">
        <v>120</v>
      </c>
      <c r="M92" s="17">
        <v>0.65200000000000002</v>
      </c>
      <c r="W92" t="s">
        <v>89</v>
      </c>
      <c r="X92" t="s">
        <v>88</v>
      </c>
      <c r="Y92" s="9">
        <v>2.2000000000000002</v>
      </c>
      <c r="Z92" s="10">
        <v>43341</v>
      </c>
      <c r="AA92" t="s">
        <v>146</v>
      </c>
      <c r="AC92" t="s">
        <v>16</v>
      </c>
      <c r="AD92" t="s">
        <v>119</v>
      </c>
      <c r="AE92">
        <v>7</v>
      </c>
      <c r="AF92" s="10">
        <v>43678</v>
      </c>
      <c r="AG92" t="s">
        <v>120</v>
      </c>
      <c r="AI92" t="s">
        <v>103</v>
      </c>
      <c r="AJ92" t="s">
        <v>379</v>
      </c>
      <c r="AK92">
        <v>5330000</v>
      </c>
      <c r="AL92" s="10">
        <v>44043</v>
      </c>
      <c r="AM92" t="s">
        <v>120</v>
      </c>
      <c r="AO92" t="s">
        <v>103</v>
      </c>
      <c r="AP92" t="s">
        <v>460</v>
      </c>
      <c r="AQ92" s="196">
        <v>35</v>
      </c>
      <c r="AR92" s="10">
        <v>44402</v>
      </c>
      <c r="AS92" t="s">
        <v>120</v>
      </c>
      <c r="AU92" t="s">
        <v>103</v>
      </c>
      <c r="AV92" t="s">
        <v>444</v>
      </c>
      <c r="AW92">
        <v>35</v>
      </c>
      <c r="AX92" s="10">
        <v>44770</v>
      </c>
      <c r="AY92" t="s">
        <v>120</v>
      </c>
      <c r="BA92" t="s">
        <v>103</v>
      </c>
      <c r="BB92" t="s">
        <v>444</v>
      </c>
      <c r="BC92">
        <v>35</v>
      </c>
      <c r="BD92">
        <v>45131</v>
      </c>
      <c r="BE92" t="s">
        <v>120</v>
      </c>
      <c r="BG92" t="s">
        <v>103</v>
      </c>
      <c r="BH92" t="s">
        <v>444</v>
      </c>
      <c r="BI92">
        <v>35</v>
      </c>
      <c r="BJ92">
        <v>45497</v>
      </c>
      <c r="BK92" t="s">
        <v>120</v>
      </c>
      <c r="BL92" t="s">
        <v>103</v>
      </c>
      <c r="BM92" t="s">
        <v>574</v>
      </c>
      <c r="BN92">
        <v>35</v>
      </c>
      <c r="BO92">
        <v>45856</v>
      </c>
      <c r="BP92" t="s">
        <v>120</v>
      </c>
    </row>
    <row r="93" spans="1:68">
      <c r="A93" t="s">
        <v>103</v>
      </c>
      <c r="B93" t="s">
        <v>574</v>
      </c>
      <c r="C93">
        <v>40</v>
      </c>
      <c r="D93" s="10">
        <v>46221</v>
      </c>
      <c r="E93" t="s">
        <v>120</v>
      </c>
      <c r="L93">
        <v>693860</v>
      </c>
      <c r="M93">
        <f>L93*M92</f>
        <v>452396.72000000003</v>
      </c>
      <c r="W93" t="s">
        <v>91</v>
      </c>
      <c r="X93" t="s">
        <v>92</v>
      </c>
      <c r="Y93" s="9">
        <v>0.03</v>
      </c>
      <c r="Z93" s="10">
        <v>43341</v>
      </c>
      <c r="AA93" t="s">
        <v>146</v>
      </c>
      <c r="AC93" t="s">
        <v>118</v>
      </c>
      <c r="AD93" t="s">
        <v>369</v>
      </c>
      <c r="AE93">
        <f>AK53</f>
        <v>8825000</v>
      </c>
      <c r="AF93" s="10">
        <v>43678</v>
      </c>
      <c r="AG93" t="s">
        <v>120</v>
      </c>
      <c r="AI93" t="s">
        <v>107</v>
      </c>
      <c r="AJ93" t="s">
        <v>422</v>
      </c>
      <c r="AK93">
        <v>1500000</v>
      </c>
      <c r="AL93" s="10">
        <v>44043</v>
      </c>
      <c r="AM93" t="s">
        <v>120</v>
      </c>
      <c r="AO93" t="s">
        <v>107</v>
      </c>
      <c r="AP93" t="s">
        <v>413</v>
      </c>
      <c r="AQ93" s="196">
        <v>0</v>
      </c>
      <c r="AR93" s="10">
        <v>44402</v>
      </c>
      <c r="AS93" t="s">
        <v>120</v>
      </c>
      <c r="AU93" t="s">
        <v>107</v>
      </c>
      <c r="AV93" t="s">
        <v>484</v>
      </c>
      <c r="AW93">
        <v>50</v>
      </c>
      <c r="AX93" s="10">
        <v>44770</v>
      </c>
      <c r="AY93" t="s">
        <v>120</v>
      </c>
      <c r="BA93" t="s">
        <v>107</v>
      </c>
      <c r="BB93" t="s">
        <v>510</v>
      </c>
      <c r="BC93">
        <v>25</v>
      </c>
      <c r="BD93">
        <v>45131</v>
      </c>
      <c r="BE93" t="s">
        <v>120</v>
      </c>
      <c r="BG93" t="s">
        <v>107</v>
      </c>
      <c r="BH93" t="s">
        <v>541</v>
      </c>
      <c r="BI93">
        <v>20</v>
      </c>
      <c r="BJ93">
        <v>45497</v>
      </c>
      <c r="BK93" t="s">
        <v>120</v>
      </c>
      <c r="BL93" t="s">
        <v>107</v>
      </c>
      <c r="BM93" t="s">
        <v>579</v>
      </c>
      <c r="BN93">
        <v>20</v>
      </c>
      <c r="BO93">
        <v>45856</v>
      </c>
      <c r="BP93" t="s">
        <v>120</v>
      </c>
    </row>
    <row r="94" spans="1:68">
      <c r="A94" t="s">
        <v>107</v>
      </c>
      <c r="B94" t="s">
        <v>628</v>
      </c>
      <c r="C94">
        <v>20</v>
      </c>
      <c r="D94" s="10">
        <v>46221</v>
      </c>
      <c r="E94" t="s">
        <v>120</v>
      </c>
      <c r="W94" t="s">
        <v>94</v>
      </c>
      <c r="X94" t="s">
        <v>95</v>
      </c>
      <c r="Y94" s="9">
        <v>0</v>
      </c>
      <c r="Z94" s="10">
        <v>43341</v>
      </c>
      <c r="AA94" t="s">
        <v>146</v>
      </c>
      <c r="AC94" t="s">
        <v>194</v>
      </c>
      <c r="AD94" t="s">
        <v>370</v>
      </c>
      <c r="AE94">
        <v>7000</v>
      </c>
      <c r="AF94" s="10">
        <v>43678</v>
      </c>
      <c r="AG94" t="s">
        <v>120</v>
      </c>
      <c r="AI94" t="s">
        <v>14</v>
      </c>
      <c r="AJ94" t="s">
        <v>131</v>
      </c>
      <c r="AK94">
        <v>0</v>
      </c>
      <c r="AL94" s="10">
        <v>44043</v>
      </c>
      <c r="AM94" t="s">
        <v>120</v>
      </c>
      <c r="AO94" t="s">
        <v>195</v>
      </c>
      <c r="AP94" t="s">
        <v>413</v>
      </c>
      <c r="AQ94" s="196">
        <v>0</v>
      </c>
      <c r="AR94" s="10">
        <v>44402</v>
      </c>
      <c r="AS94" t="s">
        <v>120</v>
      </c>
      <c r="AU94" t="s">
        <v>118</v>
      </c>
      <c r="AV94" t="s">
        <v>413</v>
      </c>
      <c r="AW94">
        <v>0</v>
      </c>
      <c r="AX94" s="10">
        <v>44770</v>
      </c>
      <c r="AY94" t="s">
        <v>120</v>
      </c>
      <c r="BA94" t="s">
        <v>14</v>
      </c>
      <c r="BB94" t="s">
        <v>503</v>
      </c>
      <c r="BC94">
        <v>70</v>
      </c>
      <c r="BD94">
        <v>45131</v>
      </c>
      <c r="BE94" t="s">
        <v>120</v>
      </c>
      <c r="BG94" t="s">
        <v>14</v>
      </c>
      <c r="BH94" t="s">
        <v>503</v>
      </c>
      <c r="BI94">
        <v>70</v>
      </c>
      <c r="BJ94">
        <v>45497</v>
      </c>
      <c r="BK94" t="s">
        <v>120</v>
      </c>
      <c r="BL94" t="s">
        <v>14</v>
      </c>
      <c r="BM94" t="s">
        <v>503</v>
      </c>
      <c r="BN94">
        <v>70</v>
      </c>
      <c r="BO94">
        <v>45856</v>
      </c>
      <c r="BP94" t="s">
        <v>120</v>
      </c>
    </row>
    <row r="95" spans="1:68">
      <c r="A95" t="s">
        <v>14</v>
      </c>
      <c r="B95" t="s">
        <v>629</v>
      </c>
      <c r="C95">
        <f>(SUM(C88:C94)+SUM(C96:C100))*10%</f>
        <v>76.5</v>
      </c>
      <c r="D95" s="10">
        <v>46221</v>
      </c>
      <c r="E95" t="s">
        <v>120</v>
      </c>
      <c r="W95" t="s">
        <v>99</v>
      </c>
      <c r="X95" t="s">
        <v>100</v>
      </c>
      <c r="Y95" s="9">
        <v>0</v>
      </c>
      <c r="Z95" s="10">
        <v>43341</v>
      </c>
      <c r="AA95" t="s">
        <v>146</v>
      </c>
      <c r="AC95" t="s">
        <v>81</v>
      </c>
      <c r="AD95" t="s">
        <v>145</v>
      </c>
      <c r="AE95" s="14">
        <v>100000</v>
      </c>
      <c r="AF95" s="10">
        <v>43710</v>
      </c>
      <c r="AG95" t="s">
        <v>146</v>
      </c>
      <c r="AI95" t="s">
        <v>111</v>
      </c>
      <c r="AJ95" t="s">
        <v>423</v>
      </c>
      <c r="AK95">
        <v>12918240.5</v>
      </c>
      <c r="AL95" s="10">
        <v>44043</v>
      </c>
      <c r="AM95" t="s">
        <v>120</v>
      </c>
      <c r="AO95" t="s">
        <v>111</v>
      </c>
      <c r="AP95" t="s">
        <v>443</v>
      </c>
      <c r="AQ95" s="197">
        <v>50</v>
      </c>
      <c r="AR95" s="10">
        <v>44402</v>
      </c>
      <c r="AS95" t="s">
        <v>120</v>
      </c>
      <c r="AU95" t="s">
        <v>111</v>
      </c>
      <c r="AV95" t="s">
        <v>413</v>
      </c>
      <c r="AW95">
        <v>0</v>
      </c>
      <c r="AX95" s="10">
        <v>44770</v>
      </c>
      <c r="AY95" t="s">
        <v>120</v>
      </c>
      <c r="BA95" t="s">
        <v>111</v>
      </c>
      <c r="BB95" t="s">
        <v>511</v>
      </c>
      <c r="BC95">
        <v>10</v>
      </c>
      <c r="BD95">
        <v>45131</v>
      </c>
      <c r="BE95" t="s">
        <v>120</v>
      </c>
      <c r="BG95" t="s">
        <v>111</v>
      </c>
      <c r="BH95" t="s">
        <v>536</v>
      </c>
      <c r="BI95">
        <v>40</v>
      </c>
      <c r="BJ95">
        <v>45497</v>
      </c>
      <c r="BK95" t="s">
        <v>120</v>
      </c>
      <c r="BL95" t="s">
        <v>111</v>
      </c>
      <c r="BM95" t="s">
        <v>578</v>
      </c>
      <c r="BN95">
        <v>55</v>
      </c>
      <c r="BO95">
        <v>45856</v>
      </c>
      <c r="BP95" t="s">
        <v>120</v>
      </c>
    </row>
    <row r="96" spans="1:68">
      <c r="A96" t="s">
        <v>111</v>
      </c>
      <c r="B96" t="s">
        <v>630</v>
      </c>
      <c r="C96">
        <v>-85</v>
      </c>
      <c r="D96" s="10">
        <v>46221</v>
      </c>
      <c r="E96" t="s">
        <v>120</v>
      </c>
      <c r="W96" t="s">
        <v>103</v>
      </c>
      <c r="X96" t="s">
        <v>104</v>
      </c>
      <c r="Y96" s="9">
        <v>150</v>
      </c>
      <c r="Z96" s="10">
        <v>43341</v>
      </c>
      <c r="AA96" t="s">
        <v>146</v>
      </c>
      <c r="AC96" t="s">
        <v>89</v>
      </c>
      <c r="AD96" t="s">
        <v>153</v>
      </c>
      <c r="AE96" s="14">
        <v>47800</v>
      </c>
      <c r="AF96" s="10">
        <v>43710</v>
      </c>
      <c r="AG96" t="s">
        <v>146</v>
      </c>
      <c r="AI96" t="s">
        <v>15</v>
      </c>
      <c r="AJ96" t="s">
        <v>421</v>
      </c>
      <c r="AK96">
        <v>1808553.67</v>
      </c>
      <c r="AL96" s="10">
        <v>44043</v>
      </c>
      <c r="AM96" t="s">
        <v>120</v>
      </c>
      <c r="AO96" t="s">
        <v>15</v>
      </c>
      <c r="AP96" t="s">
        <v>459</v>
      </c>
      <c r="AQ96" s="197">
        <v>52</v>
      </c>
      <c r="AR96" s="10">
        <v>44402</v>
      </c>
      <c r="AS96" t="s">
        <v>120</v>
      </c>
      <c r="AU96" t="s">
        <v>15</v>
      </c>
      <c r="AV96" t="s">
        <v>483</v>
      </c>
      <c r="AW96">
        <v>24</v>
      </c>
      <c r="AX96" s="10">
        <v>44770</v>
      </c>
      <c r="AY96" t="s">
        <v>120</v>
      </c>
      <c r="BA96" t="s">
        <v>15</v>
      </c>
      <c r="BB96" t="s">
        <v>413</v>
      </c>
      <c r="BC96">
        <v>0</v>
      </c>
      <c r="BD96">
        <v>45131</v>
      </c>
      <c r="BE96" t="s">
        <v>120</v>
      </c>
      <c r="BG96" t="s">
        <v>118</v>
      </c>
      <c r="BH96" t="s">
        <v>413</v>
      </c>
      <c r="BI96">
        <v>0</v>
      </c>
      <c r="BJ96">
        <v>45497</v>
      </c>
      <c r="BK96" t="s">
        <v>120</v>
      </c>
      <c r="BL96" t="s">
        <v>118</v>
      </c>
      <c r="BM96" t="s">
        <v>413</v>
      </c>
      <c r="BN96">
        <v>0</v>
      </c>
      <c r="BO96">
        <v>45856</v>
      </c>
      <c r="BP96" t="s">
        <v>120</v>
      </c>
    </row>
    <row r="97" spans="1:68">
      <c r="A97" t="s">
        <v>118</v>
      </c>
      <c r="B97" t="s">
        <v>413</v>
      </c>
      <c r="C97">
        <v>0</v>
      </c>
      <c r="D97" s="10">
        <v>46221</v>
      </c>
      <c r="E97" t="s">
        <v>120</v>
      </c>
      <c r="L97">
        <f>24500*27</f>
        <v>661500</v>
      </c>
      <c r="W97" t="s">
        <v>15</v>
      </c>
      <c r="X97" t="s">
        <v>108</v>
      </c>
      <c r="Y97" s="9">
        <v>0</v>
      </c>
      <c r="Z97" s="10">
        <v>43341</v>
      </c>
      <c r="AA97" t="s">
        <v>146</v>
      </c>
      <c r="AC97" t="s">
        <v>91</v>
      </c>
      <c r="AD97" t="s">
        <v>92</v>
      </c>
      <c r="AE97" s="14">
        <v>83632.75</v>
      </c>
      <c r="AF97" s="10">
        <v>43710</v>
      </c>
      <c r="AG97" t="s">
        <v>146</v>
      </c>
      <c r="AI97" t="s">
        <v>87</v>
      </c>
      <c r="AJ97" t="s">
        <v>158</v>
      </c>
      <c r="AK97">
        <v>4665000</v>
      </c>
      <c r="AL97" s="10">
        <v>44043</v>
      </c>
      <c r="AM97" t="s">
        <v>120</v>
      </c>
      <c r="AO97" t="s">
        <v>87</v>
      </c>
      <c r="AP97" t="s">
        <v>158</v>
      </c>
      <c r="AQ97" s="197">
        <v>58</v>
      </c>
      <c r="AR97" s="10">
        <v>44402</v>
      </c>
      <c r="AS97" t="s">
        <v>120</v>
      </c>
      <c r="AU97" t="s">
        <v>87</v>
      </c>
      <c r="AV97" t="s">
        <v>158</v>
      </c>
      <c r="AW97">
        <v>75</v>
      </c>
      <c r="AX97" s="10">
        <v>44770</v>
      </c>
      <c r="AY97" t="s">
        <v>120</v>
      </c>
      <c r="BA97" t="s">
        <v>87</v>
      </c>
      <c r="BB97" t="s">
        <v>158</v>
      </c>
      <c r="BC97">
        <v>90</v>
      </c>
      <c r="BD97">
        <v>45131</v>
      </c>
      <c r="BE97" t="s">
        <v>120</v>
      </c>
      <c r="BG97" t="s">
        <v>87</v>
      </c>
      <c r="BH97" t="s">
        <v>158</v>
      </c>
      <c r="BI97">
        <v>85</v>
      </c>
      <c r="BJ97">
        <v>45497</v>
      </c>
      <c r="BK97" t="s">
        <v>120</v>
      </c>
      <c r="BL97" t="s">
        <v>87</v>
      </c>
      <c r="BM97" t="s">
        <v>158</v>
      </c>
      <c r="BN97">
        <v>90</v>
      </c>
      <c r="BO97">
        <v>45856</v>
      </c>
      <c r="BP97" t="s">
        <v>120</v>
      </c>
    </row>
    <row r="98" spans="1:68">
      <c r="A98" t="s">
        <v>87</v>
      </c>
      <c r="B98" t="s">
        <v>158</v>
      </c>
      <c r="C98">
        <v>95</v>
      </c>
      <c r="D98" s="10">
        <v>46221</v>
      </c>
      <c r="E98" t="s">
        <v>120</v>
      </c>
      <c r="W98" t="s">
        <v>14</v>
      </c>
      <c r="X98" t="s">
        <v>131</v>
      </c>
      <c r="Y98" s="9">
        <v>0.4</v>
      </c>
      <c r="Z98" s="10">
        <v>43341</v>
      </c>
      <c r="AA98" t="s">
        <v>146</v>
      </c>
      <c r="AC98" t="s">
        <v>94</v>
      </c>
      <c r="AD98" t="s">
        <v>95</v>
      </c>
      <c r="AE98" s="14">
        <v>76140</v>
      </c>
      <c r="AF98" s="10">
        <v>43710</v>
      </c>
      <c r="AG98" t="s">
        <v>146</v>
      </c>
      <c r="AI98" t="s">
        <v>16</v>
      </c>
      <c r="AJ98" t="s">
        <v>119</v>
      </c>
      <c r="AK98">
        <v>7</v>
      </c>
      <c r="AL98" s="10">
        <v>44043</v>
      </c>
      <c r="AM98" t="s">
        <v>120</v>
      </c>
      <c r="AO98" t="s">
        <v>16</v>
      </c>
      <c r="AP98" t="s">
        <v>119</v>
      </c>
      <c r="AQ98" s="197">
        <v>0</v>
      </c>
      <c r="AR98" s="10">
        <v>44402</v>
      </c>
      <c r="AS98" t="s">
        <v>120</v>
      </c>
      <c r="AU98" t="s">
        <v>16</v>
      </c>
      <c r="AV98" t="s">
        <v>480</v>
      </c>
      <c r="AW98">
        <v>100</v>
      </c>
      <c r="AX98" s="10">
        <v>44770</v>
      </c>
      <c r="AY98" t="s">
        <v>120</v>
      </c>
      <c r="BA98" t="s">
        <v>16</v>
      </c>
      <c r="BB98" t="s">
        <v>480</v>
      </c>
      <c r="BC98">
        <v>100</v>
      </c>
      <c r="BD98">
        <v>45131</v>
      </c>
      <c r="BE98" t="s">
        <v>120</v>
      </c>
      <c r="BG98" t="s">
        <v>16</v>
      </c>
      <c r="BH98" t="s">
        <v>480</v>
      </c>
      <c r="BI98">
        <v>100</v>
      </c>
      <c r="BJ98">
        <v>45497</v>
      </c>
      <c r="BK98" t="s">
        <v>120</v>
      </c>
      <c r="BL98" t="s">
        <v>16</v>
      </c>
      <c r="BM98" t="s">
        <v>480</v>
      </c>
      <c r="BN98">
        <v>100</v>
      </c>
      <c r="BO98">
        <v>45856</v>
      </c>
      <c r="BP98" t="s">
        <v>120</v>
      </c>
    </row>
    <row r="99" spans="1:68">
      <c r="A99" t="s">
        <v>16</v>
      </c>
      <c r="B99" t="s">
        <v>604</v>
      </c>
      <c r="C99">
        <v>230</v>
      </c>
      <c r="D99" s="10">
        <v>46221</v>
      </c>
      <c r="E99" t="s">
        <v>120</v>
      </c>
      <c r="W99" t="s">
        <v>111</v>
      </c>
      <c r="X99" t="s">
        <v>112</v>
      </c>
      <c r="Y99" s="9">
        <v>110.25</v>
      </c>
      <c r="Z99" s="10">
        <v>43341</v>
      </c>
      <c r="AA99" t="s">
        <v>146</v>
      </c>
      <c r="AC99" t="s">
        <v>99</v>
      </c>
      <c r="AD99" t="s">
        <v>100</v>
      </c>
      <c r="AE99" s="14">
        <v>8000</v>
      </c>
      <c r="AF99" s="10">
        <v>43710</v>
      </c>
      <c r="AG99" t="s">
        <v>146</v>
      </c>
      <c r="AI99" t="s">
        <v>118</v>
      </c>
      <c r="AJ99" t="s">
        <v>424</v>
      </c>
      <c r="AK99">
        <v>1176045</v>
      </c>
      <c r="AL99" s="10">
        <v>44043</v>
      </c>
      <c r="AM99" t="s">
        <v>120</v>
      </c>
      <c r="AO99" t="s">
        <v>118</v>
      </c>
      <c r="AP99" t="s">
        <v>440</v>
      </c>
      <c r="AQ99" s="197">
        <v>0</v>
      </c>
      <c r="AR99" s="10">
        <v>44402</v>
      </c>
      <c r="AS99" t="s">
        <v>120</v>
      </c>
      <c r="AU99" t="s">
        <v>179</v>
      </c>
      <c r="AV99" t="s">
        <v>413</v>
      </c>
      <c r="AW99">
        <v>0</v>
      </c>
      <c r="AX99" s="10">
        <v>44770</v>
      </c>
      <c r="AY99" t="s">
        <v>120</v>
      </c>
      <c r="BA99" t="s">
        <v>118</v>
      </c>
      <c r="BB99" t="s">
        <v>413</v>
      </c>
      <c r="BC99">
        <v>0</v>
      </c>
      <c r="BD99">
        <v>45131</v>
      </c>
      <c r="BE99" t="s">
        <v>120</v>
      </c>
      <c r="BG99" t="s">
        <v>15</v>
      </c>
      <c r="BH99" t="s">
        <v>413</v>
      </c>
      <c r="BI99">
        <v>0</v>
      </c>
      <c r="BJ99">
        <v>45497</v>
      </c>
      <c r="BK99" t="s">
        <v>120</v>
      </c>
      <c r="BL99" t="s">
        <v>15</v>
      </c>
      <c r="BM99" t="s">
        <v>413</v>
      </c>
      <c r="BN99">
        <v>0</v>
      </c>
      <c r="BO99">
        <v>45856</v>
      </c>
      <c r="BP99" t="s">
        <v>120</v>
      </c>
    </row>
    <row r="100" spans="1:68">
      <c r="A100" t="s">
        <v>15</v>
      </c>
      <c r="B100" t="s">
        <v>413</v>
      </c>
      <c r="C100">
        <v>0</v>
      </c>
      <c r="D100" s="10">
        <v>46221</v>
      </c>
      <c r="E100" t="s">
        <v>120</v>
      </c>
      <c r="W100" t="s">
        <v>15</v>
      </c>
      <c r="X100" t="s">
        <v>114</v>
      </c>
      <c r="Y100" s="9"/>
      <c r="Z100" s="10">
        <v>43341</v>
      </c>
      <c r="AA100" t="s">
        <v>146</v>
      </c>
      <c r="AC100" t="s">
        <v>103</v>
      </c>
      <c r="AD100" t="s">
        <v>364</v>
      </c>
      <c r="AE100" s="14">
        <v>70000</v>
      </c>
      <c r="AF100" s="10">
        <v>43710</v>
      </c>
      <c r="AG100" t="s">
        <v>146</v>
      </c>
      <c r="AI100" t="s">
        <v>194</v>
      </c>
      <c r="AJ100" t="s">
        <v>396</v>
      </c>
      <c r="AK100">
        <v>96000</v>
      </c>
      <c r="AL100" s="10">
        <v>44043</v>
      </c>
      <c r="AM100" t="s">
        <v>120</v>
      </c>
      <c r="AO100" t="s">
        <v>194</v>
      </c>
      <c r="AP100" t="s">
        <v>396</v>
      </c>
      <c r="AQ100" s="197">
        <v>0.5</v>
      </c>
      <c r="AR100" s="10">
        <v>44402</v>
      </c>
      <c r="AS100" t="s">
        <v>120</v>
      </c>
      <c r="AU100" t="s">
        <v>194</v>
      </c>
      <c r="AV100" t="s">
        <v>396</v>
      </c>
      <c r="AW100">
        <v>1</v>
      </c>
      <c r="AX100" s="10">
        <v>44770</v>
      </c>
      <c r="AY100" t="s">
        <v>120</v>
      </c>
      <c r="BA100" t="s">
        <v>194</v>
      </c>
      <c r="BB100" t="s">
        <v>396</v>
      </c>
      <c r="BC100">
        <v>2</v>
      </c>
      <c r="BD100">
        <v>45131</v>
      </c>
      <c r="BE100" t="s">
        <v>120</v>
      </c>
      <c r="BG100" t="s">
        <v>194</v>
      </c>
      <c r="BH100" t="s">
        <v>396</v>
      </c>
      <c r="BI100">
        <v>2</v>
      </c>
      <c r="BJ100">
        <v>45497</v>
      </c>
      <c r="BK100" t="s">
        <v>120</v>
      </c>
      <c r="BL100" t="s">
        <v>194</v>
      </c>
      <c r="BM100" t="s">
        <v>396</v>
      </c>
      <c r="BN100">
        <v>2</v>
      </c>
      <c r="BO100">
        <v>45856</v>
      </c>
      <c r="BP100" t="s">
        <v>120</v>
      </c>
    </row>
    <row r="101" spans="1:68">
      <c r="A101" t="s">
        <v>194</v>
      </c>
      <c r="B101" t="s">
        <v>396</v>
      </c>
      <c r="C101">
        <v>2</v>
      </c>
      <c r="D101" s="10">
        <v>46221</v>
      </c>
      <c r="E101" t="s">
        <v>120</v>
      </c>
      <c r="W101" t="s">
        <v>87</v>
      </c>
      <c r="X101" t="s">
        <v>147</v>
      </c>
      <c r="Y101" s="9">
        <v>103.55</v>
      </c>
      <c r="Z101" s="10">
        <v>43341</v>
      </c>
      <c r="AA101" t="s">
        <v>146</v>
      </c>
      <c r="AC101" t="s">
        <v>107</v>
      </c>
      <c r="AD101" t="s">
        <v>372</v>
      </c>
      <c r="AE101" s="14">
        <v>80000</v>
      </c>
      <c r="AF101" s="10">
        <v>43710</v>
      </c>
      <c r="AG101" t="s">
        <v>146</v>
      </c>
      <c r="AI101" t="s">
        <v>81</v>
      </c>
      <c r="AJ101" t="s">
        <v>426</v>
      </c>
      <c r="AK101">
        <v>2000000</v>
      </c>
      <c r="AL101" s="10">
        <v>44073</v>
      </c>
      <c r="AM101" t="s">
        <v>146</v>
      </c>
      <c r="AO101" t="s">
        <v>81</v>
      </c>
      <c r="AP101" t="s">
        <v>426</v>
      </c>
      <c r="AQ101" s="196">
        <v>20</v>
      </c>
      <c r="AR101" s="10">
        <v>44437</v>
      </c>
      <c r="AS101" t="s">
        <v>146</v>
      </c>
      <c r="AU101" t="s">
        <v>81</v>
      </c>
      <c r="AV101" t="s">
        <v>426</v>
      </c>
      <c r="AW101">
        <v>60</v>
      </c>
      <c r="AX101" s="10">
        <v>44800</v>
      </c>
      <c r="AY101" t="s">
        <v>146</v>
      </c>
      <c r="BA101" t="s">
        <v>81</v>
      </c>
      <c r="BB101" t="s">
        <v>426</v>
      </c>
      <c r="BC101">
        <v>120</v>
      </c>
      <c r="BD101">
        <v>45164</v>
      </c>
      <c r="BE101" t="s">
        <v>146</v>
      </c>
      <c r="BG101" t="s">
        <v>81</v>
      </c>
      <c r="BH101" t="s">
        <v>426</v>
      </c>
      <c r="BI101">
        <v>120</v>
      </c>
      <c r="BJ101">
        <v>45528</v>
      </c>
      <c r="BK101" t="s">
        <v>146</v>
      </c>
      <c r="BL101" t="s">
        <v>81</v>
      </c>
      <c r="BM101" t="s">
        <v>426</v>
      </c>
      <c r="BN101">
        <v>120</v>
      </c>
      <c r="BO101">
        <v>45887</v>
      </c>
      <c r="BP101" t="s">
        <v>146</v>
      </c>
    </row>
    <row r="102" spans="1:68">
      <c r="D102" s="10"/>
      <c r="W102" t="s">
        <v>16</v>
      </c>
      <c r="X102" t="s">
        <v>119</v>
      </c>
      <c r="Y102" s="9">
        <v>7</v>
      </c>
      <c r="Z102" s="10">
        <v>43341</v>
      </c>
      <c r="AA102" t="s">
        <v>146</v>
      </c>
      <c r="AC102" t="s">
        <v>14</v>
      </c>
      <c r="AD102" t="s">
        <v>131</v>
      </c>
      <c r="AE102" s="14">
        <v>8750</v>
      </c>
      <c r="AF102" s="10">
        <v>43710</v>
      </c>
      <c r="AG102" t="s">
        <v>146</v>
      </c>
      <c r="AI102" t="s">
        <v>89</v>
      </c>
      <c r="AJ102" t="s">
        <v>427</v>
      </c>
      <c r="AK102">
        <v>1500000</v>
      </c>
      <c r="AL102" s="10">
        <v>44073</v>
      </c>
      <c r="AM102" t="s">
        <v>146</v>
      </c>
      <c r="AO102" t="s">
        <v>89</v>
      </c>
      <c r="AP102" t="s">
        <v>445</v>
      </c>
      <c r="AQ102" s="196">
        <v>5</v>
      </c>
      <c r="AR102" s="10">
        <v>44437</v>
      </c>
      <c r="AS102" t="s">
        <v>146</v>
      </c>
      <c r="AU102" t="s">
        <v>89</v>
      </c>
      <c r="AV102" t="s">
        <v>435</v>
      </c>
      <c r="AW102">
        <v>7</v>
      </c>
      <c r="AX102" s="10">
        <v>44800</v>
      </c>
      <c r="AY102" t="s">
        <v>146</v>
      </c>
      <c r="BA102" t="s">
        <v>89</v>
      </c>
      <c r="BB102" t="s">
        <v>435</v>
      </c>
      <c r="BC102">
        <v>9</v>
      </c>
      <c r="BD102">
        <v>45164</v>
      </c>
      <c r="BE102" t="s">
        <v>146</v>
      </c>
      <c r="BG102" t="s">
        <v>89</v>
      </c>
      <c r="BH102" t="s">
        <v>435</v>
      </c>
      <c r="BI102">
        <v>8</v>
      </c>
      <c r="BJ102">
        <v>45528</v>
      </c>
      <c r="BK102" t="s">
        <v>146</v>
      </c>
      <c r="BL102" t="s">
        <v>89</v>
      </c>
      <c r="BM102" t="s">
        <v>435</v>
      </c>
      <c r="BN102">
        <v>9</v>
      </c>
      <c r="BO102">
        <v>45887</v>
      </c>
      <c r="BP102" t="s">
        <v>146</v>
      </c>
    </row>
    <row r="103" spans="1:68">
      <c r="D103" s="10"/>
      <c r="W103" t="s">
        <v>118</v>
      </c>
      <c r="X103" t="s">
        <v>148</v>
      </c>
      <c r="Y103">
        <v>878.72</v>
      </c>
      <c r="Z103" s="10">
        <v>43341</v>
      </c>
      <c r="AA103" t="s">
        <v>146</v>
      </c>
      <c r="AC103" t="s">
        <v>111</v>
      </c>
      <c r="AD103" t="s">
        <v>373</v>
      </c>
      <c r="AE103" s="14" t="e">
        <f>50*AJ36</f>
        <v>#VALUE!</v>
      </c>
      <c r="AF103" s="10">
        <v>43710</v>
      </c>
      <c r="AG103" t="s">
        <v>146</v>
      </c>
      <c r="AI103" t="s">
        <v>91</v>
      </c>
      <c r="AJ103" t="s">
        <v>92</v>
      </c>
      <c r="AK103">
        <v>1200000</v>
      </c>
      <c r="AL103" s="10">
        <v>44073</v>
      </c>
      <c r="AM103" t="s">
        <v>146</v>
      </c>
      <c r="AO103" t="s">
        <v>91</v>
      </c>
      <c r="AP103" t="s">
        <v>92</v>
      </c>
      <c r="AQ103" s="196">
        <v>38</v>
      </c>
      <c r="AR103" s="10">
        <v>44437</v>
      </c>
      <c r="AS103" t="s">
        <v>146</v>
      </c>
      <c r="AU103" t="s">
        <v>91</v>
      </c>
      <c r="AV103" t="s">
        <v>92</v>
      </c>
      <c r="AW103">
        <v>45</v>
      </c>
      <c r="AX103" s="10">
        <v>44800</v>
      </c>
      <c r="AY103" t="s">
        <v>146</v>
      </c>
      <c r="BA103" t="s">
        <v>91</v>
      </c>
      <c r="BB103" t="s">
        <v>92</v>
      </c>
      <c r="BC103">
        <v>50</v>
      </c>
      <c r="BD103">
        <v>45164</v>
      </c>
      <c r="BE103" t="s">
        <v>146</v>
      </c>
      <c r="BG103" t="s">
        <v>91</v>
      </c>
      <c r="BH103" t="s">
        <v>532</v>
      </c>
      <c r="BI103">
        <v>133</v>
      </c>
      <c r="BJ103">
        <v>45528</v>
      </c>
      <c r="BK103" t="s">
        <v>146</v>
      </c>
      <c r="BL103" t="s">
        <v>91</v>
      </c>
      <c r="BM103" t="s">
        <v>569</v>
      </c>
      <c r="BN103">
        <v>170</v>
      </c>
      <c r="BO103">
        <v>45887</v>
      </c>
      <c r="BP103" t="s">
        <v>146</v>
      </c>
    </row>
    <row r="104" spans="1:68">
      <c r="D104" s="10"/>
      <c r="W104" t="s">
        <v>81</v>
      </c>
      <c r="X104" t="s">
        <v>145</v>
      </c>
      <c r="Y104" s="9">
        <v>800</v>
      </c>
      <c r="Z104" s="10">
        <v>800</v>
      </c>
      <c r="AA104" t="s">
        <v>149</v>
      </c>
      <c r="AC104" t="s">
        <v>15</v>
      </c>
      <c r="AD104" t="s">
        <v>338</v>
      </c>
      <c r="AE104" s="14">
        <v>147000</v>
      </c>
      <c r="AF104" s="10">
        <v>43710</v>
      </c>
      <c r="AG104" t="s">
        <v>146</v>
      </c>
      <c r="AI104" t="s">
        <v>94</v>
      </c>
      <c r="AJ104" t="s">
        <v>95</v>
      </c>
      <c r="AK104">
        <v>100000</v>
      </c>
      <c r="AL104" s="10">
        <v>44073</v>
      </c>
      <c r="AM104" t="s">
        <v>146</v>
      </c>
      <c r="AO104" t="s">
        <v>94</v>
      </c>
      <c r="AP104" t="s">
        <v>95</v>
      </c>
      <c r="AQ104" s="196">
        <v>5</v>
      </c>
      <c r="AR104" s="10">
        <v>44437</v>
      </c>
      <c r="AS104" t="s">
        <v>146</v>
      </c>
      <c r="AU104" t="s">
        <v>94</v>
      </c>
      <c r="AV104" t="s">
        <v>95</v>
      </c>
      <c r="AW104">
        <v>0</v>
      </c>
      <c r="AX104" s="10">
        <v>44800</v>
      </c>
      <c r="AY104" t="s">
        <v>146</v>
      </c>
      <c r="BA104" t="s">
        <v>94</v>
      </c>
      <c r="BB104" t="s">
        <v>95</v>
      </c>
      <c r="BC104">
        <v>0</v>
      </c>
      <c r="BD104">
        <v>45164</v>
      </c>
      <c r="BE104" t="s">
        <v>146</v>
      </c>
      <c r="BG104" t="s">
        <v>94</v>
      </c>
      <c r="BH104" t="s">
        <v>542</v>
      </c>
      <c r="BI104">
        <v>75</v>
      </c>
      <c r="BJ104">
        <v>45528</v>
      </c>
      <c r="BK104" t="s">
        <v>146</v>
      </c>
      <c r="BL104" t="s">
        <v>94</v>
      </c>
      <c r="BM104" t="s">
        <v>542</v>
      </c>
      <c r="BN104">
        <v>85</v>
      </c>
      <c r="BO104">
        <v>45887</v>
      </c>
      <c r="BP104" t="s">
        <v>146</v>
      </c>
    </row>
    <row r="105" spans="1:68">
      <c r="D105" s="10"/>
      <c r="W105" t="s">
        <v>89</v>
      </c>
      <c r="X105" t="s">
        <v>88</v>
      </c>
      <c r="Y105" s="9">
        <v>25.08</v>
      </c>
      <c r="Z105" s="10">
        <v>800</v>
      </c>
      <c r="AA105" t="s">
        <v>149</v>
      </c>
      <c r="AC105" t="s">
        <v>87</v>
      </c>
      <c r="AD105" t="s">
        <v>362</v>
      </c>
      <c r="AE105" s="14">
        <f>75000+90000+21000+62500+15000+15000</f>
        <v>278500</v>
      </c>
      <c r="AF105" s="10">
        <v>43710</v>
      </c>
      <c r="AG105" t="s">
        <v>146</v>
      </c>
      <c r="AI105" t="s">
        <v>99</v>
      </c>
      <c r="AJ105" t="s">
        <v>390</v>
      </c>
      <c r="AK105">
        <v>1579000</v>
      </c>
      <c r="AL105" s="10">
        <v>44073</v>
      </c>
      <c r="AM105" t="s">
        <v>146</v>
      </c>
      <c r="AO105" t="s">
        <v>99</v>
      </c>
      <c r="AP105" t="s">
        <v>448</v>
      </c>
      <c r="AQ105" s="196">
        <v>12</v>
      </c>
      <c r="AR105" s="10">
        <v>44437</v>
      </c>
      <c r="AS105" t="s">
        <v>146</v>
      </c>
      <c r="AU105" t="s">
        <v>99</v>
      </c>
      <c r="AV105" t="s">
        <v>448</v>
      </c>
      <c r="AW105">
        <v>0</v>
      </c>
      <c r="AX105" s="10">
        <v>44800</v>
      </c>
      <c r="AY105" t="s">
        <v>146</v>
      </c>
      <c r="BA105" t="s">
        <v>99</v>
      </c>
      <c r="BB105" t="s">
        <v>448</v>
      </c>
      <c r="BC105">
        <v>7</v>
      </c>
      <c r="BD105">
        <v>45164</v>
      </c>
      <c r="BE105" t="s">
        <v>146</v>
      </c>
      <c r="BG105" t="s">
        <v>99</v>
      </c>
      <c r="BH105" t="s">
        <v>448</v>
      </c>
      <c r="BI105">
        <v>10</v>
      </c>
      <c r="BJ105">
        <v>45528</v>
      </c>
      <c r="BK105" t="s">
        <v>146</v>
      </c>
      <c r="BL105" t="s">
        <v>99</v>
      </c>
      <c r="BM105" t="s">
        <v>448</v>
      </c>
      <c r="BN105">
        <v>15</v>
      </c>
      <c r="BO105">
        <v>45887</v>
      </c>
      <c r="BP105" t="s">
        <v>146</v>
      </c>
    </row>
    <row r="106" spans="1:68">
      <c r="D106" s="10"/>
      <c r="W106" t="s">
        <v>91</v>
      </c>
      <c r="X106" t="s">
        <v>92</v>
      </c>
      <c r="Y106" s="9">
        <v>0.03</v>
      </c>
      <c r="Z106" s="10">
        <v>800</v>
      </c>
      <c r="AA106" t="s">
        <v>149</v>
      </c>
      <c r="AC106" t="s">
        <v>16</v>
      </c>
      <c r="AD106" t="s">
        <v>119</v>
      </c>
      <c r="AE106" s="14">
        <v>7</v>
      </c>
      <c r="AF106" s="10">
        <v>43710</v>
      </c>
      <c r="AG106" t="s">
        <v>146</v>
      </c>
      <c r="AI106" t="s">
        <v>103</v>
      </c>
      <c r="AJ106" t="s">
        <v>104</v>
      </c>
      <c r="AK106">
        <v>6000000</v>
      </c>
      <c r="AL106" s="10">
        <v>44073</v>
      </c>
      <c r="AM106" t="s">
        <v>146</v>
      </c>
      <c r="AO106" t="s">
        <v>103</v>
      </c>
      <c r="AP106" t="s">
        <v>460</v>
      </c>
      <c r="AQ106" s="196">
        <v>35</v>
      </c>
      <c r="AR106" s="10">
        <v>44437</v>
      </c>
      <c r="AS106" t="s">
        <v>146</v>
      </c>
      <c r="AU106" t="s">
        <v>103</v>
      </c>
      <c r="AV106" t="s">
        <v>444</v>
      </c>
      <c r="AW106">
        <v>35</v>
      </c>
      <c r="AX106" s="10">
        <v>44800</v>
      </c>
      <c r="AY106" t="s">
        <v>146</v>
      </c>
      <c r="BA106" t="s">
        <v>103</v>
      </c>
      <c r="BB106" t="s">
        <v>444</v>
      </c>
      <c r="BC106">
        <v>35</v>
      </c>
      <c r="BD106">
        <v>45164</v>
      </c>
      <c r="BE106" t="s">
        <v>146</v>
      </c>
      <c r="BG106" t="s">
        <v>103</v>
      </c>
      <c r="BH106" t="s">
        <v>444</v>
      </c>
      <c r="BI106">
        <v>35</v>
      </c>
      <c r="BJ106">
        <v>45528</v>
      </c>
      <c r="BK106" t="s">
        <v>146</v>
      </c>
      <c r="BL106" t="s">
        <v>103</v>
      </c>
      <c r="BM106" t="s">
        <v>574</v>
      </c>
      <c r="BN106">
        <v>35</v>
      </c>
      <c r="BO106">
        <v>45887</v>
      </c>
      <c r="BP106" t="s">
        <v>146</v>
      </c>
    </row>
    <row r="107" spans="1:68">
      <c r="D107" s="10"/>
      <c r="W107" t="s">
        <v>94</v>
      </c>
      <c r="X107" t="s">
        <v>95</v>
      </c>
      <c r="Y107" s="9">
        <v>2.77</v>
      </c>
      <c r="Z107" s="10">
        <v>800</v>
      </c>
      <c r="AA107" t="s">
        <v>149</v>
      </c>
      <c r="AC107" t="s">
        <v>118</v>
      </c>
      <c r="AD107" t="s">
        <v>374</v>
      </c>
      <c r="AE107" s="14">
        <f>AK67</f>
        <v>9905529.5</v>
      </c>
      <c r="AF107" s="10">
        <v>43710</v>
      </c>
      <c r="AG107" t="s">
        <v>146</v>
      </c>
      <c r="AI107" t="s">
        <v>107</v>
      </c>
      <c r="AJ107" t="s">
        <v>428</v>
      </c>
      <c r="AK107">
        <v>7950000</v>
      </c>
      <c r="AL107" s="10">
        <v>44073</v>
      </c>
      <c r="AM107" t="s">
        <v>146</v>
      </c>
      <c r="AO107" t="s">
        <v>107</v>
      </c>
      <c r="AP107" t="s">
        <v>461</v>
      </c>
      <c r="AQ107" s="196">
        <v>30</v>
      </c>
      <c r="AR107" s="10">
        <v>44437</v>
      </c>
      <c r="AS107" t="s">
        <v>146</v>
      </c>
      <c r="AU107" t="s">
        <v>107</v>
      </c>
      <c r="AV107" t="s">
        <v>486</v>
      </c>
      <c r="AW107">
        <v>20</v>
      </c>
      <c r="AX107" s="10">
        <v>44800</v>
      </c>
      <c r="AY107" t="s">
        <v>146</v>
      </c>
      <c r="BA107" t="s">
        <v>107</v>
      </c>
      <c r="BB107" t="s">
        <v>512</v>
      </c>
      <c r="BC107">
        <v>25</v>
      </c>
      <c r="BD107">
        <v>45164</v>
      </c>
      <c r="BE107" t="s">
        <v>146</v>
      </c>
      <c r="BG107" t="s">
        <v>107</v>
      </c>
      <c r="BH107" t="s">
        <v>543</v>
      </c>
      <c r="BI107">
        <v>30</v>
      </c>
      <c r="BJ107">
        <v>45528</v>
      </c>
      <c r="BK107" t="s">
        <v>146</v>
      </c>
      <c r="BL107" t="s">
        <v>107</v>
      </c>
      <c r="BM107" t="s">
        <v>413</v>
      </c>
      <c r="BN107">
        <v>0</v>
      </c>
      <c r="BO107">
        <v>45887</v>
      </c>
      <c r="BP107" t="s">
        <v>146</v>
      </c>
    </row>
    <row r="108" spans="1:68">
      <c r="D108" s="10"/>
      <c r="W108" t="s">
        <v>99</v>
      </c>
      <c r="X108" t="s">
        <v>100</v>
      </c>
      <c r="Y108" s="9">
        <v>0</v>
      </c>
      <c r="Z108" s="10">
        <v>800</v>
      </c>
      <c r="AA108" t="s">
        <v>149</v>
      </c>
      <c r="AC108" t="s">
        <v>194</v>
      </c>
      <c r="AD108" t="s">
        <v>370</v>
      </c>
      <c r="AE108" s="14">
        <v>8500</v>
      </c>
      <c r="AF108" s="10">
        <v>43710</v>
      </c>
      <c r="AG108" t="s">
        <v>146</v>
      </c>
      <c r="AI108" t="s">
        <v>14</v>
      </c>
      <c r="AJ108" t="s">
        <v>131</v>
      </c>
      <c r="AK108">
        <v>0</v>
      </c>
      <c r="AL108" s="10">
        <v>44073</v>
      </c>
      <c r="AM108" t="s">
        <v>146</v>
      </c>
      <c r="AO108" t="s">
        <v>195</v>
      </c>
      <c r="AP108" t="s">
        <v>413</v>
      </c>
      <c r="AQ108" s="196">
        <v>0</v>
      </c>
      <c r="AR108" s="10">
        <v>44437</v>
      </c>
      <c r="AS108" t="s">
        <v>146</v>
      </c>
      <c r="AU108" t="s">
        <v>118</v>
      </c>
      <c r="AV108" t="s">
        <v>487</v>
      </c>
      <c r="AW108">
        <v>30</v>
      </c>
      <c r="AX108" s="10">
        <v>44800</v>
      </c>
      <c r="AY108" t="s">
        <v>146</v>
      </c>
      <c r="BA108" t="s">
        <v>14</v>
      </c>
      <c r="BB108" t="s">
        <v>503</v>
      </c>
      <c r="BC108">
        <v>70</v>
      </c>
      <c r="BD108">
        <v>45164</v>
      </c>
      <c r="BE108" t="s">
        <v>146</v>
      </c>
      <c r="BG108" t="s">
        <v>14</v>
      </c>
      <c r="BH108" t="s">
        <v>503</v>
      </c>
      <c r="BI108">
        <v>70</v>
      </c>
      <c r="BJ108">
        <v>45528</v>
      </c>
      <c r="BK108" t="s">
        <v>146</v>
      </c>
      <c r="BL108" t="s">
        <v>14</v>
      </c>
      <c r="BM108" t="s">
        <v>503</v>
      </c>
      <c r="BN108">
        <v>70</v>
      </c>
      <c r="BO108">
        <v>45887</v>
      </c>
      <c r="BP108" t="s">
        <v>146</v>
      </c>
    </row>
    <row r="109" spans="1:68">
      <c r="D109" s="10"/>
      <c r="G109">
        <f>9000000/29</f>
        <v>310344.8275862069</v>
      </c>
      <c r="W109" t="s">
        <v>103</v>
      </c>
      <c r="X109" t="s">
        <v>104</v>
      </c>
      <c r="Y109" s="9">
        <v>200</v>
      </c>
      <c r="Z109" s="10">
        <v>800</v>
      </c>
      <c r="AA109" t="s">
        <v>149</v>
      </c>
      <c r="AC109" t="s">
        <v>81</v>
      </c>
      <c r="AD109" t="s">
        <v>145</v>
      </c>
      <c r="AE109" s="14">
        <v>100000</v>
      </c>
      <c r="AF109" s="10">
        <v>43739</v>
      </c>
      <c r="AG109" t="s">
        <v>149</v>
      </c>
      <c r="AI109" t="s">
        <v>111</v>
      </c>
      <c r="AJ109" t="s">
        <v>429</v>
      </c>
      <c r="AK109">
        <v>15829502.5</v>
      </c>
      <c r="AL109" s="10">
        <v>44073</v>
      </c>
      <c r="AM109" t="s">
        <v>146</v>
      </c>
      <c r="AO109" t="s">
        <v>111</v>
      </c>
      <c r="AP109" t="s">
        <v>443</v>
      </c>
      <c r="AQ109" s="197">
        <v>50</v>
      </c>
      <c r="AR109" s="10">
        <v>44437</v>
      </c>
      <c r="AS109" t="s">
        <v>146</v>
      </c>
      <c r="AU109" t="s">
        <v>111</v>
      </c>
      <c r="AV109" t="s">
        <v>413</v>
      </c>
      <c r="AW109">
        <v>0</v>
      </c>
      <c r="AX109" s="10">
        <v>44800</v>
      </c>
      <c r="AY109" t="s">
        <v>146</v>
      </c>
      <c r="BA109" t="s">
        <v>111</v>
      </c>
      <c r="BB109" t="s">
        <v>513</v>
      </c>
      <c r="BC109">
        <v>30</v>
      </c>
      <c r="BD109">
        <v>45164</v>
      </c>
      <c r="BE109" t="s">
        <v>146</v>
      </c>
      <c r="BG109" t="s">
        <v>111</v>
      </c>
      <c r="BH109" t="s">
        <v>544</v>
      </c>
      <c r="BI109">
        <v>20</v>
      </c>
      <c r="BJ109">
        <v>45528</v>
      </c>
      <c r="BK109" t="s">
        <v>146</v>
      </c>
      <c r="BL109" t="s">
        <v>111</v>
      </c>
      <c r="BM109" t="s">
        <v>580</v>
      </c>
      <c r="BN109">
        <v>50</v>
      </c>
      <c r="BO109">
        <v>45887</v>
      </c>
      <c r="BP109" t="s">
        <v>146</v>
      </c>
    </row>
    <row r="110" spans="1:68">
      <c r="D110" s="10"/>
      <c r="W110" t="s">
        <v>15</v>
      </c>
      <c r="X110" t="s">
        <v>108</v>
      </c>
      <c r="Y110" s="9">
        <v>0</v>
      </c>
      <c r="Z110" s="10">
        <v>800</v>
      </c>
      <c r="AA110" t="s">
        <v>149</v>
      </c>
      <c r="AC110" t="s">
        <v>89</v>
      </c>
      <c r="AD110" t="s">
        <v>153</v>
      </c>
      <c r="AE110" s="14">
        <v>50760</v>
      </c>
      <c r="AF110" s="10">
        <v>43739</v>
      </c>
      <c r="AG110" t="s">
        <v>149</v>
      </c>
      <c r="AI110" t="s">
        <v>15</v>
      </c>
      <c r="AJ110" t="s">
        <v>430</v>
      </c>
      <c r="AK110">
        <v>958000</v>
      </c>
      <c r="AL110" s="10">
        <v>44073</v>
      </c>
      <c r="AM110" t="s">
        <v>146</v>
      </c>
      <c r="AO110" t="s">
        <v>179</v>
      </c>
      <c r="AP110" t="s">
        <v>463</v>
      </c>
      <c r="AQ110" s="197">
        <v>30</v>
      </c>
      <c r="AR110" s="10">
        <v>44437</v>
      </c>
      <c r="AS110" t="s">
        <v>146</v>
      </c>
      <c r="AU110" t="s">
        <v>15</v>
      </c>
      <c r="AV110" t="s">
        <v>413</v>
      </c>
      <c r="AW110">
        <v>0</v>
      </c>
      <c r="AX110" s="10">
        <v>44800</v>
      </c>
      <c r="AY110" t="s">
        <v>146</v>
      </c>
      <c r="BA110" t="s">
        <v>15</v>
      </c>
      <c r="BB110" t="s">
        <v>413</v>
      </c>
      <c r="BC110">
        <v>0</v>
      </c>
      <c r="BD110">
        <v>45164</v>
      </c>
      <c r="BE110" t="s">
        <v>146</v>
      </c>
      <c r="BG110" t="s">
        <v>118</v>
      </c>
      <c r="BH110" t="s">
        <v>413</v>
      </c>
      <c r="BI110">
        <v>0</v>
      </c>
      <c r="BJ110">
        <v>45528</v>
      </c>
      <c r="BK110" t="s">
        <v>146</v>
      </c>
      <c r="BL110" t="s">
        <v>118</v>
      </c>
      <c r="BM110" t="s">
        <v>413</v>
      </c>
      <c r="BN110">
        <v>0</v>
      </c>
      <c r="BO110">
        <v>45887</v>
      </c>
      <c r="BP110" t="s">
        <v>146</v>
      </c>
    </row>
    <row r="111" spans="1:68">
      <c r="D111" s="10"/>
      <c r="W111" t="s">
        <v>14</v>
      </c>
      <c r="X111" t="s">
        <v>131</v>
      </c>
      <c r="Y111" s="9">
        <v>2</v>
      </c>
      <c r="Z111" s="10">
        <v>800</v>
      </c>
      <c r="AA111" t="s">
        <v>149</v>
      </c>
      <c r="AC111" t="s">
        <v>91</v>
      </c>
      <c r="AD111" t="s">
        <v>92</v>
      </c>
      <c r="AE111" s="14">
        <v>89204.59</v>
      </c>
      <c r="AF111" s="10">
        <v>43739</v>
      </c>
      <c r="AG111" t="s">
        <v>149</v>
      </c>
      <c r="AI111" t="s">
        <v>87</v>
      </c>
      <c r="AJ111" t="s">
        <v>158</v>
      </c>
      <c r="AK111">
        <v>7980000</v>
      </c>
      <c r="AL111" s="10">
        <v>44073</v>
      </c>
      <c r="AM111" t="s">
        <v>146</v>
      </c>
      <c r="AO111" t="s">
        <v>87</v>
      </c>
      <c r="AP111" t="s">
        <v>158</v>
      </c>
      <c r="AQ111" s="197">
        <v>60</v>
      </c>
      <c r="AR111" s="10">
        <v>44437</v>
      </c>
      <c r="AS111" t="s">
        <v>146</v>
      </c>
      <c r="AU111" t="s">
        <v>87</v>
      </c>
      <c r="AV111" t="s">
        <v>158</v>
      </c>
      <c r="AW111">
        <v>70</v>
      </c>
      <c r="AX111" s="10">
        <v>44800</v>
      </c>
      <c r="AY111" t="s">
        <v>146</v>
      </c>
      <c r="BA111" t="s">
        <v>87</v>
      </c>
      <c r="BB111" t="s">
        <v>158</v>
      </c>
      <c r="BC111">
        <v>90</v>
      </c>
      <c r="BD111">
        <v>45164</v>
      </c>
      <c r="BE111" t="s">
        <v>146</v>
      </c>
      <c r="BG111" t="s">
        <v>87</v>
      </c>
      <c r="BH111" t="s">
        <v>158</v>
      </c>
      <c r="BI111">
        <v>80</v>
      </c>
      <c r="BJ111">
        <v>45528</v>
      </c>
      <c r="BK111" t="s">
        <v>146</v>
      </c>
      <c r="BL111" t="s">
        <v>87</v>
      </c>
      <c r="BM111" t="s">
        <v>158</v>
      </c>
      <c r="BN111">
        <v>95</v>
      </c>
      <c r="BO111">
        <v>45887</v>
      </c>
      <c r="BP111" t="s">
        <v>146</v>
      </c>
    </row>
    <row r="112" spans="1:68">
      <c r="D112" s="10"/>
      <c r="W112" t="s">
        <v>111</v>
      </c>
      <c r="X112" t="s">
        <v>112</v>
      </c>
      <c r="Y112" s="9">
        <v>753.34</v>
      </c>
      <c r="Z112" s="10">
        <v>800</v>
      </c>
      <c r="AA112" t="s">
        <v>149</v>
      </c>
      <c r="AC112" t="s">
        <v>94</v>
      </c>
      <c r="AD112" t="s">
        <v>95</v>
      </c>
      <c r="AE112" s="14">
        <v>76140</v>
      </c>
      <c r="AF112" s="10">
        <v>43739</v>
      </c>
      <c r="AG112" t="s">
        <v>149</v>
      </c>
      <c r="AI112" t="s">
        <v>16</v>
      </c>
      <c r="AJ112" t="s">
        <v>119</v>
      </c>
      <c r="AK112">
        <v>7</v>
      </c>
      <c r="AL112" s="10">
        <v>44073</v>
      </c>
      <c r="AM112" t="s">
        <v>146</v>
      </c>
      <c r="AO112" t="s">
        <v>16</v>
      </c>
      <c r="AP112" t="s">
        <v>119</v>
      </c>
      <c r="AQ112" s="197">
        <v>0</v>
      </c>
      <c r="AR112" s="10">
        <v>44437</v>
      </c>
      <c r="AS112" t="s">
        <v>146</v>
      </c>
      <c r="AU112" t="s">
        <v>16</v>
      </c>
      <c r="AV112" t="s">
        <v>480</v>
      </c>
      <c r="AW112">
        <v>100</v>
      </c>
      <c r="AX112" s="10">
        <v>44800</v>
      </c>
      <c r="AY112" t="s">
        <v>146</v>
      </c>
      <c r="BA112" t="s">
        <v>16</v>
      </c>
      <c r="BB112" t="s">
        <v>480</v>
      </c>
      <c r="BC112">
        <v>100</v>
      </c>
      <c r="BD112">
        <v>45164</v>
      </c>
      <c r="BE112" t="s">
        <v>146</v>
      </c>
      <c r="BG112" t="s">
        <v>16</v>
      </c>
      <c r="BH112" t="s">
        <v>480</v>
      </c>
      <c r="BI112">
        <v>100</v>
      </c>
      <c r="BJ112">
        <v>45528</v>
      </c>
      <c r="BK112" t="s">
        <v>146</v>
      </c>
      <c r="BL112" t="s">
        <v>16</v>
      </c>
      <c r="BM112" t="s">
        <v>480</v>
      </c>
      <c r="BN112">
        <v>100</v>
      </c>
      <c r="BO112">
        <v>45887</v>
      </c>
      <c r="BP112" t="s">
        <v>146</v>
      </c>
    </row>
    <row r="113" spans="3:68">
      <c r="D113" s="10"/>
      <c r="W113" t="s">
        <v>15</v>
      </c>
      <c r="X113" t="s">
        <v>150</v>
      </c>
      <c r="Y113" s="9">
        <v>1500</v>
      </c>
      <c r="Z113" s="10">
        <v>800</v>
      </c>
      <c r="AA113" t="s">
        <v>149</v>
      </c>
      <c r="AC113" t="s">
        <v>99</v>
      </c>
      <c r="AD113" t="s">
        <v>100</v>
      </c>
      <c r="AE113" s="14">
        <v>300000</v>
      </c>
      <c r="AF113" s="10">
        <v>43739</v>
      </c>
      <c r="AG113" t="s">
        <v>149</v>
      </c>
      <c r="AI113" t="s">
        <v>118</v>
      </c>
      <c r="AJ113" t="s">
        <v>431</v>
      </c>
      <c r="AK113">
        <v>8565229.5</v>
      </c>
      <c r="AL113" s="10">
        <v>44073</v>
      </c>
      <c r="AM113" t="s">
        <v>146</v>
      </c>
      <c r="AO113" t="s">
        <v>118</v>
      </c>
      <c r="AP113" t="s">
        <v>462</v>
      </c>
      <c r="AQ113" s="197">
        <v>8</v>
      </c>
      <c r="AR113" s="10">
        <v>44437</v>
      </c>
      <c r="AS113" t="s">
        <v>146</v>
      </c>
      <c r="AU113" t="s">
        <v>179</v>
      </c>
      <c r="AV113" t="s">
        <v>413</v>
      </c>
      <c r="AW113">
        <v>0</v>
      </c>
      <c r="AX113" s="10">
        <v>44800</v>
      </c>
      <c r="AY113" t="s">
        <v>146</v>
      </c>
      <c r="BA113" t="s">
        <v>118</v>
      </c>
      <c r="BB113" t="s">
        <v>413</v>
      </c>
      <c r="BC113">
        <v>0</v>
      </c>
      <c r="BD113">
        <v>45164</v>
      </c>
      <c r="BE113" t="s">
        <v>146</v>
      </c>
      <c r="BG113" t="s">
        <v>15</v>
      </c>
      <c r="BH113" t="s">
        <v>413</v>
      </c>
      <c r="BI113">
        <v>0</v>
      </c>
      <c r="BJ113">
        <v>45528</v>
      </c>
      <c r="BK113" t="s">
        <v>146</v>
      </c>
      <c r="BL113" t="s">
        <v>15</v>
      </c>
      <c r="BM113" t="s">
        <v>413</v>
      </c>
      <c r="BN113">
        <v>0</v>
      </c>
      <c r="BO113">
        <v>45887</v>
      </c>
      <c r="BP113" t="s">
        <v>146</v>
      </c>
    </row>
    <row r="114" spans="3:68">
      <c r="D114" s="10"/>
      <c r="G114">
        <f>20*8750</f>
        <v>175000</v>
      </c>
      <c r="W114" t="s">
        <v>87</v>
      </c>
      <c r="X114" t="s">
        <v>147</v>
      </c>
      <c r="Y114" s="9">
        <v>0</v>
      </c>
      <c r="Z114" s="10">
        <v>800</v>
      </c>
      <c r="AA114" t="s">
        <v>149</v>
      </c>
      <c r="AC114" t="s">
        <v>103</v>
      </c>
      <c r="AD114" t="s">
        <v>364</v>
      </c>
      <c r="AE114" s="14">
        <v>70000</v>
      </c>
      <c r="AF114" s="10">
        <v>43739</v>
      </c>
      <c r="AG114" t="s">
        <v>149</v>
      </c>
      <c r="AI114" t="s">
        <v>194</v>
      </c>
      <c r="AJ114" t="s">
        <v>396</v>
      </c>
      <c r="AK114">
        <v>105000</v>
      </c>
      <c r="AL114" s="10">
        <v>44073</v>
      </c>
      <c r="AM114" t="s">
        <v>146</v>
      </c>
      <c r="AO114" t="s">
        <v>15</v>
      </c>
      <c r="AP114" t="s">
        <v>396</v>
      </c>
      <c r="AQ114" s="197">
        <v>0.5</v>
      </c>
      <c r="AR114" s="10">
        <v>44437</v>
      </c>
      <c r="AS114" t="s">
        <v>146</v>
      </c>
      <c r="AU114" t="s">
        <v>194</v>
      </c>
      <c r="AV114" t="s">
        <v>396</v>
      </c>
      <c r="AW114">
        <v>1.5</v>
      </c>
      <c r="AX114" s="10">
        <v>44800</v>
      </c>
      <c r="AY114" t="s">
        <v>146</v>
      </c>
      <c r="BA114" t="s">
        <v>194</v>
      </c>
      <c r="BB114" t="s">
        <v>396</v>
      </c>
      <c r="BC114">
        <v>2</v>
      </c>
      <c r="BD114">
        <v>45164</v>
      </c>
      <c r="BE114" t="s">
        <v>146</v>
      </c>
      <c r="BG114" t="s">
        <v>194</v>
      </c>
      <c r="BH114" t="s">
        <v>396</v>
      </c>
      <c r="BI114">
        <v>2</v>
      </c>
      <c r="BJ114">
        <v>45528</v>
      </c>
      <c r="BK114" t="s">
        <v>146</v>
      </c>
      <c r="BL114" t="s">
        <v>194</v>
      </c>
      <c r="BM114" t="s">
        <v>396</v>
      </c>
      <c r="BN114">
        <v>2</v>
      </c>
      <c r="BO114">
        <v>45887</v>
      </c>
      <c r="BP114" t="s">
        <v>146</v>
      </c>
    </row>
    <row r="115" spans="3:68">
      <c r="D115" s="10"/>
      <c r="W115" t="s">
        <v>16</v>
      </c>
      <c r="X115" t="s">
        <v>119</v>
      </c>
      <c r="Y115" s="9">
        <v>7</v>
      </c>
      <c r="Z115" s="10">
        <v>800</v>
      </c>
      <c r="AA115" t="s">
        <v>149</v>
      </c>
      <c r="AC115" t="s">
        <v>107</v>
      </c>
      <c r="AD115" t="s">
        <v>372</v>
      </c>
      <c r="AE115" s="14">
        <v>85000</v>
      </c>
      <c r="AF115" s="10">
        <v>43739</v>
      </c>
      <c r="AG115" t="s">
        <v>149</v>
      </c>
      <c r="AI115" t="s">
        <v>81</v>
      </c>
      <c r="AJ115" t="s">
        <v>426</v>
      </c>
      <c r="AK115">
        <v>2000000</v>
      </c>
      <c r="AL115" s="10">
        <v>44105</v>
      </c>
      <c r="AM115" t="s">
        <v>149</v>
      </c>
      <c r="AO115" t="s">
        <v>81</v>
      </c>
      <c r="AP115" t="s">
        <v>426</v>
      </c>
      <c r="AQ115" s="188">
        <v>60</v>
      </c>
      <c r="AR115" s="10">
        <v>44469</v>
      </c>
      <c r="AS115" t="s">
        <v>149</v>
      </c>
      <c r="AU115" t="s">
        <v>81</v>
      </c>
      <c r="AV115" t="s">
        <v>426</v>
      </c>
      <c r="AW115">
        <v>60</v>
      </c>
      <c r="AX115" s="10">
        <v>44829</v>
      </c>
      <c r="AY115" t="s">
        <v>149</v>
      </c>
      <c r="BA115" t="s">
        <v>81</v>
      </c>
      <c r="BB115" t="s">
        <v>426</v>
      </c>
      <c r="BC115">
        <v>120</v>
      </c>
      <c r="BD115">
        <v>45193</v>
      </c>
      <c r="BE115" t="s">
        <v>149</v>
      </c>
      <c r="BG115" t="s">
        <v>81</v>
      </c>
      <c r="BH115" t="s">
        <v>426</v>
      </c>
      <c r="BI115">
        <v>120</v>
      </c>
      <c r="BJ115">
        <v>45558</v>
      </c>
      <c r="BK115" t="s">
        <v>149</v>
      </c>
      <c r="BL115" t="s">
        <v>81</v>
      </c>
      <c r="BM115" t="s">
        <v>426</v>
      </c>
      <c r="BN115">
        <v>120</v>
      </c>
      <c r="BO115">
        <v>45918</v>
      </c>
      <c r="BP115" t="s">
        <v>149</v>
      </c>
    </row>
    <row r="116" spans="3:68">
      <c r="C116" s="188"/>
      <c r="D116" s="10"/>
      <c r="W116" t="s">
        <v>118</v>
      </c>
      <c r="X116" t="s">
        <v>151</v>
      </c>
      <c r="Y116" s="19">
        <f>I108</f>
        <v>0</v>
      </c>
      <c r="Z116" s="10">
        <v>800</v>
      </c>
      <c r="AA116" t="s">
        <v>149</v>
      </c>
      <c r="AC116" t="s">
        <v>14</v>
      </c>
      <c r="AD116" t="s">
        <v>131</v>
      </c>
      <c r="AE116" s="14">
        <v>0</v>
      </c>
      <c r="AF116" s="10">
        <v>43739</v>
      </c>
      <c r="AG116" t="s">
        <v>149</v>
      </c>
      <c r="AI116" t="s">
        <v>89</v>
      </c>
      <c r="AJ116" t="s">
        <v>435</v>
      </c>
      <c r="AK116">
        <v>1300000</v>
      </c>
      <c r="AL116" s="10">
        <v>44105</v>
      </c>
      <c r="AM116" t="s">
        <v>149</v>
      </c>
      <c r="AO116" t="s">
        <v>89</v>
      </c>
      <c r="AP116" t="s">
        <v>445</v>
      </c>
      <c r="AQ116" s="188">
        <v>5</v>
      </c>
      <c r="AR116" s="10">
        <v>44469</v>
      </c>
      <c r="AS116" t="s">
        <v>149</v>
      </c>
      <c r="AU116" t="s">
        <v>89</v>
      </c>
      <c r="AV116" t="s">
        <v>435</v>
      </c>
      <c r="AW116">
        <v>7</v>
      </c>
      <c r="AX116" s="10">
        <v>44829</v>
      </c>
      <c r="AY116" t="s">
        <v>149</v>
      </c>
      <c r="BA116" t="s">
        <v>89</v>
      </c>
      <c r="BB116" t="s">
        <v>435</v>
      </c>
      <c r="BC116">
        <v>9</v>
      </c>
      <c r="BD116">
        <v>45193</v>
      </c>
      <c r="BE116" t="s">
        <v>149</v>
      </c>
      <c r="BG116" t="s">
        <v>89</v>
      </c>
      <c r="BH116" t="s">
        <v>435</v>
      </c>
      <c r="BI116">
        <v>8</v>
      </c>
      <c r="BJ116">
        <v>45558</v>
      </c>
      <c r="BK116" t="s">
        <v>149</v>
      </c>
      <c r="BL116" t="s">
        <v>89</v>
      </c>
      <c r="BM116" t="s">
        <v>435</v>
      </c>
      <c r="BN116">
        <v>10</v>
      </c>
      <c r="BO116">
        <v>45918</v>
      </c>
      <c r="BP116" t="s">
        <v>149</v>
      </c>
    </row>
    <row r="117" spans="3:68">
      <c r="C117" s="188"/>
      <c r="D117" s="10"/>
      <c r="W117" t="s">
        <v>81</v>
      </c>
      <c r="X117" t="s">
        <v>145</v>
      </c>
      <c r="Y117" s="9">
        <v>1800</v>
      </c>
      <c r="Z117" s="10">
        <v>43404</v>
      </c>
      <c r="AA117" t="s">
        <v>152</v>
      </c>
      <c r="AC117" t="s">
        <v>111</v>
      </c>
      <c r="AD117" t="s">
        <v>381</v>
      </c>
      <c r="AE117" s="14" t="e">
        <f>50*AJ38</f>
        <v>#VALUE!</v>
      </c>
      <c r="AF117" s="10">
        <v>43739</v>
      </c>
      <c r="AG117" t="s">
        <v>149</v>
      </c>
      <c r="AI117" t="s">
        <v>91</v>
      </c>
      <c r="AJ117" t="s">
        <v>92</v>
      </c>
      <c r="AK117">
        <v>1200000</v>
      </c>
      <c r="AL117" s="10">
        <v>44105</v>
      </c>
      <c r="AM117" t="s">
        <v>149</v>
      </c>
      <c r="AO117" t="s">
        <v>91</v>
      </c>
      <c r="AP117" t="s">
        <v>92</v>
      </c>
      <c r="AQ117" s="188">
        <v>40</v>
      </c>
      <c r="AR117" s="10">
        <v>44469</v>
      </c>
      <c r="AS117" t="s">
        <v>149</v>
      </c>
      <c r="AU117" t="s">
        <v>91</v>
      </c>
      <c r="AV117" t="s">
        <v>92</v>
      </c>
      <c r="AW117">
        <v>45</v>
      </c>
      <c r="AX117" s="10">
        <v>44829</v>
      </c>
      <c r="AY117" t="s">
        <v>149</v>
      </c>
      <c r="BA117" t="s">
        <v>91</v>
      </c>
      <c r="BB117" t="s">
        <v>92</v>
      </c>
      <c r="BC117">
        <v>50</v>
      </c>
      <c r="BD117">
        <v>45193</v>
      </c>
      <c r="BE117" t="s">
        <v>149</v>
      </c>
      <c r="BG117" t="s">
        <v>91</v>
      </c>
      <c r="BH117" t="s">
        <v>532</v>
      </c>
      <c r="BI117">
        <v>133</v>
      </c>
      <c r="BJ117">
        <v>45558</v>
      </c>
      <c r="BK117" t="s">
        <v>149</v>
      </c>
      <c r="BL117" t="s">
        <v>91</v>
      </c>
      <c r="BM117" t="s">
        <v>583</v>
      </c>
      <c r="BN117">
        <v>170</v>
      </c>
      <c r="BO117">
        <v>45918</v>
      </c>
      <c r="BP117" t="s">
        <v>149</v>
      </c>
    </row>
    <row r="118" spans="3:68">
      <c r="C118" s="188"/>
      <c r="D118" s="10"/>
      <c r="W118" t="s">
        <v>89</v>
      </c>
      <c r="X118" t="s">
        <v>153</v>
      </c>
      <c r="Y118" s="9">
        <v>5000</v>
      </c>
      <c r="Z118" s="10">
        <v>43404</v>
      </c>
      <c r="AA118" t="s">
        <v>152</v>
      </c>
      <c r="AC118" t="s">
        <v>15</v>
      </c>
      <c r="AD118" t="s">
        <v>338</v>
      </c>
      <c r="AE118" s="14">
        <f>27000*5</f>
        <v>135000</v>
      </c>
      <c r="AF118" s="10">
        <v>43739</v>
      </c>
      <c r="AG118" t="s">
        <v>149</v>
      </c>
      <c r="AI118" t="s">
        <v>94</v>
      </c>
      <c r="AJ118" t="s">
        <v>95</v>
      </c>
      <c r="AK118">
        <v>100000</v>
      </c>
      <c r="AL118" s="10">
        <v>44105</v>
      </c>
      <c r="AM118" t="s">
        <v>149</v>
      </c>
      <c r="AO118" t="s">
        <v>94</v>
      </c>
      <c r="AP118" t="s">
        <v>95</v>
      </c>
      <c r="AQ118" s="188">
        <v>5</v>
      </c>
      <c r="AR118" s="10">
        <v>44469</v>
      </c>
      <c r="AS118" t="s">
        <v>149</v>
      </c>
      <c r="AU118" t="s">
        <v>94</v>
      </c>
      <c r="AV118" t="s">
        <v>95</v>
      </c>
      <c r="AW118">
        <v>0</v>
      </c>
      <c r="AX118" s="10">
        <v>44829</v>
      </c>
      <c r="AY118" t="s">
        <v>149</v>
      </c>
      <c r="BA118" t="s">
        <v>94</v>
      </c>
      <c r="BB118" t="s">
        <v>95</v>
      </c>
      <c r="BC118">
        <v>0</v>
      </c>
      <c r="BD118">
        <v>45193</v>
      </c>
      <c r="BE118" t="s">
        <v>149</v>
      </c>
      <c r="BG118" t="s">
        <v>94</v>
      </c>
      <c r="BH118" t="s">
        <v>542</v>
      </c>
      <c r="BI118">
        <v>70</v>
      </c>
      <c r="BJ118">
        <v>45558</v>
      </c>
      <c r="BK118" t="s">
        <v>149</v>
      </c>
      <c r="BL118" t="s">
        <v>94</v>
      </c>
      <c r="BM118" t="s">
        <v>542</v>
      </c>
      <c r="BN118">
        <v>85</v>
      </c>
      <c r="BO118">
        <v>45918</v>
      </c>
      <c r="BP118" t="s">
        <v>149</v>
      </c>
    </row>
    <row r="119" spans="3:68">
      <c r="C119" s="188"/>
      <c r="D119" s="10"/>
      <c r="W119" t="s">
        <v>91</v>
      </c>
      <c r="X119" t="s">
        <v>92</v>
      </c>
      <c r="Y119" s="9">
        <v>0.05</v>
      </c>
      <c r="Z119" s="10">
        <v>43404</v>
      </c>
      <c r="AA119" t="s">
        <v>152</v>
      </c>
      <c r="AC119" t="s">
        <v>87</v>
      </c>
      <c r="AD119" t="s">
        <v>362</v>
      </c>
      <c r="AE119" s="14">
        <v>486100</v>
      </c>
      <c r="AF119" s="10">
        <v>43739</v>
      </c>
      <c r="AG119" t="s">
        <v>149</v>
      </c>
      <c r="AI119" t="s">
        <v>99</v>
      </c>
      <c r="AJ119" t="s">
        <v>390</v>
      </c>
      <c r="AK119">
        <v>750000</v>
      </c>
      <c r="AL119" s="10">
        <v>44105</v>
      </c>
      <c r="AM119" t="s">
        <v>149</v>
      </c>
      <c r="AO119" t="s">
        <v>99</v>
      </c>
      <c r="AP119" t="s">
        <v>448</v>
      </c>
      <c r="AQ119" s="188">
        <v>12</v>
      </c>
      <c r="AR119" s="10">
        <v>44469</v>
      </c>
      <c r="AS119" t="s">
        <v>149</v>
      </c>
      <c r="AU119" t="s">
        <v>99</v>
      </c>
      <c r="AV119" t="s">
        <v>490</v>
      </c>
      <c r="AW119">
        <v>12</v>
      </c>
      <c r="AX119" s="10">
        <v>44829</v>
      </c>
      <c r="AY119" t="s">
        <v>149</v>
      </c>
      <c r="BA119" t="s">
        <v>99</v>
      </c>
      <c r="BB119" t="s">
        <v>448</v>
      </c>
      <c r="BC119">
        <v>7</v>
      </c>
      <c r="BD119">
        <v>45193</v>
      </c>
      <c r="BE119" t="s">
        <v>149</v>
      </c>
      <c r="BG119" t="s">
        <v>99</v>
      </c>
      <c r="BH119" t="s">
        <v>448</v>
      </c>
      <c r="BI119">
        <v>10</v>
      </c>
      <c r="BJ119">
        <v>45558</v>
      </c>
      <c r="BK119" t="s">
        <v>149</v>
      </c>
      <c r="BL119" t="s">
        <v>99</v>
      </c>
      <c r="BM119" t="s">
        <v>448</v>
      </c>
      <c r="BN119">
        <v>15</v>
      </c>
      <c r="BO119">
        <v>45918</v>
      </c>
      <c r="BP119" t="s">
        <v>149</v>
      </c>
    </row>
    <row r="120" spans="3:68">
      <c r="C120" s="188"/>
      <c r="D120" s="10"/>
      <c r="H120">
        <f>2*456000</f>
        <v>912000</v>
      </c>
      <c r="W120" t="s">
        <v>94</v>
      </c>
      <c r="X120" t="s">
        <v>95</v>
      </c>
      <c r="Y120" s="9">
        <v>0</v>
      </c>
      <c r="Z120" s="10">
        <v>43404</v>
      </c>
      <c r="AA120" t="s">
        <v>152</v>
      </c>
      <c r="AC120" t="s">
        <v>16</v>
      </c>
      <c r="AD120" t="s">
        <v>119</v>
      </c>
      <c r="AE120" s="14">
        <v>7</v>
      </c>
      <c r="AF120" s="10">
        <v>43739</v>
      </c>
      <c r="AG120" t="s">
        <v>149</v>
      </c>
      <c r="AI120" t="s">
        <v>103</v>
      </c>
      <c r="AJ120" t="s">
        <v>104</v>
      </c>
      <c r="AK120">
        <v>6000000</v>
      </c>
      <c r="AL120" s="10">
        <v>44105</v>
      </c>
      <c r="AM120" t="s">
        <v>149</v>
      </c>
      <c r="AO120" t="s">
        <v>103</v>
      </c>
      <c r="AP120" t="s">
        <v>460</v>
      </c>
      <c r="AQ120" s="188">
        <v>35</v>
      </c>
      <c r="AR120" s="10">
        <v>44469</v>
      </c>
      <c r="AS120" t="s">
        <v>149</v>
      </c>
      <c r="AU120" t="s">
        <v>103</v>
      </c>
      <c r="AV120" t="s">
        <v>444</v>
      </c>
      <c r="AW120">
        <v>35</v>
      </c>
      <c r="AX120" s="10">
        <v>44829</v>
      </c>
      <c r="AY120" t="s">
        <v>149</v>
      </c>
      <c r="BA120" t="s">
        <v>103</v>
      </c>
      <c r="BB120" t="s">
        <v>444</v>
      </c>
      <c r="BC120">
        <v>35</v>
      </c>
      <c r="BD120">
        <v>45193</v>
      </c>
      <c r="BE120" t="s">
        <v>149</v>
      </c>
      <c r="BG120" t="s">
        <v>103</v>
      </c>
      <c r="BH120" t="s">
        <v>444</v>
      </c>
      <c r="BI120">
        <v>35</v>
      </c>
      <c r="BJ120">
        <v>45558</v>
      </c>
      <c r="BK120" t="s">
        <v>149</v>
      </c>
      <c r="BL120" t="s">
        <v>103</v>
      </c>
      <c r="BM120" t="s">
        <v>574</v>
      </c>
      <c r="BN120">
        <v>35</v>
      </c>
      <c r="BO120">
        <v>45918</v>
      </c>
      <c r="BP120" t="s">
        <v>149</v>
      </c>
    </row>
    <row r="121" spans="3:68">
      <c r="C121" s="19"/>
      <c r="D121" s="10"/>
      <c r="H121">
        <f>H120*7</f>
        <v>6384000</v>
      </c>
      <c r="W121" t="s">
        <v>99</v>
      </c>
      <c r="X121" t="s">
        <v>100</v>
      </c>
      <c r="Y121" s="9">
        <v>0</v>
      </c>
      <c r="Z121" s="10">
        <v>43404</v>
      </c>
      <c r="AA121" t="s">
        <v>152</v>
      </c>
      <c r="AC121" t="s">
        <v>118</v>
      </c>
      <c r="AD121" t="s">
        <v>374</v>
      </c>
      <c r="AE121" s="14" t="str">
        <f>AO92</f>
        <v>GC010</v>
      </c>
      <c r="AF121" s="10">
        <v>43739</v>
      </c>
      <c r="AG121" t="s">
        <v>149</v>
      </c>
      <c r="AI121" t="s">
        <v>107</v>
      </c>
      <c r="AJ121" t="s">
        <v>413</v>
      </c>
      <c r="AK121">
        <v>0</v>
      </c>
      <c r="AL121" s="10">
        <v>44105</v>
      </c>
      <c r="AM121" t="s">
        <v>149</v>
      </c>
      <c r="AO121" t="s">
        <v>107</v>
      </c>
      <c r="AP121" t="s">
        <v>465</v>
      </c>
      <c r="AQ121" s="188">
        <v>45</v>
      </c>
      <c r="AR121" s="10">
        <v>44469</v>
      </c>
      <c r="AS121" t="s">
        <v>149</v>
      </c>
      <c r="AU121" t="s">
        <v>107</v>
      </c>
      <c r="AV121" t="s">
        <v>488</v>
      </c>
      <c r="AW121">
        <v>40</v>
      </c>
      <c r="AX121" s="10">
        <v>44829</v>
      </c>
      <c r="AY121" t="s">
        <v>149</v>
      </c>
      <c r="BA121" t="s">
        <v>107</v>
      </c>
      <c r="BB121" t="s">
        <v>413</v>
      </c>
      <c r="BC121">
        <v>0</v>
      </c>
      <c r="BD121">
        <v>45193</v>
      </c>
      <c r="BE121" t="s">
        <v>149</v>
      </c>
      <c r="BG121" t="s">
        <v>107</v>
      </c>
      <c r="BH121" t="s">
        <v>413</v>
      </c>
      <c r="BI121">
        <v>0</v>
      </c>
      <c r="BJ121">
        <v>45558</v>
      </c>
      <c r="BK121" t="s">
        <v>149</v>
      </c>
      <c r="BL121" t="s">
        <v>107</v>
      </c>
      <c r="BM121" t="s">
        <v>584</v>
      </c>
      <c r="BN121">
        <v>60</v>
      </c>
      <c r="BO121">
        <v>45918</v>
      </c>
      <c r="BP121" t="s">
        <v>149</v>
      </c>
    </row>
    <row r="122" spans="3:68">
      <c r="C122" s="188"/>
      <c r="D122" s="10"/>
      <c r="W122" t="s">
        <v>103</v>
      </c>
      <c r="X122" t="s">
        <v>104</v>
      </c>
      <c r="Y122" s="9">
        <v>3000</v>
      </c>
      <c r="Z122" s="10">
        <v>43404</v>
      </c>
      <c r="AA122" t="s">
        <v>152</v>
      </c>
      <c r="AC122" t="s">
        <v>194</v>
      </c>
      <c r="AD122" t="s">
        <v>370</v>
      </c>
      <c r="AE122" s="14">
        <v>8500</v>
      </c>
      <c r="AF122" s="10">
        <v>43739</v>
      </c>
      <c r="AG122" t="s">
        <v>149</v>
      </c>
      <c r="AI122" t="s">
        <v>14</v>
      </c>
      <c r="AJ122" t="s">
        <v>131</v>
      </c>
      <c r="AK122">
        <v>0</v>
      </c>
      <c r="AL122" s="10">
        <v>44105</v>
      </c>
      <c r="AM122" t="s">
        <v>149</v>
      </c>
      <c r="AO122" t="s">
        <v>195</v>
      </c>
      <c r="AP122" t="s">
        <v>413</v>
      </c>
      <c r="AQ122" s="188">
        <v>0</v>
      </c>
      <c r="AR122" s="10">
        <v>44469</v>
      </c>
      <c r="AS122" t="s">
        <v>149</v>
      </c>
      <c r="AU122" t="s">
        <v>118</v>
      </c>
      <c r="AV122" t="s">
        <v>489</v>
      </c>
      <c r="AW122">
        <v>60</v>
      </c>
      <c r="AX122" s="10">
        <v>44829</v>
      </c>
      <c r="AY122" t="s">
        <v>149</v>
      </c>
      <c r="BA122" t="s">
        <v>14</v>
      </c>
      <c r="BB122" t="s">
        <v>503</v>
      </c>
      <c r="BC122">
        <v>70</v>
      </c>
      <c r="BD122">
        <v>45193</v>
      </c>
      <c r="BE122" t="s">
        <v>149</v>
      </c>
      <c r="BG122" t="s">
        <v>14</v>
      </c>
      <c r="BH122" t="s">
        <v>503</v>
      </c>
      <c r="BI122">
        <v>70</v>
      </c>
      <c r="BJ122">
        <v>45558</v>
      </c>
      <c r="BK122" t="s">
        <v>149</v>
      </c>
      <c r="BL122" t="s">
        <v>14</v>
      </c>
      <c r="BM122" t="s">
        <v>503</v>
      </c>
      <c r="BN122">
        <v>70</v>
      </c>
      <c r="BO122">
        <v>45918</v>
      </c>
      <c r="BP122" t="s">
        <v>149</v>
      </c>
    </row>
    <row r="123" spans="3:68">
      <c r="C123" s="188"/>
      <c r="D123" s="10"/>
      <c r="W123" t="s">
        <v>107</v>
      </c>
      <c r="X123" t="s">
        <v>154</v>
      </c>
      <c r="Y123" s="9">
        <v>2000</v>
      </c>
      <c r="Z123" s="10">
        <v>43404</v>
      </c>
      <c r="AA123" t="s">
        <v>152</v>
      </c>
      <c r="AC123" t="s">
        <v>81</v>
      </c>
      <c r="AD123" t="s">
        <v>145</v>
      </c>
      <c r="AE123">
        <v>300000</v>
      </c>
      <c r="AF123" s="10">
        <v>43771</v>
      </c>
      <c r="AG123" t="s">
        <v>152</v>
      </c>
      <c r="AI123" t="s">
        <v>111</v>
      </c>
      <c r="AJ123" t="s">
        <v>436</v>
      </c>
      <c r="AK123">
        <v>22500000</v>
      </c>
      <c r="AL123" s="10">
        <v>44105</v>
      </c>
      <c r="AM123" t="s">
        <v>149</v>
      </c>
      <c r="AO123" t="s">
        <v>111</v>
      </c>
      <c r="AP123" t="s">
        <v>443</v>
      </c>
      <c r="AQ123" s="188">
        <v>50</v>
      </c>
      <c r="AR123" s="10">
        <v>44469</v>
      </c>
      <c r="AS123" t="s">
        <v>149</v>
      </c>
      <c r="AU123" t="s">
        <v>111</v>
      </c>
      <c r="AV123" t="s">
        <v>413</v>
      </c>
      <c r="AW123">
        <v>0</v>
      </c>
      <c r="AX123" s="10">
        <v>44829</v>
      </c>
      <c r="AY123" t="s">
        <v>149</v>
      </c>
      <c r="BA123" t="s">
        <v>111</v>
      </c>
      <c r="BB123" t="s">
        <v>514</v>
      </c>
      <c r="BC123">
        <v>45</v>
      </c>
      <c r="BD123">
        <v>45193</v>
      </c>
      <c r="BE123" t="s">
        <v>149</v>
      </c>
      <c r="BG123" t="s">
        <v>111</v>
      </c>
      <c r="BH123" t="s">
        <v>413</v>
      </c>
      <c r="BI123">
        <v>0</v>
      </c>
      <c r="BJ123">
        <v>45558</v>
      </c>
      <c r="BK123" t="s">
        <v>149</v>
      </c>
      <c r="BL123" t="s">
        <v>111</v>
      </c>
      <c r="BM123" t="s">
        <v>413</v>
      </c>
      <c r="BN123">
        <v>0</v>
      </c>
      <c r="BO123">
        <v>45918</v>
      </c>
      <c r="BP123" t="s">
        <v>149</v>
      </c>
    </row>
    <row r="124" spans="3:68">
      <c r="C124" s="188"/>
      <c r="D124" s="10"/>
      <c r="W124" t="s">
        <v>14</v>
      </c>
      <c r="X124" t="s">
        <v>131</v>
      </c>
      <c r="Y124" s="9">
        <v>4</v>
      </c>
      <c r="Z124" s="10">
        <v>43404</v>
      </c>
      <c r="AA124" t="s">
        <v>152</v>
      </c>
      <c r="AC124" t="s">
        <v>89</v>
      </c>
      <c r="AD124" t="s">
        <v>153</v>
      </c>
      <c r="AE124">
        <f>66200+177000</f>
        <v>243200</v>
      </c>
      <c r="AF124" s="10">
        <v>43771</v>
      </c>
      <c r="AG124" t="s">
        <v>152</v>
      </c>
      <c r="AI124" t="s">
        <v>15</v>
      </c>
      <c r="AJ124" t="s">
        <v>430</v>
      </c>
      <c r="AK124">
        <v>0</v>
      </c>
      <c r="AL124" s="10">
        <v>44105</v>
      </c>
      <c r="AM124" t="s">
        <v>149</v>
      </c>
      <c r="AO124" t="s">
        <v>179</v>
      </c>
      <c r="AQ124" s="188">
        <v>0</v>
      </c>
      <c r="AR124" s="10">
        <v>44469</v>
      </c>
      <c r="AS124" t="s">
        <v>149</v>
      </c>
      <c r="AU124" t="s">
        <v>15</v>
      </c>
      <c r="AV124" t="s">
        <v>413</v>
      </c>
      <c r="AW124">
        <v>0</v>
      </c>
      <c r="AX124" s="10">
        <v>44829</v>
      </c>
      <c r="AY124" t="s">
        <v>149</v>
      </c>
      <c r="BA124" t="s">
        <v>15</v>
      </c>
      <c r="BB124" t="s">
        <v>413</v>
      </c>
      <c r="BC124">
        <v>0</v>
      </c>
      <c r="BD124">
        <v>45193</v>
      </c>
      <c r="BE124" t="s">
        <v>149</v>
      </c>
      <c r="BG124" t="s">
        <v>118</v>
      </c>
      <c r="BH124" t="s">
        <v>413</v>
      </c>
      <c r="BI124">
        <v>0</v>
      </c>
      <c r="BJ124">
        <v>45558</v>
      </c>
      <c r="BK124" t="s">
        <v>149</v>
      </c>
      <c r="BL124" t="s">
        <v>118</v>
      </c>
      <c r="BM124" t="s">
        <v>413</v>
      </c>
      <c r="BN124">
        <v>0</v>
      </c>
      <c r="BO124">
        <v>45918</v>
      </c>
      <c r="BP124" t="s">
        <v>149</v>
      </c>
    </row>
    <row r="125" spans="3:68">
      <c r="C125" s="188"/>
      <c r="D125" s="10"/>
      <c r="W125" t="s">
        <v>111</v>
      </c>
      <c r="X125" t="s">
        <v>155</v>
      </c>
      <c r="Y125" s="9">
        <v>8000</v>
      </c>
      <c r="Z125" s="10">
        <v>43404</v>
      </c>
      <c r="AA125" t="s">
        <v>152</v>
      </c>
      <c r="AC125" t="s">
        <v>91</v>
      </c>
      <c r="AD125" t="s">
        <v>92</v>
      </c>
      <c r="AE125">
        <v>95203.86</v>
      </c>
      <c r="AF125" s="10">
        <v>43771</v>
      </c>
      <c r="AG125" t="s">
        <v>152</v>
      </c>
      <c r="AI125" t="s">
        <v>87</v>
      </c>
      <c r="AJ125" t="s">
        <v>158</v>
      </c>
      <c r="AK125">
        <v>9110000</v>
      </c>
      <c r="AL125" s="10">
        <v>44105</v>
      </c>
      <c r="AM125" t="s">
        <v>149</v>
      </c>
      <c r="AO125" t="s">
        <v>87</v>
      </c>
      <c r="AP125" t="s">
        <v>158</v>
      </c>
      <c r="AQ125" s="188">
        <v>65</v>
      </c>
      <c r="AR125" s="10">
        <v>44469</v>
      </c>
      <c r="AS125" t="s">
        <v>149</v>
      </c>
      <c r="AU125" t="s">
        <v>87</v>
      </c>
      <c r="AV125" t="s">
        <v>158</v>
      </c>
      <c r="AW125">
        <v>75</v>
      </c>
      <c r="AX125" s="10">
        <v>44829</v>
      </c>
      <c r="AY125" t="s">
        <v>149</v>
      </c>
      <c r="BA125" t="s">
        <v>87</v>
      </c>
      <c r="BB125" t="s">
        <v>158</v>
      </c>
      <c r="BC125">
        <v>90</v>
      </c>
      <c r="BD125">
        <v>45193</v>
      </c>
      <c r="BE125" t="s">
        <v>149</v>
      </c>
      <c r="BG125" t="s">
        <v>87</v>
      </c>
      <c r="BH125" t="s">
        <v>158</v>
      </c>
      <c r="BI125">
        <v>85</v>
      </c>
      <c r="BJ125">
        <v>45558</v>
      </c>
      <c r="BK125" t="s">
        <v>149</v>
      </c>
      <c r="BL125" t="s">
        <v>87</v>
      </c>
      <c r="BM125" t="s">
        <v>158</v>
      </c>
      <c r="BN125">
        <v>95</v>
      </c>
      <c r="BO125">
        <v>45918</v>
      </c>
      <c r="BP125" t="s">
        <v>149</v>
      </c>
    </row>
    <row r="126" spans="3:68">
      <c r="C126" s="188"/>
      <c r="D126" s="10"/>
      <c r="W126" t="s">
        <v>15</v>
      </c>
      <c r="X126" t="s">
        <v>156</v>
      </c>
      <c r="Y126" s="9">
        <v>7000</v>
      </c>
      <c r="Z126" s="10">
        <v>43404</v>
      </c>
      <c r="AA126" t="s">
        <v>152</v>
      </c>
      <c r="AC126" t="s">
        <v>94</v>
      </c>
      <c r="AD126" t="s">
        <v>95</v>
      </c>
      <c r="AE126">
        <v>76140</v>
      </c>
      <c r="AF126" s="10">
        <v>43771</v>
      </c>
      <c r="AG126" t="s">
        <v>152</v>
      </c>
      <c r="AI126" t="s">
        <v>16</v>
      </c>
      <c r="AJ126" t="s">
        <v>119</v>
      </c>
      <c r="AK126">
        <v>7</v>
      </c>
      <c r="AL126" s="10">
        <v>44105</v>
      </c>
      <c r="AM126" t="s">
        <v>149</v>
      </c>
      <c r="AO126" t="s">
        <v>16</v>
      </c>
      <c r="AP126" t="s">
        <v>119</v>
      </c>
      <c r="AQ126" s="188">
        <v>0</v>
      </c>
      <c r="AR126" s="10">
        <v>44469</v>
      </c>
      <c r="AS126" t="s">
        <v>149</v>
      </c>
      <c r="AU126" t="s">
        <v>16</v>
      </c>
      <c r="AV126" t="s">
        <v>480</v>
      </c>
      <c r="AW126">
        <v>100</v>
      </c>
      <c r="AX126" s="10">
        <v>44829</v>
      </c>
      <c r="AY126" t="s">
        <v>149</v>
      </c>
      <c r="BA126" t="s">
        <v>16</v>
      </c>
      <c r="BB126" t="s">
        <v>480</v>
      </c>
      <c r="BC126">
        <v>100</v>
      </c>
      <c r="BD126">
        <v>45193</v>
      </c>
      <c r="BE126" t="s">
        <v>149</v>
      </c>
      <c r="BG126" t="s">
        <v>16</v>
      </c>
      <c r="BH126" t="s">
        <v>480</v>
      </c>
      <c r="BI126">
        <v>100</v>
      </c>
      <c r="BJ126">
        <v>45558</v>
      </c>
      <c r="BK126" t="s">
        <v>149</v>
      </c>
      <c r="BL126" t="s">
        <v>16</v>
      </c>
      <c r="BM126" t="s">
        <v>480</v>
      </c>
      <c r="BN126">
        <v>100</v>
      </c>
      <c r="BO126">
        <v>45918</v>
      </c>
      <c r="BP126" t="s">
        <v>149</v>
      </c>
    </row>
    <row r="127" spans="3:68">
      <c r="C127" s="188"/>
      <c r="D127" s="10"/>
      <c r="W127" t="s">
        <v>87</v>
      </c>
      <c r="X127" t="s">
        <v>147</v>
      </c>
      <c r="Y127" s="9">
        <v>0</v>
      </c>
      <c r="Z127" s="10">
        <v>43404</v>
      </c>
      <c r="AA127" t="s">
        <v>152</v>
      </c>
      <c r="AC127" t="s">
        <v>99</v>
      </c>
      <c r="AD127" t="s">
        <v>382</v>
      </c>
      <c r="AE127">
        <v>199200</v>
      </c>
      <c r="AF127" s="10">
        <v>43771</v>
      </c>
      <c r="AG127" t="s">
        <v>152</v>
      </c>
      <c r="AI127" t="s">
        <v>118</v>
      </c>
      <c r="AJ127" t="s">
        <v>437</v>
      </c>
      <c r="AK127">
        <v>8530200</v>
      </c>
      <c r="AL127" s="10">
        <v>44105</v>
      </c>
      <c r="AM127" t="s">
        <v>149</v>
      </c>
      <c r="AO127" t="s">
        <v>118</v>
      </c>
      <c r="AQ127" s="188"/>
      <c r="AR127" s="10">
        <v>44469</v>
      </c>
      <c r="AS127" t="s">
        <v>149</v>
      </c>
      <c r="AU127" t="s">
        <v>179</v>
      </c>
      <c r="AV127" t="s">
        <v>413</v>
      </c>
      <c r="AW127">
        <v>0</v>
      </c>
      <c r="AX127" s="10">
        <v>44829</v>
      </c>
      <c r="AY127" t="s">
        <v>149</v>
      </c>
      <c r="BA127" t="s">
        <v>118</v>
      </c>
      <c r="BB127" t="s">
        <v>413</v>
      </c>
      <c r="BC127">
        <v>0</v>
      </c>
      <c r="BD127">
        <v>45193</v>
      </c>
      <c r="BE127" t="s">
        <v>149</v>
      </c>
      <c r="BG127" t="s">
        <v>15</v>
      </c>
      <c r="BH127" t="s">
        <v>413</v>
      </c>
      <c r="BI127">
        <v>0</v>
      </c>
      <c r="BJ127">
        <v>45558</v>
      </c>
      <c r="BK127" t="s">
        <v>149</v>
      </c>
      <c r="BL127" t="s">
        <v>15</v>
      </c>
      <c r="BM127" t="s">
        <v>585</v>
      </c>
      <c r="BN127">
        <v>22.5</v>
      </c>
      <c r="BO127">
        <v>45918</v>
      </c>
      <c r="BP127" t="s">
        <v>149</v>
      </c>
    </row>
    <row r="128" spans="3:68">
      <c r="C128" s="188"/>
      <c r="D128" s="10"/>
      <c r="W128" t="s">
        <v>16</v>
      </c>
      <c r="X128" t="s">
        <v>119</v>
      </c>
      <c r="Y128" s="9">
        <v>7</v>
      </c>
      <c r="Z128" s="10">
        <v>43404</v>
      </c>
      <c r="AA128" t="s">
        <v>152</v>
      </c>
      <c r="AC128" t="s">
        <v>103</v>
      </c>
      <c r="AD128" t="s">
        <v>379</v>
      </c>
      <c r="AE128">
        <v>100000</v>
      </c>
      <c r="AF128" s="10">
        <v>43771</v>
      </c>
      <c r="AG128" t="s">
        <v>152</v>
      </c>
      <c r="AI128" t="s">
        <v>194</v>
      </c>
      <c r="AJ128" t="s">
        <v>396</v>
      </c>
      <c r="AK128">
        <v>138000</v>
      </c>
      <c r="AL128" s="10">
        <v>44105</v>
      </c>
      <c r="AM128" t="s">
        <v>149</v>
      </c>
      <c r="AO128" t="s">
        <v>15</v>
      </c>
      <c r="AP128" t="s">
        <v>396</v>
      </c>
      <c r="AQ128" s="188">
        <v>0.5</v>
      </c>
      <c r="AR128" s="10">
        <v>44469</v>
      </c>
      <c r="AS128" t="s">
        <v>149</v>
      </c>
      <c r="AU128" t="s">
        <v>194</v>
      </c>
      <c r="AV128" t="s">
        <v>396</v>
      </c>
      <c r="AW128">
        <v>1.5</v>
      </c>
      <c r="AX128" s="10">
        <v>44829</v>
      </c>
      <c r="AY128" t="s">
        <v>149</v>
      </c>
      <c r="BA128" t="s">
        <v>194</v>
      </c>
      <c r="BB128" t="s">
        <v>396</v>
      </c>
      <c r="BC128">
        <v>2</v>
      </c>
      <c r="BD128">
        <v>45193</v>
      </c>
      <c r="BE128" t="s">
        <v>149</v>
      </c>
      <c r="BG128" t="s">
        <v>194</v>
      </c>
      <c r="BH128" t="s">
        <v>396</v>
      </c>
      <c r="BI128">
        <v>2</v>
      </c>
      <c r="BJ128">
        <v>45558</v>
      </c>
      <c r="BK128" t="s">
        <v>149</v>
      </c>
      <c r="BL128" t="s">
        <v>194</v>
      </c>
      <c r="BM128" t="s">
        <v>396</v>
      </c>
      <c r="BN128">
        <v>2</v>
      </c>
      <c r="BO128">
        <v>45918</v>
      </c>
      <c r="BP128" t="s">
        <v>149</v>
      </c>
    </row>
    <row r="129" spans="3:68">
      <c r="C129" s="188"/>
      <c r="D129" s="10"/>
      <c r="W129" t="s">
        <v>118</v>
      </c>
      <c r="X129" t="s">
        <v>157</v>
      </c>
      <c r="Y129" s="19">
        <v>3322.19</v>
      </c>
      <c r="Z129" s="10">
        <v>43404</v>
      </c>
      <c r="AA129" t="s">
        <v>152</v>
      </c>
      <c r="AC129" t="s">
        <v>107</v>
      </c>
      <c r="AD129" t="s">
        <v>372</v>
      </c>
      <c r="AE129">
        <v>90000</v>
      </c>
      <c r="AF129" s="10">
        <v>43771</v>
      </c>
      <c r="AG129" t="s">
        <v>152</v>
      </c>
      <c r="AI129" t="s">
        <v>81</v>
      </c>
      <c r="AJ129" t="s">
        <v>426</v>
      </c>
      <c r="AK129">
        <v>2000000</v>
      </c>
      <c r="AL129" s="10">
        <v>44136</v>
      </c>
      <c r="AM129" t="s">
        <v>152</v>
      </c>
      <c r="AO129" t="s">
        <v>81</v>
      </c>
      <c r="AP129" t="s">
        <v>426</v>
      </c>
      <c r="AQ129" s="197">
        <v>60</v>
      </c>
      <c r="AR129" s="10">
        <v>44499</v>
      </c>
      <c r="AS129" t="s">
        <v>152</v>
      </c>
      <c r="AU129" t="s">
        <v>81</v>
      </c>
      <c r="AV129" t="s">
        <v>426</v>
      </c>
      <c r="AW129">
        <v>60</v>
      </c>
      <c r="AX129" s="10">
        <v>44857</v>
      </c>
      <c r="AY129" t="s">
        <v>152</v>
      </c>
      <c r="BA129" t="s">
        <v>81</v>
      </c>
      <c r="BB129" t="s">
        <v>426</v>
      </c>
      <c r="BC129">
        <v>120</v>
      </c>
      <c r="BD129">
        <v>45226</v>
      </c>
      <c r="BE129" t="s">
        <v>152</v>
      </c>
      <c r="BG129" t="s">
        <v>81</v>
      </c>
      <c r="BH129" t="s">
        <v>426</v>
      </c>
      <c r="BI129">
        <v>120</v>
      </c>
      <c r="BJ129">
        <v>45585</v>
      </c>
      <c r="BK129" t="s">
        <v>152</v>
      </c>
      <c r="BL129" t="s">
        <v>81</v>
      </c>
      <c r="BM129" t="s">
        <v>426</v>
      </c>
      <c r="BN129">
        <v>120</v>
      </c>
      <c r="BO129">
        <v>45949</v>
      </c>
      <c r="BP129" t="s">
        <v>152</v>
      </c>
    </row>
    <row r="130" spans="3:68">
      <c r="C130" s="197"/>
      <c r="D130" s="10"/>
      <c r="G130">
        <f>18*4</f>
        <v>72</v>
      </c>
      <c r="H130">
        <f>(314*248%)+100</f>
        <v>878.72</v>
      </c>
      <c r="W130" t="s">
        <v>81</v>
      </c>
      <c r="X130" t="s">
        <v>145</v>
      </c>
      <c r="Y130" s="9">
        <v>4500</v>
      </c>
      <c r="Z130" s="10">
        <v>43417</v>
      </c>
      <c r="AA130" t="s">
        <v>83</v>
      </c>
      <c r="AC130" t="s">
        <v>14</v>
      </c>
      <c r="AD130" t="s">
        <v>131</v>
      </c>
      <c r="AE130">
        <v>0</v>
      </c>
      <c r="AF130" s="10">
        <v>43771</v>
      </c>
      <c r="AG130" t="s">
        <v>152</v>
      </c>
      <c r="AI130" t="s">
        <v>89</v>
      </c>
      <c r="AJ130" t="s">
        <v>435</v>
      </c>
      <c r="AK130">
        <v>1824000</v>
      </c>
      <c r="AL130" s="10">
        <v>44136</v>
      </c>
      <c r="AM130" t="s">
        <v>152</v>
      </c>
      <c r="AO130" t="s">
        <v>89</v>
      </c>
      <c r="AP130" t="s">
        <v>445</v>
      </c>
      <c r="AQ130" s="197">
        <v>5</v>
      </c>
      <c r="AR130" s="10">
        <v>44499</v>
      </c>
      <c r="AS130" t="s">
        <v>152</v>
      </c>
      <c r="AU130" t="s">
        <v>89</v>
      </c>
      <c r="AV130" t="s">
        <v>435</v>
      </c>
      <c r="AW130">
        <v>7</v>
      </c>
      <c r="AX130" s="10">
        <v>44857</v>
      </c>
      <c r="AY130" t="s">
        <v>152</v>
      </c>
      <c r="BA130" t="s">
        <v>89</v>
      </c>
      <c r="BB130" t="s">
        <v>435</v>
      </c>
      <c r="BC130">
        <v>9</v>
      </c>
      <c r="BD130">
        <v>45226</v>
      </c>
      <c r="BE130" t="s">
        <v>152</v>
      </c>
      <c r="BG130" t="s">
        <v>89</v>
      </c>
      <c r="BH130" t="s">
        <v>435</v>
      </c>
      <c r="BI130">
        <v>8</v>
      </c>
      <c r="BJ130">
        <v>45585</v>
      </c>
      <c r="BK130" t="s">
        <v>152</v>
      </c>
      <c r="BL130" t="s">
        <v>89</v>
      </c>
      <c r="BM130" t="s">
        <v>435</v>
      </c>
      <c r="BN130">
        <v>10</v>
      </c>
      <c r="BO130">
        <v>45949</v>
      </c>
      <c r="BP130" t="s">
        <v>152</v>
      </c>
    </row>
    <row r="131" spans="3:68">
      <c r="C131" s="197"/>
      <c r="D131" s="10"/>
      <c r="W131" t="s">
        <v>89</v>
      </c>
      <c r="X131" t="s">
        <v>153</v>
      </c>
      <c r="Y131" s="9">
        <v>900</v>
      </c>
      <c r="Z131" s="10">
        <v>43417</v>
      </c>
      <c r="AA131" t="s">
        <v>83</v>
      </c>
      <c r="AC131" t="s">
        <v>111</v>
      </c>
      <c r="AD131" t="s">
        <v>380</v>
      </c>
      <c r="AE131" t="e">
        <f>50*AJ40</f>
        <v>#VALUE!</v>
      </c>
      <c r="AF131" s="10">
        <v>43771</v>
      </c>
      <c r="AG131" t="s">
        <v>152</v>
      </c>
      <c r="AI131" t="s">
        <v>91</v>
      </c>
      <c r="AJ131" t="s">
        <v>92</v>
      </c>
      <c r="AK131">
        <v>1200000</v>
      </c>
      <c r="AL131" s="10">
        <v>44136</v>
      </c>
      <c r="AM131" t="s">
        <v>152</v>
      </c>
      <c r="AO131" t="s">
        <v>91</v>
      </c>
      <c r="AP131" t="s">
        <v>92</v>
      </c>
      <c r="AQ131" s="197">
        <v>45</v>
      </c>
      <c r="AR131" s="10">
        <v>44499</v>
      </c>
      <c r="AS131" t="s">
        <v>152</v>
      </c>
      <c r="AU131" t="s">
        <v>91</v>
      </c>
      <c r="AV131" t="s">
        <v>92</v>
      </c>
      <c r="AW131">
        <v>45</v>
      </c>
      <c r="AX131" s="10">
        <v>44857</v>
      </c>
      <c r="AY131" t="s">
        <v>152</v>
      </c>
      <c r="BA131" t="s">
        <v>91</v>
      </c>
      <c r="BB131" t="s">
        <v>92</v>
      </c>
      <c r="BC131">
        <v>50</v>
      </c>
      <c r="BD131">
        <v>45226</v>
      </c>
      <c r="BE131" t="s">
        <v>152</v>
      </c>
      <c r="BG131" t="s">
        <v>91</v>
      </c>
      <c r="BH131" t="s">
        <v>532</v>
      </c>
      <c r="BI131">
        <v>135</v>
      </c>
      <c r="BJ131">
        <v>45585</v>
      </c>
      <c r="BK131" t="s">
        <v>152</v>
      </c>
      <c r="BL131" t="s">
        <v>91</v>
      </c>
      <c r="BM131" t="s">
        <v>583</v>
      </c>
      <c r="BN131">
        <v>170</v>
      </c>
      <c r="BO131">
        <v>45949</v>
      </c>
      <c r="BP131" t="s">
        <v>152</v>
      </c>
    </row>
    <row r="132" spans="3:68">
      <c r="C132" s="197"/>
      <c r="D132" s="10"/>
      <c r="W132" t="s">
        <v>91</v>
      </c>
      <c r="X132" t="s">
        <v>92</v>
      </c>
      <c r="Y132" s="9">
        <f>3175/10000</f>
        <v>0.3175</v>
      </c>
      <c r="Z132" s="10">
        <v>43417</v>
      </c>
      <c r="AA132" t="s">
        <v>83</v>
      </c>
      <c r="AC132" t="s">
        <v>15</v>
      </c>
      <c r="AD132" t="s">
        <v>338</v>
      </c>
      <c r="AE132">
        <v>166667</v>
      </c>
      <c r="AF132" s="10">
        <v>43771</v>
      </c>
      <c r="AG132" t="s">
        <v>152</v>
      </c>
      <c r="AI132" t="s">
        <v>94</v>
      </c>
      <c r="AJ132" t="s">
        <v>95</v>
      </c>
      <c r="AK132">
        <v>100000</v>
      </c>
      <c r="AL132" s="10">
        <v>44136</v>
      </c>
      <c r="AM132" t="s">
        <v>152</v>
      </c>
      <c r="AO132" t="s">
        <v>94</v>
      </c>
      <c r="AP132" t="s">
        <v>95</v>
      </c>
      <c r="AQ132" s="197">
        <v>0</v>
      </c>
      <c r="AR132" s="10">
        <v>44499</v>
      </c>
      <c r="AS132" t="s">
        <v>152</v>
      </c>
      <c r="AU132" t="s">
        <v>94</v>
      </c>
      <c r="AV132" t="s">
        <v>95</v>
      </c>
      <c r="AW132">
        <v>0</v>
      </c>
      <c r="AX132" s="10">
        <v>44857</v>
      </c>
      <c r="AY132" t="s">
        <v>152</v>
      </c>
      <c r="BA132" t="s">
        <v>94</v>
      </c>
      <c r="BB132" t="s">
        <v>95</v>
      </c>
      <c r="BC132">
        <v>0</v>
      </c>
      <c r="BD132">
        <v>45226</v>
      </c>
      <c r="BE132" t="s">
        <v>152</v>
      </c>
      <c r="BG132" t="s">
        <v>94</v>
      </c>
      <c r="BH132" t="s">
        <v>542</v>
      </c>
      <c r="BI132">
        <v>75</v>
      </c>
      <c r="BJ132">
        <v>45585</v>
      </c>
      <c r="BK132" t="s">
        <v>152</v>
      </c>
      <c r="BL132" t="s">
        <v>94</v>
      </c>
      <c r="BM132" t="s">
        <v>542</v>
      </c>
      <c r="BN132">
        <v>90</v>
      </c>
      <c r="BO132">
        <v>45949</v>
      </c>
      <c r="BP132" t="s">
        <v>152</v>
      </c>
    </row>
    <row r="133" spans="3:68">
      <c r="C133" s="197"/>
      <c r="D133" s="10"/>
      <c r="H133" s="9">
        <f>SUM(Y144:Y153)+4500</f>
        <v>16254.19</v>
      </c>
      <c r="I133">
        <v>1000</v>
      </c>
      <c r="J133">
        <v>56.7</v>
      </c>
      <c r="W133" t="s">
        <v>94</v>
      </c>
      <c r="X133" t="s">
        <v>95</v>
      </c>
      <c r="Y133" s="9">
        <v>4</v>
      </c>
      <c r="Z133" s="10">
        <v>43417</v>
      </c>
      <c r="AA133" t="s">
        <v>83</v>
      </c>
      <c r="AC133" t="s">
        <v>87</v>
      </c>
      <c r="AD133" t="s">
        <v>362</v>
      </c>
      <c r="AE133">
        <f>124000+170000+32800+21000+150000+12300</f>
        <v>510100</v>
      </c>
      <c r="AF133" s="10">
        <v>43771</v>
      </c>
      <c r="AG133" t="s">
        <v>152</v>
      </c>
      <c r="AI133" t="s">
        <v>99</v>
      </c>
      <c r="AJ133" t="s">
        <v>390</v>
      </c>
      <c r="AK133">
        <v>1850000</v>
      </c>
      <c r="AL133" s="10">
        <v>44136</v>
      </c>
      <c r="AM133" t="s">
        <v>152</v>
      </c>
      <c r="AO133" t="s">
        <v>99</v>
      </c>
      <c r="AP133" t="s">
        <v>448</v>
      </c>
      <c r="AQ133" s="197">
        <v>14</v>
      </c>
      <c r="AR133" s="10">
        <v>44499</v>
      </c>
      <c r="AS133" t="s">
        <v>152</v>
      </c>
      <c r="AU133" t="s">
        <v>99</v>
      </c>
      <c r="AV133" t="s">
        <v>492</v>
      </c>
      <c r="AW133">
        <v>25</v>
      </c>
      <c r="AX133" s="10">
        <v>44857</v>
      </c>
      <c r="AY133" t="s">
        <v>152</v>
      </c>
      <c r="BA133" t="s">
        <v>99</v>
      </c>
      <c r="BB133" t="s">
        <v>448</v>
      </c>
      <c r="BC133">
        <v>7</v>
      </c>
      <c r="BD133">
        <v>45226</v>
      </c>
      <c r="BE133" t="s">
        <v>152</v>
      </c>
      <c r="BG133" t="s">
        <v>99</v>
      </c>
      <c r="BH133" t="s">
        <v>448</v>
      </c>
      <c r="BI133">
        <v>12</v>
      </c>
      <c r="BJ133">
        <v>45585</v>
      </c>
      <c r="BK133" t="s">
        <v>152</v>
      </c>
      <c r="BL133" t="s">
        <v>99</v>
      </c>
      <c r="BM133" t="s">
        <v>448</v>
      </c>
      <c r="BN133">
        <v>15</v>
      </c>
      <c r="BO133">
        <v>45949</v>
      </c>
      <c r="BP133" t="s">
        <v>152</v>
      </c>
    </row>
    <row r="134" spans="3:68">
      <c r="C134" s="197"/>
      <c r="D134" s="10"/>
      <c r="I134">
        <f>(H133)*J133%</f>
        <v>9216.1257300000016</v>
      </c>
      <c r="W134" t="s">
        <v>99</v>
      </c>
      <c r="X134" t="s">
        <v>100</v>
      </c>
      <c r="Y134" s="9"/>
      <c r="Z134" s="10">
        <v>43417</v>
      </c>
      <c r="AA134" t="s">
        <v>83</v>
      </c>
      <c r="AC134" t="s">
        <v>16</v>
      </c>
      <c r="AD134" t="s">
        <v>119</v>
      </c>
      <c r="AE134">
        <v>7</v>
      </c>
      <c r="AF134" s="10">
        <v>43771</v>
      </c>
      <c r="AG134" t="s">
        <v>152</v>
      </c>
      <c r="AI134" t="s">
        <v>103</v>
      </c>
      <c r="AJ134" t="s">
        <v>439</v>
      </c>
      <c r="AK134">
        <v>13680000</v>
      </c>
      <c r="AL134" s="10">
        <v>44136</v>
      </c>
      <c r="AM134" t="s">
        <v>152</v>
      </c>
      <c r="AO134" t="s">
        <v>103</v>
      </c>
      <c r="AP134" t="s">
        <v>460</v>
      </c>
      <c r="AQ134" s="197">
        <v>35</v>
      </c>
      <c r="AR134" s="10">
        <v>44499</v>
      </c>
      <c r="AS134" t="s">
        <v>152</v>
      </c>
      <c r="AU134" t="s">
        <v>103</v>
      </c>
      <c r="AV134" t="s">
        <v>444</v>
      </c>
      <c r="AW134">
        <v>35</v>
      </c>
      <c r="AX134" s="10">
        <v>44857</v>
      </c>
      <c r="AY134" t="s">
        <v>152</v>
      </c>
      <c r="BA134" t="s">
        <v>103</v>
      </c>
      <c r="BB134" t="s">
        <v>444</v>
      </c>
      <c r="BC134">
        <v>35</v>
      </c>
      <c r="BD134">
        <v>45226</v>
      </c>
      <c r="BE134" t="s">
        <v>152</v>
      </c>
      <c r="BG134" t="s">
        <v>103</v>
      </c>
      <c r="BH134" t="s">
        <v>444</v>
      </c>
      <c r="BI134">
        <v>35</v>
      </c>
      <c r="BJ134">
        <v>45585</v>
      </c>
      <c r="BK134" t="s">
        <v>152</v>
      </c>
      <c r="BL134" t="s">
        <v>103</v>
      </c>
      <c r="BM134" t="s">
        <v>574</v>
      </c>
      <c r="BN134">
        <v>35</v>
      </c>
      <c r="BO134">
        <v>45949</v>
      </c>
      <c r="BP134" t="s">
        <v>152</v>
      </c>
    </row>
    <row r="135" spans="3:68">
      <c r="C135" s="197"/>
      <c r="D135" s="10"/>
      <c r="W135" t="s">
        <v>103</v>
      </c>
      <c r="X135" t="s">
        <v>104</v>
      </c>
      <c r="Y135" s="9">
        <v>8500</v>
      </c>
      <c r="Z135" s="10">
        <v>43417</v>
      </c>
      <c r="AA135" t="s">
        <v>83</v>
      </c>
      <c r="AC135" t="s">
        <v>118</v>
      </c>
      <c r="AD135" t="s">
        <v>384</v>
      </c>
      <c r="AE135" t="str">
        <f>AP86</f>
        <v>impresión de recibos.</v>
      </c>
      <c r="AF135" s="10">
        <v>43771</v>
      </c>
      <c r="AG135" t="s">
        <v>152</v>
      </c>
      <c r="AI135" t="s">
        <v>107</v>
      </c>
      <c r="AJ135" t="s">
        <v>413</v>
      </c>
      <c r="AK135">
        <v>0</v>
      </c>
      <c r="AL135" s="10">
        <v>44136</v>
      </c>
      <c r="AM135" t="s">
        <v>152</v>
      </c>
      <c r="AO135" t="s">
        <v>107</v>
      </c>
      <c r="AP135" t="s">
        <v>466</v>
      </c>
      <c r="AQ135" s="197">
        <v>70</v>
      </c>
      <c r="AR135" s="10">
        <v>44499</v>
      </c>
      <c r="AS135" t="s">
        <v>152</v>
      </c>
      <c r="AU135" t="s">
        <v>107</v>
      </c>
      <c r="AV135" t="s">
        <v>493</v>
      </c>
      <c r="AW135">
        <v>15</v>
      </c>
      <c r="AX135" s="10">
        <v>44857</v>
      </c>
      <c r="AY135" t="s">
        <v>152</v>
      </c>
      <c r="BA135" t="s">
        <v>107</v>
      </c>
      <c r="BB135" t="s">
        <v>517</v>
      </c>
      <c r="BC135">
        <v>20</v>
      </c>
      <c r="BD135">
        <v>45226</v>
      </c>
      <c r="BE135" t="s">
        <v>152</v>
      </c>
      <c r="BG135" t="s">
        <v>107</v>
      </c>
      <c r="BH135" t="s">
        <v>546</v>
      </c>
      <c r="BI135">
        <v>70</v>
      </c>
      <c r="BJ135">
        <v>45585</v>
      </c>
      <c r="BK135" t="s">
        <v>152</v>
      </c>
      <c r="BL135" t="s">
        <v>107</v>
      </c>
      <c r="BM135" t="s">
        <v>586</v>
      </c>
      <c r="BN135">
        <v>50</v>
      </c>
      <c r="BO135">
        <v>45949</v>
      </c>
      <c r="BP135" t="s">
        <v>152</v>
      </c>
    </row>
    <row r="136" spans="3:68">
      <c r="C136" s="197"/>
      <c r="D136" s="10"/>
      <c r="H136">
        <f>1981.42*223.1%</f>
        <v>4420.5480200000002</v>
      </c>
      <c r="W136" t="s">
        <v>107</v>
      </c>
      <c r="X136" t="s">
        <v>154</v>
      </c>
      <c r="Y136" s="9"/>
      <c r="Z136" s="10">
        <v>43417</v>
      </c>
      <c r="AA136" t="s">
        <v>83</v>
      </c>
      <c r="AC136" t="s">
        <v>194</v>
      </c>
      <c r="AD136" t="s">
        <v>383</v>
      </c>
      <c r="AE136">
        <v>45000</v>
      </c>
      <c r="AF136" s="10">
        <v>43771</v>
      </c>
      <c r="AG136" t="s">
        <v>152</v>
      </c>
      <c r="AI136" t="s">
        <v>14</v>
      </c>
      <c r="AJ136" t="s">
        <v>131</v>
      </c>
      <c r="AK136">
        <v>0</v>
      </c>
      <c r="AL136" s="10">
        <v>44136</v>
      </c>
      <c r="AM136" t="s">
        <v>152</v>
      </c>
      <c r="AO136" t="s">
        <v>195</v>
      </c>
      <c r="AP136" t="s">
        <v>413</v>
      </c>
      <c r="AQ136" s="197">
        <v>0</v>
      </c>
      <c r="AR136" s="10">
        <v>44499</v>
      </c>
      <c r="AS136" t="s">
        <v>152</v>
      </c>
      <c r="AU136" t="s">
        <v>118</v>
      </c>
      <c r="AV136" t="s">
        <v>413</v>
      </c>
      <c r="AW136">
        <v>0</v>
      </c>
      <c r="AX136" s="10">
        <v>44857</v>
      </c>
      <c r="AY136" t="s">
        <v>152</v>
      </c>
      <c r="BA136" t="s">
        <v>14</v>
      </c>
      <c r="BB136" t="s">
        <v>503</v>
      </c>
      <c r="BC136">
        <v>70</v>
      </c>
      <c r="BD136">
        <v>45226</v>
      </c>
      <c r="BE136" t="s">
        <v>152</v>
      </c>
      <c r="BG136" t="s">
        <v>14</v>
      </c>
      <c r="BH136" t="s">
        <v>503</v>
      </c>
      <c r="BI136">
        <v>70</v>
      </c>
      <c r="BJ136">
        <v>45585</v>
      </c>
      <c r="BK136" t="s">
        <v>152</v>
      </c>
      <c r="BL136" t="s">
        <v>14</v>
      </c>
      <c r="BM136" t="s">
        <v>503</v>
      </c>
      <c r="BN136">
        <v>70</v>
      </c>
      <c r="BO136">
        <v>45949</v>
      </c>
      <c r="BP136" t="s">
        <v>152</v>
      </c>
    </row>
    <row r="137" spans="3:68">
      <c r="C137" s="197"/>
      <c r="D137" s="10"/>
      <c r="W137" t="s">
        <v>14</v>
      </c>
      <c r="X137" t="s">
        <v>131</v>
      </c>
      <c r="Y137" s="9">
        <v>100</v>
      </c>
      <c r="Z137" s="10">
        <v>43417</v>
      </c>
      <c r="AA137" t="s">
        <v>83</v>
      </c>
      <c r="AC137" t="s">
        <v>81</v>
      </c>
      <c r="AD137" t="s">
        <v>145</v>
      </c>
      <c r="AE137">
        <v>300000</v>
      </c>
      <c r="AF137" s="10">
        <v>43800</v>
      </c>
      <c r="AG137" t="s">
        <v>83</v>
      </c>
      <c r="AI137" t="s">
        <v>111</v>
      </c>
      <c r="AJ137" t="s">
        <v>441</v>
      </c>
      <c r="AK137">
        <v>25954120.5</v>
      </c>
      <c r="AL137" s="10">
        <v>44136</v>
      </c>
      <c r="AM137" t="s">
        <v>152</v>
      </c>
      <c r="AO137" t="s">
        <v>111</v>
      </c>
      <c r="AP137" t="s">
        <v>443</v>
      </c>
      <c r="AQ137" s="197">
        <v>50</v>
      </c>
      <c r="AR137" s="10">
        <v>44499</v>
      </c>
      <c r="AS137" t="s">
        <v>152</v>
      </c>
      <c r="AU137" t="s">
        <v>111</v>
      </c>
      <c r="AV137" t="s">
        <v>413</v>
      </c>
      <c r="AW137">
        <v>0</v>
      </c>
      <c r="AX137" s="10">
        <v>44857</v>
      </c>
      <c r="AY137" t="s">
        <v>152</v>
      </c>
      <c r="BA137" t="s">
        <v>111</v>
      </c>
      <c r="BB137" t="s">
        <v>515</v>
      </c>
      <c r="BC137">
        <v>45</v>
      </c>
      <c r="BD137">
        <v>45226</v>
      </c>
      <c r="BE137" t="s">
        <v>152</v>
      </c>
      <c r="BG137" t="s">
        <v>111</v>
      </c>
      <c r="BH137" t="s">
        <v>547</v>
      </c>
      <c r="BI137">
        <v>30</v>
      </c>
      <c r="BJ137">
        <v>45585</v>
      </c>
      <c r="BK137" t="s">
        <v>152</v>
      </c>
      <c r="BL137" t="s">
        <v>111</v>
      </c>
      <c r="BM137" t="s">
        <v>587</v>
      </c>
      <c r="BN137">
        <v>120</v>
      </c>
      <c r="BO137">
        <v>45949</v>
      </c>
      <c r="BP137" t="s">
        <v>152</v>
      </c>
    </row>
    <row r="138" spans="3:68">
      <c r="C138" s="197"/>
      <c r="D138" s="10"/>
      <c r="W138" t="s">
        <v>111</v>
      </c>
      <c r="X138" t="s">
        <v>155</v>
      </c>
      <c r="Y138" s="9">
        <v>4450</v>
      </c>
      <c r="Z138" s="10">
        <v>43417</v>
      </c>
      <c r="AA138" t="s">
        <v>83</v>
      </c>
      <c r="AC138" t="s">
        <v>89</v>
      </c>
      <c r="AD138" t="s">
        <v>153</v>
      </c>
      <c r="AE138">
        <v>158000</v>
      </c>
      <c r="AF138" s="10">
        <v>43800</v>
      </c>
      <c r="AG138" t="s">
        <v>83</v>
      </c>
      <c r="AI138" t="s">
        <v>15</v>
      </c>
      <c r="AJ138" t="s">
        <v>430</v>
      </c>
      <c r="AK138">
        <v>6384000</v>
      </c>
      <c r="AL138" s="10">
        <v>44136</v>
      </c>
      <c r="AM138" t="s">
        <v>152</v>
      </c>
      <c r="AO138" t="s">
        <v>179</v>
      </c>
      <c r="AQ138" s="197">
        <v>0</v>
      </c>
      <c r="AR138" s="10">
        <v>44499</v>
      </c>
      <c r="AS138" t="s">
        <v>152</v>
      </c>
      <c r="AU138" t="s">
        <v>15</v>
      </c>
      <c r="AV138" t="s">
        <v>494</v>
      </c>
      <c r="AW138">
        <v>30</v>
      </c>
      <c r="AX138" s="10">
        <v>44857</v>
      </c>
      <c r="AY138" t="s">
        <v>152</v>
      </c>
      <c r="BA138" t="s">
        <v>15</v>
      </c>
      <c r="BB138" t="s">
        <v>413</v>
      </c>
      <c r="BC138">
        <v>0</v>
      </c>
      <c r="BD138">
        <v>45226</v>
      </c>
      <c r="BE138" t="s">
        <v>152</v>
      </c>
      <c r="BG138" t="s">
        <v>118</v>
      </c>
      <c r="BH138" t="s">
        <v>548</v>
      </c>
      <c r="BI138">
        <v>20</v>
      </c>
      <c r="BJ138">
        <v>45585</v>
      </c>
      <c r="BK138" t="s">
        <v>152</v>
      </c>
      <c r="BL138" t="s">
        <v>118</v>
      </c>
      <c r="BM138" t="s">
        <v>588</v>
      </c>
      <c r="BN138">
        <v>65</v>
      </c>
      <c r="BO138">
        <v>45949</v>
      </c>
      <c r="BP138" t="s">
        <v>152</v>
      </c>
    </row>
    <row r="139" spans="3:68">
      <c r="C139" s="197"/>
      <c r="D139" s="10"/>
      <c r="W139" t="s">
        <v>15</v>
      </c>
      <c r="X139" t="s">
        <v>156</v>
      </c>
      <c r="Y139" s="9">
        <v>0</v>
      </c>
      <c r="Z139" s="10">
        <v>43417</v>
      </c>
      <c r="AA139" t="s">
        <v>83</v>
      </c>
      <c r="AC139" t="s">
        <v>91</v>
      </c>
      <c r="AD139" t="s">
        <v>92</v>
      </c>
      <c r="AE139">
        <v>208581</v>
      </c>
      <c r="AF139" s="10">
        <v>43800</v>
      </c>
      <c r="AG139" t="s">
        <v>83</v>
      </c>
      <c r="AI139" t="s">
        <v>87</v>
      </c>
      <c r="AJ139" t="s">
        <v>158</v>
      </c>
      <c r="AK139">
        <v>11080000</v>
      </c>
      <c r="AL139" s="10">
        <v>44136</v>
      </c>
      <c r="AM139" t="s">
        <v>152</v>
      </c>
      <c r="AO139" t="s">
        <v>87</v>
      </c>
      <c r="AP139" t="s">
        <v>158</v>
      </c>
      <c r="AQ139" s="197">
        <v>75</v>
      </c>
      <c r="AR139" s="10">
        <v>44499</v>
      </c>
      <c r="AS139" t="s">
        <v>152</v>
      </c>
      <c r="AU139" t="s">
        <v>87</v>
      </c>
      <c r="AV139" t="s">
        <v>158</v>
      </c>
      <c r="AW139">
        <v>75</v>
      </c>
      <c r="AX139" s="10">
        <v>44857</v>
      </c>
      <c r="AY139" t="s">
        <v>152</v>
      </c>
      <c r="BA139" t="s">
        <v>87</v>
      </c>
      <c r="BB139" t="s">
        <v>158</v>
      </c>
      <c r="BC139">
        <v>90</v>
      </c>
      <c r="BD139">
        <v>45226</v>
      </c>
      <c r="BE139" t="s">
        <v>152</v>
      </c>
      <c r="BG139" t="s">
        <v>87</v>
      </c>
      <c r="BH139" t="s">
        <v>158</v>
      </c>
      <c r="BI139">
        <v>90</v>
      </c>
      <c r="BJ139">
        <v>45585</v>
      </c>
      <c r="BK139" t="s">
        <v>152</v>
      </c>
      <c r="BL139" t="s">
        <v>87</v>
      </c>
      <c r="BM139" t="s">
        <v>158</v>
      </c>
      <c r="BN139">
        <v>95</v>
      </c>
      <c r="BO139">
        <v>45949</v>
      </c>
      <c r="BP139" t="s">
        <v>152</v>
      </c>
    </row>
    <row r="140" spans="3:68">
      <c r="C140" s="197"/>
      <c r="D140" s="10"/>
      <c r="W140" t="s">
        <v>87</v>
      </c>
      <c r="X140" t="s">
        <v>158</v>
      </c>
      <c r="Y140" s="9">
        <f>1100+690.7</f>
        <v>1790.7</v>
      </c>
      <c r="Z140" s="10">
        <v>43417</v>
      </c>
      <c r="AA140" t="s">
        <v>83</v>
      </c>
      <c r="AC140" t="s">
        <v>94</v>
      </c>
      <c r="AD140" t="s">
        <v>95</v>
      </c>
      <c r="AE140">
        <v>76140</v>
      </c>
      <c r="AF140" s="10">
        <v>43800</v>
      </c>
      <c r="AG140" t="s">
        <v>83</v>
      </c>
      <c r="AI140" t="s">
        <v>16</v>
      </c>
      <c r="AJ140" t="s">
        <v>119</v>
      </c>
      <c r="AK140">
        <v>7</v>
      </c>
      <c r="AL140" s="10">
        <v>44136</v>
      </c>
      <c r="AM140" t="s">
        <v>152</v>
      </c>
      <c r="AO140" t="s">
        <v>16</v>
      </c>
      <c r="AP140" t="s">
        <v>119</v>
      </c>
      <c r="AQ140" s="197">
        <v>0</v>
      </c>
      <c r="AR140" s="10">
        <v>44499</v>
      </c>
      <c r="AS140" t="s">
        <v>152</v>
      </c>
      <c r="AU140" t="s">
        <v>16</v>
      </c>
      <c r="AV140" t="s">
        <v>480</v>
      </c>
      <c r="AW140">
        <v>100</v>
      </c>
      <c r="AX140" s="10">
        <v>44857</v>
      </c>
      <c r="AY140" t="s">
        <v>152</v>
      </c>
      <c r="BA140" t="s">
        <v>16</v>
      </c>
      <c r="BB140" t="s">
        <v>480</v>
      </c>
      <c r="BC140">
        <v>100</v>
      </c>
      <c r="BD140">
        <v>45226</v>
      </c>
      <c r="BE140" t="s">
        <v>152</v>
      </c>
      <c r="BG140" t="s">
        <v>16</v>
      </c>
      <c r="BH140" t="s">
        <v>480</v>
      </c>
      <c r="BI140">
        <v>100</v>
      </c>
      <c r="BJ140">
        <v>45585</v>
      </c>
      <c r="BK140" t="s">
        <v>152</v>
      </c>
      <c r="BL140" t="s">
        <v>16</v>
      </c>
      <c r="BM140" t="s">
        <v>480</v>
      </c>
      <c r="BN140">
        <v>100</v>
      </c>
      <c r="BO140">
        <v>45949</v>
      </c>
      <c r="BP140" t="s">
        <v>152</v>
      </c>
    </row>
    <row r="141" spans="3:68">
      <c r="C141" s="197"/>
      <c r="D141" s="10"/>
      <c r="W141" t="s">
        <v>16</v>
      </c>
      <c r="X141" t="s">
        <v>119</v>
      </c>
      <c r="Y141" s="9">
        <v>7</v>
      </c>
      <c r="Z141" s="10">
        <v>43417</v>
      </c>
      <c r="AA141" t="s">
        <v>83</v>
      </c>
      <c r="AC141" t="s">
        <v>99</v>
      </c>
      <c r="AD141" t="s">
        <v>382</v>
      </c>
      <c r="AE141">
        <v>216000</v>
      </c>
      <c r="AF141" s="10">
        <v>43800</v>
      </c>
      <c r="AG141" t="s">
        <v>83</v>
      </c>
      <c r="AI141" t="s">
        <v>118</v>
      </c>
      <c r="AJ141" t="s">
        <v>440</v>
      </c>
      <c r="AK141">
        <v>8530200</v>
      </c>
      <c r="AL141" s="10">
        <v>44136</v>
      </c>
      <c r="AM141" t="s">
        <v>152</v>
      </c>
      <c r="AO141" t="s">
        <v>118</v>
      </c>
      <c r="AQ141" s="197"/>
      <c r="AR141" s="10">
        <v>44499</v>
      </c>
      <c r="AS141" t="s">
        <v>152</v>
      </c>
      <c r="AU141" t="s">
        <v>179</v>
      </c>
      <c r="AV141" t="s">
        <v>413</v>
      </c>
      <c r="AW141">
        <v>0</v>
      </c>
      <c r="AX141" s="10">
        <v>44857</v>
      </c>
      <c r="AY141" t="s">
        <v>152</v>
      </c>
      <c r="BA141" t="s">
        <v>118</v>
      </c>
      <c r="BB141" t="s">
        <v>516</v>
      </c>
      <c r="BC141">
        <v>80</v>
      </c>
      <c r="BD141">
        <v>45226</v>
      </c>
      <c r="BE141" t="s">
        <v>152</v>
      </c>
      <c r="BG141" t="s">
        <v>15</v>
      </c>
      <c r="BH141" t="s">
        <v>413</v>
      </c>
      <c r="BI141">
        <v>0</v>
      </c>
      <c r="BJ141">
        <v>45585</v>
      </c>
      <c r="BK141" t="s">
        <v>152</v>
      </c>
      <c r="BL141" t="s">
        <v>15</v>
      </c>
      <c r="BM141" t="s">
        <v>413</v>
      </c>
      <c r="BN141">
        <v>0</v>
      </c>
      <c r="BO141">
        <v>45949</v>
      </c>
      <c r="BP141" t="s">
        <v>152</v>
      </c>
    </row>
    <row r="142" spans="3:68">
      <c r="C142" s="197"/>
      <c r="D142" s="10"/>
      <c r="W142" t="s">
        <v>118</v>
      </c>
      <c r="X142" t="s">
        <v>159</v>
      </c>
      <c r="Y142" s="9">
        <f>I163</f>
        <v>28490.035000000003</v>
      </c>
      <c r="Z142" s="10">
        <v>43417</v>
      </c>
      <c r="AA142" t="s">
        <v>83</v>
      </c>
      <c r="AC142" t="s">
        <v>103</v>
      </c>
      <c r="AD142" t="s">
        <v>379</v>
      </c>
      <c r="AE142">
        <v>100000</v>
      </c>
      <c r="AF142" s="10">
        <v>43800</v>
      </c>
      <c r="AG142" t="s">
        <v>83</v>
      </c>
      <c r="AI142" t="s">
        <v>194</v>
      </c>
      <c r="AJ142" t="s">
        <v>396</v>
      </c>
      <c r="AK142">
        <v>198000</v>
      </c>
      <c r="AL142" s="10">
        <v>44136</v>
      </c>
      <c r="AM142" t="s">
        <v>152</v>
      </c>
      <c r="AO142" t="s">
        <v>15</v>
      </c>
      <c r="AP142" t="s">
        <v>396</v>
      </c>
      <c r="AQ142" s="197">
        <v>0.5</v>
      </c>
      <c r="AR142" s="10">
        <v>44499</v>
      </c>
      <c r="AS142" t="s">
        <v>152</v>
      </c>
      <c r="AU142" t="s">
        <v>194</v>
      </c>
      <c r="AV142" t="s">
        <v>396</v>
      </c>
      <c r="AW142">
        <v>2</v>
      </c>
      <c r="AX142" s="10">
        <v>44857</v>
      </c>
      <c r="AY142" t="s">
        <v>152</v>
      </c>
      <c r="BA142" t="s">
        <v>194</v>
      </c>
      <c r="BB142" t="s">
        <v>396</v>
      </c>
      <c r="BC142">
        <v>2</v>
      </c>
      <c r="BD142">
        <v>45226</v>
      </c>
      <c r="BE142" t="s">
        <v>152</v>
      </c>
      <c r="BG142" t="s">
        <v>194</v>
      </c>
      <c r="BH142" t="s">
        <v>396</v>
      </c>
      <c r="BI142">
        <v>2</v>
      </c>
      <c r="BJ142">
        <v>45585</v>
      </c>
      <c r="BK142" t="s">
        <v>152</v>
      </c>
      <c r="BL142" t="s">
        <v>194</v>
      </c>
      <c r="BM142" t="s">
        <v>396</v>
      </c>
      <c r="BN142">
        <v>2</v>
      </c>
      <c r="BO142">
        <v>45949</v>
      </c>
      <c r="BP142" t="s">
        <v>152</v>
      </c>
    </row>
    <row r="143" spans="3:68">
      <c r="C143" s="197"/>
      <c r="D143" s="10"/>
      <c r="W143" t="s">
        <v>81</v>
      </c>
      <c r="X143" t="s">
        <v>145</v>
      </c>
      <c r="Y143" s="9">
        <v>18000</v>
      </c>
      <c r="Z143" s="10">
        <v>43481</v>
      </c>
      <c r="AA143" t="s">
        <v>124</v>
      </c>
      <c r="AC143" t="s">
        <v>107</v>
      </c>
      <c r="AD143" t="s">
        <v>372</v>
      </c>
      <c r="AE143">
        <v>90000</v>
      </c>
      <c r="AF143" s="10">
        <v>43800</v>
      </c>
      <c r="AG143" t="s">
        <v>83</v>
      </c>
      <c r="AI143" t="s">
        <v>81</v>
      </c>
      <c r="AJ143" t="s">
        <v>426</v>
      </c>
      <c r="AK143">
        <v>2</v>
      </c>
      <c r="AL143" s="10">
        <v>44166</v>
      </c>
      <c r="AM143" t="s">
        <v>83</v>
      </c>
      <c r="AO143" t="s">
        <v>81</v>
      </c>
      <c r="AP143" t="s">
        <v>426</v>
      </c>
      <c r="AQ143" s="197">
        <v>60</v>
      </c>
      <c r="AR143" s="10">
        <v>44529</v>
      </c>
      <c r="AS143" t="s">
        <v>83</v>
      </c>
      <c r="AU143" t="s">
        <v>81</v>
      </c>
      <c r="AV143" t="s">
        <v>426</v>
      </c>
      <c r="AW143">
        <v>60</v>
      </c>
      <c r="AX143" s="10">
        <v>44893</v>
      </c>
      <c r="AY143" t="s">
        <v>83</v>
      </c>
      <c r="BA143" t="s">
        <v>81</v>
      </c>
      <c r="BB143" t="s">
        <v>426</v>
      </c>
      <c r="BC143">
        <v>120</v>
      </c>
      <c r="BD143">
        <v>45250</v>
      </c>
      <c r="BE143" t="s">
        <v>83</v>
      </c>
      <c r="BG143" t="s">
        <v>81</v>
      </c>
      <c r="BH143" t="s">
        <v>426</v>
      </c>
      <c r="BI143">
        <v>120</v>
      </c>
      <c r="BJ143">
        <v>45620</v>
      </c>
      <c r="BK143" t="s">
        <v>83</v>
      </c>
      <c r="BL143" t="s">
        <v>81</v>
      </c>
      <c r="BM143" t="s">
        <v>426</v>
      </c>
      <c r="BN143">
        <v>120</v>
      </c>
      <c r="BO143">
        <v>38675</v>
      </c>
      <c r="BP143" t="s">
        <v>83</v>
      </c>
    </row>
    <row r="144" spans="3:68">
      <c r="C144" s="197"/>
      <c r="D144" s="10"/>
      <c r="W144" t="s">
        <v>89</v>
      </c>
      <c r="X144" t="s">
        <v>153</v>
      </c>
      <c r="Y144" s="9">
        <v>3100</v>
      </c>
      <c r="Z144" s="10">
        <v>43481</v>
      </c>
      <c r="AA144" t="s">
        <v>124</v>
      </c>
      <c r="AC144" t="s">
        <v>14</v>
      </c>
      <c r="AD144" t="s">
        <v>131</v>
      </c>
      <c r="AE144">
        <v>0</v>
      </c>
      <c r="AF144" s="10">
        <v>43800</v>
      </c>
      <c r="AG144" t="s">
        <v>83</v>
      </c>
      <c r="AI144" t="s">
        <v>89</v>
      </c>
      <c r="AJ144" t="s">
        <v>435</v>
      </c>
      <c r="AK144">
        <v>4</v>
      </c>
      <c r="AL144" s="10">
        <v>44166</v>
      </c>
      <c r="AM144" t="s">
        <v>83</v>
      </c>
      <c r="AO144" t="s">
        <v>89</v>
      </c>
      <c r="AP144" t="s">
        <v>445</v>
      </c>
      <c r="AQ144" s="197">
        <v>5</v>
      </c>
      <c r="AR144" s="10">
        <v>44529</v>
      </c>
      <c r="AS144" t="s">
        <v>83</v>
      </c>
      <c r="AU144" t="s">
        <v>89</v>
      </c>
      <c r="AV144" t="s">
        <v>435</v>
      </c>
      <c r="AW144">
        <v>7</v>
      </c>
      <c r="AX144" s="10">
        <v>44893</v>
      </c>
      <c r="AY144" t="s">
        <v>83</v>
      </c>
      <c r="BA144" t="s">
        <v>89</v>
      </c>
      <c r="BB144" t="s">
        <v>435</v>
      </c>
      <c r="BC144">
        <v>9</v>
      </c>
      <c r="BD144">
        <v>45250</v>
      </c>
      <c r="BE144" t="s">
        <v>83</v>
      </c>
      <c r="BG144" t="s">
        <v>89</v>
      </c>
      <c r="BH144" t="s">
        <v>435</v>
      </c>
      <c r="BI144">
        <v>8</v>
      </c>
      <c r="BJ144">
        <v>45620</v>
      </c>
      <c r="BK144" t="s">
        <v>83</v>
      </c>
      <c r="BL144" t="s">
        <v>89</v>
      </c>
      <c r="BM144" t="s">
        <v>435</v>
      </c>
      <c r="BN144">
        <v>10</v>
      </c>
      <c r="BO144">
        <v>38675</v>
      </c>
      <c r="BP144" t="s">
        <v>83</v>
      </c>
    </row>
    <row r="145" spans="3:68">
      <c r="C145" s="197"/>
      <c r="D145" s="10"/>
      <c r="M145" t="s">
        <v>160</v>
      </c>
      <c r="N145" t="s">
        <v>161</v>
      </c>
      <c r="O145" t="s">
        <v>162</v>
      </c>
      <c r="P145" t="s">
        <v>163</v>
      </c>
      <c r="Q145" t="s">
        <v>164</v>
      </c>
      <c r="R145" t="s">
        <v>165</v>
      </c>
      <c r="W145" t="s">
        <v>91</v>
      </c>
      <c r="X145" t="s">
        <v>92</v>
      </c>
      <c r="Y145" s="9">
        <v>0.19</v>
      </c>
      <c r="Z145" s="10">
        <v>43481</v>
      </c>
      <c r="AA145" t="s">
        <v>124</v>
      </c>
      <c r="AC145" t="s">
        <v>111</v>
      </c>
      <c r="AD145" t="s">
        <v>387</v>
      </c>
      <c r="AE145" t="e">
        <f>50*AJ42</f>
        <v>#VALUE!</v>
      </c>
      <c r="AF145" s="10">
        <v>43800</v>
      </c>
      <c r="AG145" t="s">
        <v>83</v>
      </c>
      <c r="AI145" t="s">
        <v>91</v>
      </c>
      <c r="AJ145" t="s">
        <v>92</v>
      </c>
      <c r="AK145">
        <v>3.7247152812754334</v>
      </c>
      <c r="AL145" s="10">
        <v>44166</v>
      </c>
      <c r="AM145" t="s">
        <v>83</v>
      </c>
      <c r="AO145" t="s">
        <v>91</v>
      </c>
      <c r="AP145" t="s">
        <v>92</v>
      </c>
      <c r="AQ145" s="197">
        <v>45</v>
      </c>
      <c r="AR145" s="10">
        <v>44529</v>
      </c>
      <c r="AS145" t="s">
        <v>83</v>
      </c>
      <c r="AU145" t="s">
        <v>91</v>
      </c>
      <c r="AV145" t="s">
        <v>92</v>
      </c>
      <c r="AW145">
        <v>45</v>
      </c>
      <c r="AX145" s="10">
        <v>44893</v>
      </c>
      <c r="AY145" t="s">
        <v>83</v>
      </c>
      <c r="BA145" t="s">
        <v>91</v>
      </c>
      <c r="BB145" t="s">
        <v>92</v>
      </c>
      <c r="BC145">
        <v>55</v>
      </c>
      <c r="BD145">
        <v>45250</v>
      </c>
      <c r="BE145" t="s">
        <v>83</v>
      </c>
      <c r="BG145" t="s">
        <v>91</v>
      </c>
      <c r="BH145" t="s">
        <v>552</v>
      </c>
      <c r="BI145">
        <v>140</v>
      </c>
      <c r="BJ145">
        <v>45620</v>
      </c>
      <c r="BK145" t="s">
        <v>83</v>
      </c>
      <c r="BL145" t="s">
        <v>91</v>
      </c>
      <c r="BM145" t="s">
        <v>590</v>
      </c>
      <c r="BN145">
        <v>175</v>
      </c>
      <c r="BO145">
        <v>38675</v>
      </c>
      <c r="BP145" t="s">
        <v>83</v>
      </c>
    </row>
    <row r="146" spans="3:68">
      <c r="C146" s="197"/>
      <c r="D146" s="10"/>
      <c r="L146" t="s">
        <v>166</v>
      </c>
      <c r="M146" s="14"/>
      <c r="N146" s="14"/>
      <c r="O146" s="14">
        <v>109.1</v>
      </c>
      <c r="P146" s="14">
        <v>633.95000000000005</v>
      </c>
      <c r="Q146" s="14">
        <v>90</v>
      </c>
      <c r="R146" s="14">
        <v>200</v>
      </c>
      <c r="W146" t="s">
        <v>94</v>
      </c>
      <c r="X146" t="s">
        <v>95</v>
      </c>
      <c r="Y146" s="9">
        <v>4</v>
      </c>
      <c r="Z146" s="10">
        <v>43481</v>
      </c>
      <c r="AA146" t="s">
        <v>124</v>
      </c>
      <c r="AC146" t="s">
        <v>15</v>
      </c>
      <c r="AD146" t="s">
        <v>338</v>
      </c>
      <c r="AE146">
        <v>0</v>
      </c>
      <c r="AF146" s="10">
        <v>43800</v>
      </c>
      <c r="AG146" t="s">
        <v>83</v>
      </c>
      <c r="AI146" t="s">
        <v>94</v>
      </c>
      <c r="AJ146" t="s">
        <v>95</v>
      </c>
      <c r="AK146">
        <v>0.1026499853323436</v>
      </c>
      <c r="AL146" s="10">
        <v>44166</v>
      </c>
      <c r="AM146" t="s">
        <v>83</v>
      </c>
      <c r="AO146" t="s">
        <v>94</v>
      </c>
      <c r="AP146" t="s">
        <v>95</v>
      </c>
      <c r="AQ146" s="197">
        <v>0</v>
      </c>
      <c r="AR146" s="10">
        <v>44529</v>
      </c>
      <c r="AS146" t="s">
        <v>83</v>
      </c>
      <c r="AU146" t="s">
        <v>94</v>
      </c>
      <c r="AV146" t="s">
        <v>95</v>
      </c>
      <c r="AW146">
        <v>0</v>
      </c>
      <c r="AX146" s="10">
        <v>44893</v>
      </c>
      <c r="AY146" t="s">
        <v>83</v>
      </c>
      <c r="BA146" t="s">
        <v>94</v>
      </c>
      <c r="BB146" t="s">
        <v>95</v>
      </c>
      <c r="BC146">
        <v>0</v>
      </c>
      <c r="BD146">
        <v>45250</v>
      </c>
      <c r="BE146" t="s">
        <v>83</v>
      </c>
      <c r="BG146" t="s">
        <v>94</v>
      </c>
      <c r="BH146" t="s">
        <v>542</v>
      </c>
      <c r="BI146">
        <v>75</v>
      </c>
      <c r="BJ146">
        <v>45620</v>
      </c>
      <c r="BK146" t="s">
        <v>83</v>
      </c>
      <c r="BL146" t="s">
        <v>94</v>
      </c>
      <c r="BM146" t="s">
        <v>542</v>
      </c>
      <c r="BN146">
        <v>90</v>
      </c>
      <c r="BO146">
        <v>38675</v>
      </c>
      <c r="BP146" t="s">
        <v>83</v>
      </c>
    </row>
    <row r="147" spans="3:68">
      <c r="C147" s="197"/>
      <c r="D147" s="10"/>
      <c r="L147" t="s">
        <v>167</v>
      </c>
      <c r="M147" s="14"/>
      <c r="N147" s="14"/>
      <c r="O147" s="14">
        <v>103.94</v>
      </c>
      <c r="P147" s="14">
        <v>603.89</v>
      </c>
      <c r="Q147" s="14"/>
      <c r="R147" s="14">
        <v>200</v>
      </c>
      <c r="W147" t="s">
        <v>99</v>
      </c>
      <c r="X147" t="s">
        <v>100</v>
      </c>
      <c r="Y147" s="9"/>
      <c r="Z147" s="10">
        <v>43481</v>
      </c>
      <c r="AA147" t="s">
        <v>124</v>
      </c>
      <c r="AC147" t="s">
        <v>87</v>
      </c>
      <c r="AD147" t="s">
        <v>362</v>
      </c>
      <c r="AE147">
        <f>760000-216000</f>
        <v>544000</v>
      </c>
      <c r="AF147" s="10">
        <v>43800</v>
      </c>
      <c r="AG147" t="s">
        <v>83</v>
      </c>
      <c r="AI147" t="s">
        <v>99</v>
      </c>
      <c r="AJ147" t="s">
        <v>390</v>
      </c>
      <c r="AK147">
        <v>1.8990247286483566</v>
      </c>
      <c r="AL147" s="10">
        <v>44166</v>
      </c>
      <c r="AM147" t="s">
        <v>83</v>
      </c>
      <c r="AO147" t="s">
        <v>99</v>
      </c>
      <c r="AP147" t="s">
        <v>448</v>
      </c>
      <c r="AQ147" s="197">
        <v>12</v>
      </c>
      <c r="AR147" s="10">
        <v>44529</v>
      </c>
      <c r="AS147" t="s">
        <v>83</v>
      </c>
      <c r="AU147" t="s">
        <v>99</v>
      </c>
      <c r="AV147" t="s">
        <v>495</v>
      </c>
      <c r="AW147">
        <v>35</v>
      </c>
      <c r="AX147" s="10">
        <v>44893</v>
      </c>
      <c r="AY147" t="s">
        <v>83</v>
      </c>
      <c r="BA147" t="s">
        <v>99</v>
      </c>
      <c r="BB147" t="s">
        <v>448</v>
      </c>
      <c r="BC147">
        <v>7</v>
      </c>
      <c r="BD147">
        <v>45250</v>
      </c>
      <c r="BE147" t="s">
        <v>83</v>
      </c>
      <c r="BG147" t="s">
        <v>99</v>
      </c>
      <c r="BH147" t="s">
        <v>448</v>
      </c>
      <c r="BI147">
        <v>12</v>
      </c>
      <c r="BJ147">
        <v>45620</v>
      </c>
      <c r="BK147" t="s">
        <v>83</v>
      </c>
      <c r="BL147" t="s">
        <v>99</v>
      </c>
      <c r="BM147" t="s">
        <v>448</v>
      </c>
      <c r="BN147">
        <v>15</v>
      </c>
      <c r="BO147">
        <v>38675</v>
      </c>
      <c r="BP147" t="s">
        <v>83</v>
      </c>
    </row>
    <row r="148" spans="3:68">
      <c r="C148" s="197"/>
      <c r="D148" s="10"/>
      <c r="H148">
        <f>350*35</f>
        <v>12250</v>
      </c>
      <c r="L148" t="s">
        <v>168</v>
      </c>
      <c r="M148" s="14"/>
      <c r="N148" s="14"/>
      <c r="O148" s="14"/>
      <c r="P148" s="14">
        <v>85.14</v>
      </c>
      <c r="Q148" s="14"/>
      <c r="R148" s="14"/>
      <c r="W148" t="s">
        <v>103</v>
      </c>
      <c r="X148" t="s">
        <v>104</v>
      </c>
      <c r="Y148" s="9">
        <v>8500</v>
      </c>
      <c r="Z148" s="10">
        <v>43481</v>
      </c>
      <c r="AA148" t="s">
        <v>124</v>
      </c>
      <c r="AC148" t="s">
        <v>16</v>
      </c>
      <c r="AD148" t="s">
        <v>119</v>
      </c>
      <c r="AE148">
        <v>7</v>
      </c>
      <c r="AF148" s="10">
        <v>43800</v>
      </c>
      <c r="AG148" t="s">
        <v>83</v>
      </c>
      <c r="AI148" t="s">
        <v>103</v>
      </c>
      <c r="AJ148" t="s">
        <v>439</v>
      </c>
      <c r="AK148">
        <v>30</v>
      </c>
      <c r="AL148" s="10">
        <v>44166</v>
      </c>
      <c r="AM148" t="s">
        <v>83</v>
      </c>
      <c r="AO148" t="s">
        <v>103</v>
      </c>
      <c r="AP148" t="s">
        <v>460</v>
      </c>
      <c r="AQ148" s="197">
        <v>35</v>
      </c>
      <c r="AR148" s="10">
        <v>44529</v>
      </c>
      <c r="AS148" t="s">
        <v>83</v>
      </c>
      <c r="AU148" t="s">
        <v>103</v>
      </c>
      <c r="AV148" t="s">
        <v>444</v>
      </c>
      <c r="AW148">
        <v>35</v>
      </c>
      <c r="AX148" s="10">
        <v>44893</v>
      </c>
      <c r="AY148" t="s">
        <v>83</v>
      </c>
      <c r="BA148" t="s">
        <v>103</v>
      </c>
      <c r="BB148" t="s">
        <v>444</v>
      </c>
      <c r="BC148">
        <v>35</v>
      </c>
      <c r="BD148">
        <v>45250</v>
      </c>
      <c r="BE148" t="s">
        <v>83</v>
      </c>
      <c r="BG148" t="s">
        <v>103</v>
      </c>
      <c r="BH148" t="s">
        <v>444</v>
      </c>
      <c r="BI148">
        <v>35</v>
      </c>
      <c r="BJ148">
        <v>45620</v>
      </c>
      <c r="BK148" t="s">
        <v>83</v>
      </c>
      <c r="BL148" t="s">
        <v>103</v>
      </c>
      <c r="BM148" t="s">
        <v>574</v>
      </c>
      <c r="BN148">
        <v>40</v>
      </c>
      <c r="BO148">
        <v>38675</v>
      </c>
      <c r="BP148" t="s">
        <v>83</v>
      </c>
    </row>
    <row r="149" spans="3:68">
      <c r="C149" s="197"/>
      <c r="D149" s="10"/>
      <c r="L149" t="s">
        <v>169</v>
      </c>
      <c r="M149" s="14">
        <v>12.43</v>
      </c>
      <c r="N149" s="14">
        <v>31.97</v>
      </c>
      <c r="O149" s="14">
        <v>97.45</v>
      </c>
      <c r="P149" s="14">
        <v>566.69000000000005</v>
      </c>
      <c r="Q149" s="14">
        <v>90</v>
      </c>
      <c r="R149" s="14">
        <v>400</v>
      </c>
      <c r="W149" t="s">
        <v>107</v>
      </c>
      <c r="X149" t="s">
        <v>154</v>
      </c>
      <c r="Y149" s="9"/>
      <c r="Z149" s="10">
        <v>43481</v>
      </c>
      <c r="AA149" t="s">
        <v>124</v>
      </c>
      <c r="AC149" t="s">
        <v>118</v>
      </c>
      <c r="AD149" t="s">
        <v>388</v>
      </c>
      <c r="AE149">
        <v>294370</v>
      </c>
      <c r="AF149" s="10">
        <v>43800</v>
      </c>
      <c r="AG149" t="s">
        <v>83</v>
      </c>
      <c r="AI149" t="s">
        <v>107</v>
      </c>
      <c r="AJ149" t="s">
        <v>413</v>
      </c>
      <c r="AK149">
        <v>0</v>
      </c>
      <c r="AL149" s="10">
        <v>44166</v>
      </c>
      <c r="AM149" t="s">
        <v>83</v>
      </c>
      <c r="AO149" t="s">
        <v>107</v>
      </c>
      <c r="AP149" t="s">
        <v>468</v>
      </c>
      <c r="AQ149" s="197">
        <v>45</v>
      </c>
      <c r="AR149" s="10">
        <v>44529</v>
      </c>
      <c r="AS149" t="s">
        <v>83</v>
      </c>
      <c r="AU149" t="s">
        <v>107</v>
      </c>
      <c r="AV149" t="s">
        <v>413</v>
      </c>
      <c r="AW149">
        <v>0</v>
      </c>
      <c r="AX149" s="10">
        <v>44893</v>
      </c>
      <c r="AY149" t="s">
        <v>83</v>
      </c>
      <c r="BA149" t="s">
        <v>107</v>
      </c>
      <c r="BB149" t="s">
        <v>518</v>
      </c>
      <c r="BC149">
        <v>30</v>
      </c>
      <c r="BD149">
        <v>45250</v>
      </c>
      <c r="BE149" t="s">
        <v>83</v>
      </c>
      <c r="BG149" t="s">
        <v>107</v>
      </c>
      <c r="BH149" t="s">
        <v>550</v>
      </c>
      <c r="BI149">
        <v>122</v>
      </c>
      <c r="BJ149">
        <v>45620</v>
      </c>
      <c r="BK149" t="s">
        <v>83</v>
      </c>
      <c r="BL149" t="s">
        <v>107</v>
      </c>
      <c r="BM149" t="s">
        <v>413</v>
      </c>
      <c r="BN149">
        <v>0</v>
      </c>
      <c r="BO149">
        <v>38675</v>
      </c>
      <c r="BP149" t="s">
        <v>83</v>
      </c>
    </row>
    <row r="150" spans="3:68">
      <c r="C150" s="197"/>
      <c r="D150" s="10"/>
      <c r="L150" t="s">
        <v>170</v>
      </c>
      <c r="M150" s="14"/>
      <c r="N150" s="14"/>
      <c r="O150" s="14"/>
      <c r="P150" s="14">
        <v>788.67</v>
      </c>
      <c r="Q150" s="14">
        <v>90</v>
      </c>
      <c r="R150" s="14">
        <v>100</v>
      </c>
      <c r="W150" t="s">
        <v>14</v>
      </c>
      <c r="X150" t="s">
        <v>131</v>
      </c>
      <c r="Y150" s="9">
        <v>150</v>
      </c>
      <c r="Z150" s="10">
        <v>43481</v>
      </c>
      <c r="AA150" t="s">
        <v>124</v>
      </c>
      <c r="AC150" t="s">
        <v>194</v>
      </c>
      <c r="AD150" t="s">
        <v>386</v>
      </c>
      <c r="AE150">
        <f>460000+80000</f>
        <v>540000</v>
      </c>
      <c r="AF150" s="10">
        <v>43800</v>
      </c>
      <c r="AG150" t="s">
        <v>83</v>
      </c>
      <c r="AI150" t="s">
        <v>14</v>
      </c>
      <c r="AJ150" t="s">
        <v>131</v>
      </c>
      <c r="AK150">
        <v>0</v>
      </c>
      <c r="AL150" s="10">
        <v>44166</v>
      </c>
      <c r="AM150" t="s">
        <v>83</v>
      </c>
      <c r="AO150" t="s">
        <v>195</v>
      </c>
      <c r="AQ150" s="197">
        <v>0</v>
      </c>
      <c r="AR150" s="10">
        <v>44529</v>
      </c>
      <c r="AS150" t="s">
        <v>83</v>
      </c>
      <c r="AU150" t="s">
        <v>118</v>
      </c>
      <c r="AV150" t="s">
        <v>413</v>
      </c>
      <c r="AW150">
        <v>0</v>
      </c>
      <c r="AX150" s="10">
        <v>44893</v>
      </c>
      <c r="AY150" t="s">
        <v>83</v>
      </c>
      <c r="BA150" t="s">
        <v>14</v>
      </c>
      <c r="BB150" t="s">
        <v>503</v>
      </c>
      <c r="BC150">
        <v>70</v>
      </c>
      <c r="BD150">
        <v>45250</v>
      </c>
      <c r="BE150" t="s">
        <v>83</v>
      </c>
      <c r="BG150" t="s">
        <v>14</v>
      </c>
      <c r="BH150" t="s">
        <v>503</v>
      </c>
      <c r="BI150">
        <v>70</v>
      </c>
      <c r="BJ150">
        <v>45620</v>
      </c>
      <c r="BK150" t="s">
        <v>83</v>
      </c>
      <c r="BL150" t="s">
        <v>14</v>
      </c>
      <c r="BM150" t="s">
        <v>503</v>
      </c>
      <c r="BN150">
        <v>70</v>
      </c>
      <c r="BO150">
        <v>38675</v>
      </c>
      <c r="BP150" t="s">
        <v>83</v>
      </c>
    </row>
    <row r="151" spans="3:68">
      <c r="C151" s="197"/>
      <c r="D151" s="10"/>
      <c r="I151">
        <f>1424*233.3%</f>
        <v>3322.1920000000005</v>
      </c>
      <c r="L151" t="s">
        <v>171</v>
      </c>
      <c r="M151" s="14"/>
      <c r="N151" s="14"/>
      <c r="O151" s="14">
        <v>589.05999999999995</v>
      </c>
      <c r="P151" s="14">
        <v>3429.23</v>
      </c>
      <c r="Q151" s="14"/>
      <c r="R151" s="14">
        <v>200</v>
      </c>
      <c r="W151" t="s">
        <v>111</v>
      </c>
      <c r="X151" t="s">
        <v>155</v>
      </c>
      <c r="Y151" s="9">
        <v>0</v>
      </c>
      <c r="Z151" s="10">
        <v>43481</v>
      </c>
      <c r="AA151" t="s">
        <v>124</v>
      </c>
      <c r="AC151" t="s">
        <v>81</v>
      </c>
      <c r="AD151" t="s">
        <v>145</v>
      </c>
      <c r="AE151">
        <v>300000</v>
      </c>
      <c r="AF151" s="10">
        <v>43863</v>
      </c>
      <c r="AG151" t="s">
        <v>124</v>
      </c>
      <c r="AI151" t="s">
        <v>111</v>
      </c>
      <c r="AJ151" t="s">
        <v>441</v>
      </c>
      <c r="AK151">
        <v>50</v>
      </c>
      <c r="AL151" s="10">
        <v>44166</v>
      </c>
      <c r="AM151" t="s">
        <v>83</v>
      </c>
      <c r="AO151" t="s">
        <v>111</v>
      </c>
      <c r="AP151" t="s">
        <v>443</v>
      </c>
      <c r="AQ151" s="197">
        <v>50</v>
      </c>
      <c r="AR151" s="10">
        <v>44529</v>
      </c>
      <c r="AS151" t="s">
        <v>83</v>
      </c>
      <c r="AU151" t="s">
        <v>111</v>
      </c>
      <c r="AV151" t="s">
        <v>413</v>
      </c>
      <c r="AW151">
        <v>0</v>
      </c>
      <c r="AX151" s="10">
        <v>44893</v>
      </c>
      <c r="AY151" t="s">
        <v>83</v>
      </c>
      <c r="BA151" t="s">
        <v>111</v>
      </c>
      <c r="BB151" t="s">
        <v>519</v>
      </c>
      <c r="BC151">
        <v>30</v>
      </c>
      <c r="BD151">
        <v>45250</v>
      </c>
      <c r="BE151" t="s">
        <v>83</v>
      </c>
      <c r="BG151" t="s">
        <v>111</v>
      </c>
      <c r="BH151" t="s">
        <v>549</v>
      </c>
      <c r="BI151">
        <v>70</v>
      </c>
      <c r="BJ151">
        <v>45620</v>
      </c>
      <c r="BK151" t="s">
        <v>83</v>
      </c>
      <c r="BL151" t="s">
        <v>111</v>
      </c>
      <c r="BM151" t="s">
        <v>413</v>
      </c>
      <c r="BN151">
        <v>0</v>
      </c>
      <c r="BO151">
        <v>38675</v>
      </c>
      <c r="BP151" t="s">
        <v>83</v>
      </c>
    </row>
    <row r="152" spans="3:68">
      <c r="C152" s="197"/>
      <c r="D152" s="10"/>
      <c r="L152" t="s">
        <v>172</v>
      </c>
      <c r="M152" s="14"/>
      <c r="N152" s="14"/>
      <c r="O152" s="14"/>
      <c r="P152" s="14">
        <v>1142.44</v>
      </c>
      <c r="Q152" s="14"/>
      <c r="R152" s="14">
        <v>100</v>
      </c>
      <c r="W152" t="s">
        <v>15</v>
      </c>
      <c r="X152" t="s">
        <v>156</v>
      </c>
      <c r="Y152" s="9">
        <v>0</v>
      </c>
      <c r="Z152" s="10">
        <v>43481</v>
      </c>
      <c r="AA152" t="s">
        <v>124</v>
      </c>
      <c r="AC152" t="s">
        <v>89</v>
      </c>
      <c r="AD152" t="s">
        <v>389</v>
      </c>
      <c r="AE152">
        <v>988000</v>
      </c>
      <c r="AF152" s="10">
        <v>43863</v>
      </c>
      <c r="AG152" t="s">
        <v>124</v>
      </c>
      <c r="AI152" t="s">
        <v>15</v>
      </c>
      <c r="AJ152" t="s">
        <v>442</v>
      </c>
      <c r="AK152">
        <v>6</v>
      </c>
      <c r="AL152" s="10">
        <v>44166</v>
      </c>
      <c r="AM152" t="s">
        <v>83</v>
      </c>
      <c r="AO152" t="s">
        <v>179</v>
      </c>
      <c r="AQ152" s="197">
        <v>0</v>
      </c>
      <c r="AR152" s="10">
        <v>44529</v>
      </c>
      <c r="AS152" t="s">
        <v>83</v>
      </c>
      <c r="AU152" t="s">
        <v>15</v>
      </c>
      <c r="AV152" t="s">
        <v>413</v>
      </c>
      <c r="AW152">
        <v>0</v>
      </c>
      <c r="AX152" s="10">
        <v>44893</v>
      </c>
      <c r="AY152" t="s">
        <v>83</v>
      </c>
      <c r="BA152" t="s">
        <v>15</v>
      </c>
      <c r="BB152" t="s">
        <v>413</v>
      </c>
      <c r="BC152">
        <v>0</v>
      </c>
      <c r="BD152">
        <v>45250</v>
      </c>
      <c r="BE152" t="s">
        <v>83</v>
      </c>
      <c r="BG152" t="s">
        <v>118</v>
      </c>
      <c r="BH152" t="s">
        <v>551</v>
      </c>
      <c r="BI152">
        <v>0</v>
      </c>
      <c r="BJ152">
        <v>45620</v>
      </c>
      <c r="BK152" t="s">
        <v>83</v>
      </c>
      <c r="BL152" t="s">
        <v>118</v>
      </c>
      <c r="BM152" t="s">
        <v>413</v>
      </c>
      <c r="BN152">
        <v>0</v>
      </c>
      <c r="BO152">
        <v>38675</v>
      </c>
      <c r="BP152" t="s">
        <v>83</v>
      </c>
    </row>
    <row r="153" spans="3:68">
      <c r="C153" s="197"/>
      <c r="D153" s="10"/>
      <c r="H153">
        <f>1200*5</f>
        <v>6000</v>
      </c>
      <c r="I153">
        <f>500*20</f>
        <v>10000</v>
      </c>
      <c r="L153" t="s">
        <v>173</v>
      </c>
      <c r="M153" s="14"/>
      <c r="N153" s="14"/>
      <c r="O153" s="14">
        <v>126.07</v>
      </c>
      <c r="P153" s="14"/>
      <c r="Q153" s="14"/>
      <c r="R153" s="14">
        <v>100</v>
      </c>
      <c r="W153" t="s">
        <v>87</v>
      </c>
      <c r="X153" t="s">
        <v>158</v>
      </c>
      <c r="Y153" s="9">
        <v>0</v>
      </c>
      <c r="Z153" s="10">
        <v>43481</v>
      </c>
      <c r="AA153" t="s">
        <v>124</v>
      </c>
      <c r="AC153" t="s">
        <v>91</v>
      </c>
      <c r="AD153" t="s">
        <v>92</v>
      </c>
      <c r="AE153">
        <v>90000</v>
      </c>
      <c r="AF153" s="10">
        <v>43863</v>
      </c>
      <c r="AG153" t="s">
        <v>124</v>
      </c>
      <c r="AI153" t="s">
        <v>87</v>
      </c>
      <c r="AJ153" t="s">
        <v>158</v>
      </c>
      <c r="AK153">
        <v>20.920067010731625</v>
      </c>
      <c r="AL153" s="10">
        <v>44166</v>
      </c>
      <c r="AM153" t="s">
        <v>83</v>
      </c>
      <c r="AO153" t="s">
        <v>87</v>
      </c>
      <c r="AP153" t="s">
        <v>158</v>
      </c>
      <c r="AQ153" s="197">
        <v>80</v>
      </c>
      <c r="AR153" s="10">
        <v>44529</v>
      </c>
      <c r="AS153" t="s">
        <v>83</v>
      </c>
      <c r="AU153" t="s">
        <v>87</v>
      </c>
      <c r="AV153" t="s">
        <v>158</v>
      </c>
      <c r="AW153">
        <v>80</v>
      </c>
      <c r="AX153" s="10">
        <v>44893</v>
      </c>
      <c r="AY153" t="s">
        <v>83</v>
      </c>
      <c r="BA153" t="s">
        <v>87</v>
      </c>
      <c r="BB153" t="s">
        <v>158</v>
      </c>
      <c r="BC153">
        <v>90</v>
      </c>
      <c r="BD153">
        <v>45250</v>
      </c>
      <c r="BE153" t="s">
        <v>83</v>
      </c>
      <c r="BG153" t="s">
        <v>87</v>
      </c>
      <c r="BH153" t="s">
        <v>158</v>
      </c>
      <c r="BI153">
        <v>80</v>
      </c>
      <c r="BJ153">
        <v>45620</v>
      </c>
      <c r="BK153" t="s">
        <v>83</v>
      </c>
      <c r="BL153" t="s">
        <v>87</v>
      </c>
      <c r="BM153" t="s">
        <v>158</v>
      </c>
      <c r="BN153">
        <v>95</v>
      </c>
      <c r="BO153">
        <v>38675</v>
      </c>
      <c r="BP153" t="s">
        <v>83</v>
      </c>
    </row>
    <row r="154" spans="3:68">
      <c r="C154" s="197"/>
      <c r="D154" s="10"/>
      <c r="L154" t="s">
        <v>174</v>
      </c>
      <c r="M154" s="14"/>
      <c r="N154" s="14"/>
      <c r="O154" s="14">
        <v>178.49</v>
      </c>
      <c r="P154" s="14">
        <v>1038.3900000000001</v>
      </c>
      <c r="Q154" s="14"/>
      <c r="R154" s="14">
        <v>200</v>
      </c>
      <c r="W154" t="s">
        <v>16</v>
      </c>
      <c r="X154" t="s">
        <v>119</v>
      </c>
      <c r="Y154" s="9">
        <v>7</v>
      </c>
      <c r="Z154" s="10">
        <v>43481</v>
      </c>
      <c r="AA154" t="s">
        <v>124</v>
      </c>
      <c r="AC154" t="s">
        <v>94</v>
      </c>
      <c r="AD154" t="s">
        <v>95</v>
      </c>
      <c r="AE154">
        <v>76140</v>
      </c>
      <c r="AF154" s="10">
        <v>43863</v>
      </c>
      <c r="AG154" t="s">
        <v>124</v>
      </c>
      <c r="AI154" t="s">
        <v>16</v>
      </c>
      <c r="AJ154" t="s">
        <v>119</v>
      </c>
      <c r="AK154">
        <v>11.864645700598778</v>
      </c>
      <c r="AL154" s="10">
        <v>44166</v>
      </c>
      <c r="AM154" t="s">
        <v>83</v>
      </c>
      <c r="AO154" t="s">
        <v>16</v>
      </c>
      <c r="AP154" t="s">
        <v>119</v>
      </c>
      <c r="AQ154" s="197">
        <v>0</v>
      </c>
      <c r="AR154" s="10">
        <v>44529</v>
      </c>
      <c r="AS154" t="s">
        <v>83</v>
      </c>
      <c r="AU154" t="s">
        <v>16</v>
      </c>
      <c r="AV154" t="s">
        <v>480</v>
      </c>
      <c r="AW154">
        <v>100</v>
      </c>
      <c r="AX154" s="10">
        <v>44893</v>
      </c>
      <c r="AY154" t="s">
        <v>83</v>
      </c>
      <c r="BA154" t="s">
        <v>16</v>
      </c>
      <c r="BB154" t="s">
        <v>480</v>
      </c>
      <c r="BC154">
        <v>100</v>
      </c>
      <c r="BD154">
        <v>45250</v>
      </c>
      <c r="BE154" t="s">
        <v>83</v>
      </c>
      <c r="BG154" t="s">
        <v>16</v>
      </c>
      <c r="BH154" t="s">
        <v>480</v>
      </c>
      <c r="BI154">
        <v>100</v>
      </c>
      <c r="BJ154">
        <v>45620</v>
      </c>
      <c r="BK154" t="s">
        <v>83</v>
      </c>
      <c r="BL154" t="s">
        <v>16</v>
      </c>
      <c r="BM154" t="s">
        <v>480</v>
      </c>
      <c r="BN154">
        <v>100</v>
      </c>
      <c r="BO154">
        <v>38675</v>
      </c>
      <c r="BP154" t="s">
        <v>83</v>
      </c>
    </row>
    <row r="155" spans="3:68">
      <c r="C155" s="197"/>
      <c r="D155" s="10"/>
      <c r="L155" t="s">
        <v>175</v>
      </c>
      <c r="M155" s="14"/>
      <c r="N155" s="14"/>
      <c r="O155" s="14">
        <v>129.25</v>
      </c>
      <c r="P155" s="14">
        <v>751.67</v>
      </c>
      <c r="Q155" s="14"/>
      <c r="R155" s="14">
        <v>200</v>
      </c>
      <c r="W155" t="s">
        <v>118</v>
      </c>
      <c r="X155" t="s">
        <v>159</v>
      </c>
      <c r="Y155" s="9">
        <f>I134</f>
        <v>9216.1257300000016</v>
      </c>
      <c r="Z155" s="10">
        <v>43481</v>
      </c>
      <c r="AA155" t="s">
        <v>124</v>
      </c>
      <c r="AC155" t="s">
        <v>99</v>
      </c>
      <c r="AD155" t="s">
        <v>390</v>
      </c>
      <c r="AE155">
        <v>68000</v>
      </c>
      <c r="AF155" s="10">
        <v>43863</v>
      </c>
      <c r="AG155" t="s">
        <v>124</v>
      </c>
      <c r="AI155" t="s">
        <v>118</v>
      </c>
      <c r="AJ155" t="s">
        <v>440</v>
      </c>
      <c r="AK155">
        <v>0</v>
      </c>
      <c r="AL155" s="10">
        <v>44166</v>
      </c>
      <c r="AM155" t="s">
        <v>83</v>
      </c>
      <c r="AO155" t="s">
        <v>118</v>
      </c>
      <c r="AP155" t="s">
        <v>469</v>
      </c>
      <c r="AQ155" s="197">
        <v>8</v>
      </c>
      <c r="AR155" s="10">
        <v>44529</v>
      </c>
      <c r="AS155" t="s">
        <v>83</v>
      </c>
      <c r="AU155" t="s">
        <v>179</v>
      </c>
      <c r="AV155" t="s">
        <v>413</v>
      </c>
      <c r="AW155">
        <v>0</v>
      </c>
      <c r="AX155" s="10">
        <v>44893</v>
      </c>
      <c r="AY155" t="s">
        <v>83</v>
      </c>
      <c r="BA155" t="s">
        <v>118</v>
      </c>
      <c r="BB155" t="s">
        <v>413</v>
      </c>
      <c r="BC155">
        <v>0</v>
      </c>
      <c r="BD155">
        <v>45250</v>
      </c>
      <c r="BE155" t="s">
        <v>83</v>
      </c>
      <c r="BG155" t="s">
        <v>15</v>
      </c>
      <c r="BH155" t="s">
        <v>553</v>
      </c>
      <c r="BI155">
        <v>68</v>
      </c>
      <c r="BJ155">
        <v>45620</v>
      </c>
      <c r="BK155" t="s">
        <v>83</v>
      </c>
      <c r="BL155" t="s">
        <v>15</v>
      </c>
      <c r="BM155" t="s">
        <v>413</v>
      </c>
      <c r="BN155">
        <v>0</v>
      </c>
      <c r="BO155">
        <v>38675</v>
      </c>
      <c r="BP155" t="s">
        <v>83</v>
      </c>
    </row>
    <row r="156" spans="3:68">
      <c r="C156" s="197"/>
      <c r="D156" s="10"/>
      <c r="H156">
        <f>200*35</f>
        <v>7000</v>
      </c>
      <c r="M156" s="14"/>
      <c r="N156" s="14"/>
      <c r="O156" s="14"/>
      <c r="P156" s="14"/>
      <c r="Q156" s="14"/>
      <c r="R156" s="14"/>
      <c r="AC156" t="s">
        <v>103</v>
      </c>
      <c r="AD156" t="s">
        <v>379</v>
      </c>
      <c r="AE156">
        <v>100000</v>
      </c>
      <c r="AF156" s="10">
        <v>43863</v>
      </c>
      <c r="AG156" t="s">
        <v>124</v>
      </c>
      <c r="AI156" t="s">
        <v>194</v>
      </c>
      <c r="AJ156" t="s">
        <v>396</v>
      </c>
      <c r="AK156">
        <v>0.5</v>
      </c>
      <c r="AL156" s="10">
        <v>44166</v>
      </c>
      <c r="AM156" t="s">
        <v>83</v>
      </c>
      <c r="AO156" t="s">
        <v>15</v>
      </c>
      <c r="AP156" t="s">
        <v>396</v>
      </c>
      <c r="AQ156" s="197">
        <v>0.5</v>
      </c>
      <c r="AR156" s="10">
        <v>44529</v>
      </c>
      <c r="AS156" t="s">
        <v>83</v>
      </c>
      <c r="AU156" t="s">
        <v>194</v>
      </c>
      <c r="AV156" t="s">
        <v>396</v>
      </c>
      <c r="AW156">
        <v>2</v>
      </c>
      <c r="AX156" s="10">
        <v>44893</v>
      </c>
      <c r="AY156" t="s">
        <v>83</v>
      </c>
      <c r="BA156" t="s">
        <v>194</v>
      </c>
      <c r="BB156" t="s">
        <v>396</v>
      </c>
      <c r="BC156">
        <v>2</v>
      </c>
      <c r="BD156">
        <v>45250</v>
      </c>
      <c r="BE156" t="s">
        <v>83</v>
      </c>
      <c r="BG156" t="s">
        <v>194</v>
      </c>
      <c r="BH156" t="s">
        <v>396</v>
      </c>
      <c r="BI156">
        <v>2</v>
      </c>
      <c r="BJ156">
        <v>45620</v>
      </c>
      <c r="BK156" t="s">
        <v>83</v>
      </c>
      <c r="BL156" t="s">
        <v>194</v>
      </c>
      <c r="BM156" t="s">
        <v>396</v>
      </c>
      <c r="BN156">
        <v>2</v>
      </c>
      <c r="BO156">
        <v>38675</v>
      </c>
      <c r="BP156" t="s">
        <v>83</v>
      </c>
    </row>
    <row r="157" spans="3:68">
      <c r="C157" s="197"/>
      <c r="D157" s="10"/>
      <c r="L157" t="s">
        <v>176</v>
      </c>
      <c r="M157" s="14">
        <f>SUM(M146:M155)</f>
        <v>12.43</v>
      </c>
      <c r="N157" s="14">
        <f t="shared" ref="N157:R157" si="2">SUM(N146:N155)</f>
        <v>31.97</v>
      </c>
      <c r="O157" s="14">
        <f t="shared" si="2"/>
        <v>1333.36</v>
      </c>
      <c r="P157" s="14">
        <f t="shared" si="2"/>
        <v>9040.07</v>
      </c>
      <c r="Q157" s="14">
        <f t="shared" si="2"/>
        <v>270</v>
      </c>
      <c r="R157" s="14">
        <f t="shared" si="2"/>
        <v>1700</v>
      </c>
      <c r="AC157" t="s">
        <v>107</v>
      </c>
      <c r="AD157" t="s">
        <v>391</v>
      </c>
      <c r="AE157">
        <f>650000+700000</f>
        <v>1350000</v>
      </c>
      <c r="AF157" s="10">
        <v>43863</v>
      </c>
      <c r="AG157" t="s">
        <v>124</v>
      </c>
      <c r="AI157" t="s">
        <v>81</v>
      </c>
      <c r="AJ157" t="s">
        <v>426</v>
      </c>
      <c r="AK157">
        <v>3</v>
      </c>
      <c r="AL157" s="10">
        <v>44180</v>
      </c>
      <c r="AM157" t="s">
        <v>124</v>
      </c>
      <c r="AO157" t="s">
        <v>81</v>
      </c>
      <c r="AP157" t="s">
        <v>426</v>
      </c>
      <c r="AQ157" s="197">
        <v>60</v>
      </c>
      <c r="AR157" s="10">
        <v>44550</v>
      </c>
      <c r="AS157" t="s">
        <v>124</v>
      </c>
      <c r="AU157" t="s">
        <v>81</v>
      </c>
      <c r="AV157" t="s">
        <v>426</v>
      </c>
      <c r="AW157">
        <v>120</v>
      </c>
      <c r="AX157" s="10">
        <v>44918</v>
      </c>
      <c r="AY157" t="s">
        <v>124</v>
      </c>
      <c r="BA157" t="s">
        <v>81</v>
      </c>
      <c r="BB157" t="s">
        <v>426</v>
      </c>
      <c r="BC157">
        <v>120</v>
      </c>
      <c r="BD157">
        <v>45279</v>
      </c>
      <c r="BE157" t="s">
        <v>124</v>
      </c>
      <c r="BG157" t="s">
        <v>81</v>
      </c>
      <c r="BH157" t="s">
        <v>426</v>
      </c>
      <c r="BI157">
        <v>120</v>
      </c>
      <c r="BJ157">
        <v>45650</v>
      </c>
      <c r="BK157" t="s">
        <v>124</v>
      </c>
      <c r="BL157" t="s">
        <v>81</v>
      </c>
      <c r="BM157" t="s">
        <v>426</v>
      </c>
      <c r="BN157">
        <v>120</v>
      </c>
      <c r="BO157">
        <v>46008</v>
      </c>
      <c r="BP157" t="s">
        <v>124</v>
      </c>
    </row>
    <row r="158" spans="3:68">
      <c r="C158" s="197"/>
      <c r="D158" s="10"/>
      <c r="M158" s="14"/>
      <c r="N158" s="14"/>
      <c r="O158" s="14"/>
      <c r="P158" s="14"/>
      <c r="Q158" s="14"/>
      <c r="R158" s="14"/>
      <c r="AC158" t="s">
        <v>14</v>
      </c>
      <c r="AD158" t="s">
        <v>131</v>
      </c>
      <c r="AE158">
        <v>0</v>
      </c>
      <c r="AF158" s="10">
        <v>43863</v>
      </c>
      <c r="AG158" t="s">
        <v>124</v>
      </c>
      <c r="AI158" t="s">
        <v>89</v>
      </c>
      <c r="AJ158" t="s">
        <v>445</v>
      </c>
      <c r="AK158">
        <v>8</v>
      </c>
      <c r="AL158" s="10">
        <v>44180</v>
      </c>
      <c r="AM158" t="s">
        <v>124</v>
      </c>
      <c r="AO158" t="s">
        <v>89</v>
      </c>
      <c r="AP158" t="s">
        <v>445</v>
      </c>
      <c r="AQ158" s="197">
        <v>6</v>
      </c>
      <c r="AR158" s="10">
        <v>44550</v>
      </c>
      <c r="AS158" t="s">
        <v>124</v>
      </c>
      <c r="AU158" t="s">
        <v>89</v>
      </c>
      <c r="AV158" t="s">
        <v>435</v>
      </c>
      <c r="AW158">
        <v>7</v>
      </c>
      <c r="AX158" s="10">
        <v>44918</v>
      </c>
      <c r="AY158" t="s">
        <v>124</v>
      </c>
      <c r="BA158" t="s">
        <v>89</v>
      </c>
      <c r="BB158" t="s">
        <v>435</v>
      </c>
      <c r="BC158">
        <v>9</v>
      </c>
      <c r="BD158">
        <v>45279</v>
      </c>
      <c r="BE158" t="s">
        <v>124</v>
      </c>
      <c r="BG158" t="s">
        <v>89</v>
      </c>
      <c r="BH158" t="s">
        <v>435</v>
      </c>
      <c r="BI158">
        <v>8</v>
      </c>
      <c r="BJ158">
        <v>45650</v>
      </c>
      <c r="BK158" t="s">
        <v>124</v>
      </c>
      <c r="BL158" t="s">
        <v>89</v>
      </c>
      <c r="BM158" t="s">
        <v>435</v>
      </c>
      <c r="BN158">
        <v>10</v>
      </c>
      <c r="BO158">
        <v>46008</v>
      </c>
      <c r="BP158" t="s">
        <v>124</v>
      </c>
    </row>
    <row r="159" spans="3:68">
      <c r="C159" s="197"/>
      <c r="D159" s="10"/>
      <c r="H159">
        <f>65*35.64</f>
        <v>2316.6</v>
      </c>
      <c r="M159" s="14">
        <f>SUM(M157:S157)</f>
        <v>12387.83</v>
      </c>
      <c r="N159" s="14"/>
      <c r="O159" s="14"/>
      <c r="P159" s="14"/>
      <c r="Q159" s="14"/>
      <c r="R159" s="14"/>
      <c r="AC159" t="s">
        <v>111</v>
      </c>
      <c r="AD159" t="s">
        <v>392</v>
      </c>
      <c r="AE159" t="e">
        <f>AJ44*50</f>
        <v>#VALUE!</v>
      </c>
      <c r="AF159" s="10">
        <v>43863</v>
      </c>
      <c r="AG159" t="s">
        <v>124</v>
      </c>
      <c r="AI159" t="s">
        <v>91</v>
      </c>
      <c r="AJ159" t="s">
        <v>92</v>
      </c>
      <c r="AK159">
        <v>25.842678316990924</v>
      </c>
      <c r="AL159" s="10">
        <v>44180</v>
      </c>
      <c r="AM159" t="s">
        <v>124</v>
      </c>
      <c r="AO159" t="s">
        <v>91</v>
      </c>
      <c r="AP159" t="s">
        <v>92</v>
      </c>
      <c r="AQ159" s="197">
        <v>45</v>
      </c>
      <c r="AR159" s="10">
        <v>44550</v>
      </c>
      <c r="AS159" t="s">
        <v>124</v>
      </c>
      <c r="AU159" t="s">
        <v>91</v>
      </c>
      <c r="AV159" t="s">
        <v>92</v>
      </c>
      <c r="AW159">
        <v>45</v>
      </c>
      <c r="AX159" s="10">
        <v>44918</v>
      </c>
      <c r="AY159" t="s">
        <v>124</v>
      </c>
      <c r="BA159" t="s">
        <v>91</v>
      </c>
      <c r="BB159" t="s">
        <v>92</v>
      </c>
      <c r="BC159">
        <v>60</v>
      </c>
      <c r="BD159">
        <v>45279</v>
      </c>
      <c r="BE159" t="s">
        <v>124</v>
      </c>
      <c r="BG159" t="s">
        <v>91</v>
      </c>
      <c r="BH159" t="s">
        <v>554</v>
      </c>
      <c r="BI159">
        <v>155</v>
      </c>
      <c r="BJ159">
        <v>45650</v>
      </c>
      <c r="BK159" t="s">
        <v>124</v>
      </c>
      <c r="BL159" t="s">
        <v>91</v>
      </c>
      <c r="BM159" t="s">
        <v>598</v>
      </c>
      <c r="BN159">
        <v>180</v>
      </c>
      <c r="BO159">
        <v>46008</v>
      </c>
      <c r="BP159" t="s">
        <v>124</v>
      </c>
    </row>
    <row r="160" spans="3:68">
      <c r="C160" s="197"/>
      <c r="D160" s="10"/>
      <c r="AC160" t="s">
        <v>15</v>
      </c>
      <c r="AD160" t="s">
        <v>338</v>
      </c>
      <c r="AE160">
        <v>0</v>
      </c>
      <c r="AF160" s="10">
        <v>43863</v>
      </c>
      <c r="AG160" t="s">
        <v>124</v>
      </c>
      <c r="AI160" t="s">
        <v>94</v>
      </c>
      <c r="AJ160" t="s">
        <v>95</v>
      </c>
      <c r="AK160">
        <v>0.72257123674436574</v>
      </c>
      <c r="AL160" s="10">
        <v>44180</v>
      </c>
      <c r="AM160" t="s">
        <v>124</v>
      </c>
      <c r="AO160" t="s">
        <v>94</v>
      </c>
      <c r="AP160" t="s">
        <v>95</v>
      </c>
      <c r="AQ160" s="197">
        <v>0</v>
      </c>
      <c r="AR160" s="10">
        <v>44550</v>
      </c>
      <c r="AS160" t="s">
        <v>124</v>
      </c>
      <c r="AU160" t="s">
        <v>94</v>
      </c>
      <c r="AV160" t="s">
        <v>95</v>
      </c>
      <c r="AW160">
        <v>0</v>
      </c>
      <c r="AX160" s="10">
        <v>44918</v>
      </c>
      <c r="AY160" t="s">
        <v>124</v>
      </c>
      <c r="BA160" t="s">
        <v>94</v>
      </c>
      <c r="BB160" t="s">
        <v>522</v>
      </c>
      <c r="BC160">
        <v>365</v>
      </c>
      <c r="BD160">
        <v>45279</v>
      </c>
      <c r="BE160" t="s">
        <v>124</v>
      </c>
      <c r="BG160" t="s">
        <v>94</v>
      </c>
      <c r="BH160" t="s">
        <v>542</v>
      </c>
      <c r="BI160">
        <v>80</v>
      </c>
      <c r="BJ160">
        <v>45650</v>
      </c>
      <c r="BK160" t="s">
        <v>124</v>
      </c>
      <c r="BL160" t="s">
        <v>94</v>
      </c>
      <c r="BM160" t="s">
        <v>542</v>
      </c>
      <c r="BN160">
        <v>95</v>
      </c>
      <c r="BO160">
        <v>46008</v>
      </c>
      <c r="BP160" t="s">
        <v>124</v>
      </c>
    </row>
    <row r="161" spans="3:68">
      <c r="C161" s="197"/>
      <c r="D161" s="10"/>
      <c r="AC161" t="s">
        <v>87</v>
      </c>
      <c r="AD161" t="s">
        <v>362</v>
      </c>
      <c r="AE161">
        <f>200000+190000+48000+28000+165000+80000</f>
        <v>711000</v>
      </c>
      <c r="AF161" s="10">
        <v>43863</v>
      </c>
      <c r="AG161" t="s">
        <v>124</v>
      </c>
      <c r="AI161" t="s">
        <v>99</v>
      </c>
      <c r="AJ161" t="s">
        <v>446</v>
      </c>
      <c r="AK161">
        <v>8.3675090926834628</v>
      </c>
      <c r="AL161" s="10">
        <v>44180</v>
      </c>
      <c r="AM161" t="s">
        <v>124</v>
      </c>
      <c r="AO161" t="s">
        <v>99</v>
      </c>
      <c r="AP161" t="s">
        <v>448</v>
      </c>
      <c r="AQ161" s="197">
        <v>14</v>
      </c>
      <c r="AR161" s="10">
        <v>44550</v>
      </c>
      <c r="AS161" t="s">
        <v>124</v>
      </c>
      <c r="AU161" t="s">
        <v>99</v>
      </c>
      <c r="AV161" t="s">
        <v>497</v>
      </c>
      <c r="AW161">
        <v>25</v>
      </c>
      <c r="AX161" s="10">
        <v>44918</v>
      </c>
      <c r="AY161" t="s">
        <v>124</v>
      </c>
      <c r="BA161" t="s">
        <v>99</v>
      </c>
      <c r="BB161" t="s">
        <v>448</v>
      </c>
      <c r="BC161">
        <v>8</v>
      </c>
      <c r="BD161">
        <v>45279</v>
      </c>
      <c r="BE161" t="s">
        <v>124</v>
      </c>
      <c r="BG161" t="s">
        <v>99</v>
      </c>
      <c r="BH161" t="s">
        <v>448</v>
      </c>
      <c r="BI161">
        <v>15</v>
      </c>
      <c r="BJ161">
        <v>45650</v>
      </c>
      <c r="BK161" t="s">
        <v>124</v>
      </c>
      <c r="BL161" t="s">
        <v>99</v>
      </c>
      <c r="BM161" t="s">
        <v>448</v>
      </c>
      <c r="BN161">
        <v>15</v>
      </c>
      <c r="BO161">
        <v>46008</v>
      </c>
      <c r="BP161" t="s">
        <v>124</v>
      </c>
    </row>
    <row r="162" spans="3:68">
      <c r="C162" s="197"/>
      <c r="D162" s="10"/>
      <c r="AC162" t="s">
        <v>16</v>
      </c>
      <c r="AD162" t="s">
        <v>119</v>
      </c>
      <c r="AE162">
        <v>7</v>
      </c>
      <c r="AF162" s="10">
        <v>43863</v>
      </c>
      <c r="AG162" t="s">
        <v>124</v>
      </c>
      <c r="AI162" t="s">
        <v>103</v>
      </c>
      <c r="AJ162" t="s">
        <v>444</v>
      </c>
      <c r="AK162">
        <v>30</v>
      </c>
      <c r="AL162" s="10">
        <v>44180</v>
      </c>
      <c r="AM162" t="s">
        <v>124</v>
      </c>
      <c r="AO162" t="s">
        <v>103</v>
      </c>
      <c r="AP162" t="s">
        <v>460</v>
      </c>
      <c r="AQ162" s="197">
        <v>35</v>
      </c>
      <c r="AR162" s="10">
        <v>44550</v>
      </c>
      <c r="AS162" t="s">
        <v>124</v>
      </c>
      <c r="AU162" t="s">
        <v>103</v>
      </c>
      <c r="AV162" t="s">
        <v>444</v>
      </c>
      <c r="AW162">
        <v>35</v>
      </c>
      <c r="AX162" s="10">
        <v>44918</v>
      </c>
      <c r="AY162" t="s">
        <v>124</v>
      </c>
      <c r="BA162" t="s">
        <v>103</v>
      </c>
      <c r="BB162" t="s">
        <v>444</v>
      </c>
      <c r="BC162">
        <v>35</v>
      </c>
      <c r="BD162">
        <v>45279</v>
      </c>
      <c r="BE162" t="s">
        <v>124</v>
      </c>
      <c r="BG162" t="s">
        <v>103</v>
      </c>
      <c r="BH162" t="s">
        <v>444</v>
      </c>
      <c r="BI162">
        <v>35</v>
      </c>
      <c r="BJ162">
        <v>45650</v>
      </c>
      <c r="BK162" t="s">
        <v>124</v>
      </c>
      <c r="BL162" t="s">
        <v>103</v>
      </c>
      <c r="BM162" t="s">
        <v>574</v>
      </c>
      <c r="BN162">
        <v>40</v>
      </c>
      <c r="BO162">
        <v>46008</v>
      </c>
      <c r="BP162" t="s">
        <v>124</v>
      </c>
    </row>
    <row r="163" spans="3:68">
      <c r="C163" s="197"/>
      <c r="D163" s="10"/>
      <c r="H163" s="9">
        <f>SUM(Y130:Y140)-Y130-Y139+1800-Y135+5200</f>
        <v>14245.017500000002</v>
      </c>
      <c r="I163">
        <f>H163*200%</f>
        <v>28490.035000000003</v>
      </c>
      <c r="AC163" t="s">
        <v>118</v>
      </c>
      <c r="AD163" t="s">
        <v>393</v>
      </c>
      <c r="AE163">
        <v>450035</v>
      </c>
      <c r="AF163" s="10">
        <v>43863</v>
      </c>
      <c r="AG163" t="s">
        <v>124</v>
      </c>
      <c r="AI163" t="s">
        <v>107</v>
      </c>
      <c r="AJ163" t="s">
        <v>413</v>
      </c>
      <c r="AK163">
        <v>0</v>
      </c>
      <c r="AL163" s="10">
        <v>44180</v>
      </c>
      <c r="AM163" t="s">
        <v>124</v>
      </c>
      <c r="AO163" t="s">
        <v>107</v>
      </c>
      <c r="AQ163" s="197">
        <v>0</v>
      </c>
      <c r="AR163" s="10">
        <v>44550</v>
      </c>
      <c r="AS163" t="s">
        <v>124</v>
      </c>
      <c r="AU163" t="s">
        <v>107</v>
      </c>
      <c r="AV163" t="s">
        <v>498</v>
      </c>
      <c r="AW163">
        <v>35</v>
      </c>
      <c r="AX163" s="10">
        <v>44918</v>
      </c>
      <c r="AY163" t="s">
        <v>124</v>
      </c>
      <c r="BA163" t="s">
        <v>107</v>
      </c>
      <c r="BB163" t="s">
        <v>523</v>
      </c>
      <c r="BC163">
        <v>50</v>
      </c>
      <c r="BD163">
        <v>45279</v>
      </c>
      <c r="BE163" t="s">
        <v>124</v>
      </c>
      <c r="BG163" t="s">
        <v>107</v>
      </c>
      <c r="BH163" t="s">
        <v>556</v>
      </c>
      <c r="BI163">
        <v>130</v>
      </c>
      <c r="BJ163">
        <v>45650</v>
      </c>
      <c r="BK163" t="s">
        <v>124</v>
      </c>
      <c r="BL163" t="s">
        <v>107</v>
      </c>
      <c r="BM163" t="s">
        <v>601</v>
      </c>
      <c r="BN163">
        <v>25</v>
      </c>
      <c r="BO163">
        <v>46008</v>
      </c>
      <c r="BP163" t="s">
        <v>124</v>
      </c>
    </row>
    <row r="164" spans="3:68">
      <c r="C164" s="197"/>
      <c r="D164" s="10"/>
      <c r="AC164" t="s">
        <v>194</v>
      </c>
      <c r="AD164" t="s">
        <v>386</v>
      </c>
      <c r="AE164">
        <v>0</v>
      </c>
      <c r="AF164" s="10">
        <v>43863</v>
      </c>
      <c r="AG164" t="s">
        <v>124</v>
      </c>
      <c r="AI164" t="s">
        <v>14</v>
      </c>
      <c r="AJ164" t="s">
        <v>131</v>
      </c>
      <c r="AK164">
        <v>0</v>
      </c>
      <c r="AL164" s="10">
        <v>44180</v>
      </c>
      <c r="AM164" t="s">
        <v>124</v>
      </c>
      <c r="AO164" t="s">
        <v>195</v>
      </c>
      <c r="AQ164" s="197">
        <v>0</v>
      </c>
      <c r="AR164" s="10">
        <v>44550</v>
      </c>
      <c r="AS164" t="s">
        <v>124</v>
      </c>
      <c r="AU164" t="s">
        <v>118</v>
      </c>
      <c r="AV164" t="s">
        <v>413</v>
      </c>
      <c r="AW164">
        <v>0</v>
      </c>
      <c r="AX164" s="10">
        <v>44918</v>
      </c>
      <c r="AY164" t="s">
        <v>124</v>
      </c>
      <c r="BA164" t="s">
        <v>14</v>
      </c>
      <c r="BB164" t="s">
        <v>503</v>
      </c>
      <c r="BC164">
        <v>70</v>
      </c>
      <c r="BD164">
        <v>45279</v>
      </c>
      <c r="BE164" t="s">
        <v>124</v>
      </c>
      <c r="BG164" t="s">
        <v>14</v>
      </c>
      <c r="BH164" t="s">
        <v>503</v>
      </c>
      <c r="BI164">
        <v>70</v>
      </c>
      <c r="BJ164">
        <v>45650</v>
      </c>
      <c r="BK164" t="s">
        <v>124</v>
      </c>
      <c r="BL164" t="s">
        <v>14</v>
      </c>
      <c r="BM164" t="s">
        <v>503</v>
      </c>
      <c r="BN164">
        <v>70</v>
      </c>
      <c r="BO164">
        <v>46008</v>
      </c>
      <c r="BP164" t="s">
        <v>124</v>
      </c>
    </row>
    <row r="165" spans="3:68">
      <c r="C165" s="197"/>
      <c r="D165" s="10"/>
      <c r="AI165" t="s">
        <v>111</v>
      </c>
      <c r="AJ165" t="s">
        <v>443</v>
      </c>
      <c r="AK165">
        <v>50</v>
      </c>
      <c r="AL165" s="10">
        <v>44180</v>
      </c>
      <c r="AM165" t="s">
        <v>124</v>
      </c>
      <c r="AO165" t="s">
        <v>111</v>
      </c>
      <c r="AP165" t="s">
        <v>443</v>
      </c>
      <c r="AQ165" s="197">
        <v>50</v>
      </c>
      <c r="AR165" s="10">
        <v>44550</v>
      </c>
      <c r="AS165" t="s">
        <v>124</v>
      </c>
      <c r="AU165" t="s">
        <v>111</v>
      </c>
      <c r="AV165" t="s">
        <v>413</v>
      </c>
      <c r="AW165">
        <v>0</v>
      </c>
      <c r="AX165" s="10">
        <v>44918</v>
      </c>
      <c r="AY165" t="s">
        <v>124</v>
      </c>
      <c r="BA165" t="s">
        <v>111</v>
      </c>
      <c r="BB165" t="s">
        <v>524</v>
      </c>
      <c r="BC165">
        <v>40</v>
      </c>
      <c r="BD165">
        <v>45279</v>
      </c>
      <c r="BE165" t="s">
        <v>124</v>
      </c>
      <c r="BG165" t="s">
        <v>111</v>
      </c>
      <c r="BH165" t="s">
        <v>555</v>
      </c>
      <c r="BI165">
        <v>70</v>
      </c>
      <c r="BJ165">
        <v>45650</v>
      </c>
      <c r="BK165" t="s">
        <v>124</v>
      </c>
      <c r="BL165" t="s">
        <v>111</v>
      </c>
      <c r="BM165" t="s">
        <v>600</v>
      </c>
      <c r="BN165">
        <v>50</v>
      </c>
      <c r="BO165">
        <v>46008</v>
      </c>
      <c r="BP165" t="s">
        <v>124</v>
      </c>
    </row>
    <row r="166" spans="3:68">
      <c r="C166" s="197"/>
      <c r="D166" s="10"/>
      <c r="AI166" t="s">
        <v>15</v>
      </c>
      <c r="AJ166" t="s">
        <v>447</v>
      </c>
      <c r="AK166">
        <v>5.75</v>
      </c>
      <c r="AL166" s="10">
        <v>44180</v>
      </c>
      <c r="AM166" t="s">
        <v>124</v>
      </c>
      <c r="AO166" t="s">
        <v>179</v>
      </c>
      <c r="AQ166" s="197">
        <v>0</v>
      </c>
      <c r="AR166" s="10">
        <v>44550</v>
      </c>
      <c r="AS166" t="s">
        <v>124</v>
      </c>
      <c r="AU166" t="s">
        <v>15</v>
      </c>
      <c r="AV166" t="s">
        <v>413</v>
      </c>
      <c r="AW166">
        <v>0</v>
      </c>
      <c r="AX166" s="10">
        <v>44918</v>
      </c>
      <c r="AY166" t="s">
        <v>124</v>
      </c>
      <c r="BA166" t="s">
        <v>118</v>
      </c>
      <c r="BB166" t="s">
        <v>525</v>
      </c>
      <c r="BC166">
        <v>10</v>
      </c>
      <c r="BD166">
        <v>45279</v>
      </c>
      <c r="BE166" t="s">
        <v>124</v>
      </c>
      <c r="BG166" t="s">
        <v>118</v>
      </c>
      <c r="BH166" t="s">
        <v>551</v>
      </c>
      <c r="BI166">
        <v>0</v>
      </c>
      <c r="BJ166">
        <v>45650</v>
      </c>
      <c r="BK166" t="s">
        <v>124</v>
      </c>
      <c r="BL166" t="s">
        <v>118</v>
      </c>
      <c r="BM166" t="s">
        <v>599</v>
      </c>
      <c r="BN166">
        <v>120</v>
      </c>
      <c r="BO166">
        <v>46008</v>
      </c>
      <c r="BP166" t="s">
        <v>124</v>
      </c>
    </row>
    <row r="167" spans="3:68">
      <c r="C167" s="197"/>
      <c r="D167" s="10"/>
      <c r="AI167" t="s">
        <v>87</v>
      </c>
      <c r="AJ167" t="s">
        <v>158</v>
      </c>
      <c r="AK167">
        <v>29.095278560785111</v>
      </c>
      <c r="AL167" s="10">
        <v>44180</v>
      </c>
      <c r="AM167" t="s">
        <v>124</v>
      </c>
      <c r="AO167" t="s">
        <v>87</v>
      </c>
      <c r="AP167" t="s">
        <v>158</v>
      </c>
      <c r="AQ167" s="197">
        <v>85</v>
      </c>
      <c r="AR167" s="10">
        <v>44550</v>
      </c>
      <c r="AS167" t="s">
        <v>124</v>
      </c>
      <c r="AU167" t="s">
        <v>87</v>
      </c>
      <c r="AV167" t="s">
        <v>158</v>
      </c>
      <c r="AW167">
        <v>90</v>
      </c>
      <c r="AX167" s="10">
        <v>44918</v>
      </c>
      <c r="AY167" t="s">
        <v>124</v>
      </c>
      <c r="BA167" t="s">
        <v>87</v>
      </c>
      <c r="BB167" t="s">
        <v>158</v>
      </c>
      <c r="BC167">
        <v>90</v>
      </c>
      <c r="BD167">
        <v>45279</v>
      </c>
      <c r="BE167" t="s">
        <v>124</v>
      </c>
      <c r="BG167" t="s">
        <v>87</v>
      </c>
      <c r="BH167" t="s">
        <v>158</v>
      </c>
      <c r="BI167">
        <v>85</v>
      </c>
      <c r="BJ167">
        <v>45650</v>
      </c>
      <c r="BK167" t="s">
        <v>124</v>
      </c>
      <c r="BL167" t="s">
        <v>87</v>
      </c>
      <c r="BM167" t="s">
        <v>158</v>
      </c>
      <c r="BN167">
        <v>95</v>
      </c>
      <c r="BO167">
        <v>46008</v>
      </c>
      <c r="BP167" t="s">
        <v>124</v>
      </c>
    </row>
    <row r="168" spans="3:68">
      <c r="C168" s="197"/>
      <c r="D168" s="10"/>
      <c r="AI168" t="s">
        <v>16</v>
      </c>
      <c r="AJ168" t="s">
        <v>119</v>
      </c>
      <c r="AK168">
        <v>15.502803720720388</v>
      </c>
      <c r="AL168" s="10">
        <v>44180</v>
      </c>
      <c r="AM168" t="s">
        <v>124</v>
      </c>
      <c r="AO168" t="s">
        <v>16</v>
      </c>
      <c r="AP168" t="s">
        <v>119</v>
      </c>
      <c r="AQ168" s="197">
        <v>0</v>
      </c>
      <c r="AR168" s="10">
        <v>44550</v>
      </c>
      <c r="AS168" t="s">
        <v>124</v>
      </c>
      <c r="AU168" t="s">
        <v>16</v>
      </c>
      <c r="AV168" t="s">
        <v>480</v>
      </c>
      <c r="AW168">
        <v>120</v>
      </c>
      <c r="AX168" s="10">
        <v>44918</v>
      </c>
      <c r="AY168" t="s">
        <v>124</v>
      </c>
      <c r="BA168" t="s">
        <v>16</v>
      </c>
      <c r="BB168" t="s">
        <v>480</v>
      </c>
      <c r="BC168">
        <v>100</v>
      </c>
      <c r="BD168">
        <v>45279</v>
      </c>
      <c r="BE168" t="s">
        <v>124</v>
      </c>
      <c r="BG168" t="s">
        <v>16</v>
      </c>
      <c r="BH168" t="s">
        <v>480</v>
      </c>
      <c r="BI168">
        <v>100</v>
      </c>
      <c r="BJ168">
        <v>45650</v>
      </c>
      <c r="BK168" t="s">
        <v>124</v>
      </c>
      <c r="BL168" t="s">
        <v>16</v>
      </c>
      <c r="BM168" t="s">
        <v>480</v>
      </c>
      <c r="BN168">
        <v>100</v>
      </c>
      <c r="BO168">
        <v>46008</v>
      </c>
      <c r="BP168" t="s">
        <v>124</v>
      </c>
    </row>
    <row r="169" spans="3:68">
      <c r="C169" s="197"/>
      <c r="D169" s="10"/>
      <c r="AI169" t="s">
        <v>118</v>
      </c>
      <c r="AJ169" t="s">
        <v>440</v>
      </c>
      <c r="AK169">
        <v>0</v>
      </c>
      <c r="AL169" s="10">
        <v>44180</v>
      </c>
      <c r="AM169" t="s">
        <v>124</v>
      </c>
      <c r="AO169" t="s">
        <v>118</v>
      </c>
      <c r="AQ169" s="197">
        <v>0</v>
      </c>
      <c r="AR169" s="10">
        <v>44550</v>
      </c>
      <c r="AS169" t="s">
        <v>124</v>
      </c>
      <c r="AU169" t="s">
        <v>179</v>
      </c>
      <c r="AV169" t="s">
        <v>413</v>
      </c>
      <c r="AW169">
        <v>0</v>
      </c>
      <c r="AX169" s="10">
        <v>44918</v>
      </c>
      <c r="AY169" t="s">
        <v>124</v>
      </c>
      <c r="BA169" t="s">
        <v>15</v>
      </c>
      <c r="BB169" t="s">
        <v>413</v>
      </c>
      <c r="BC169">
        <v>0</v>
      </c>
      <c r="BD169">
        <v>45279</v>
      </c>
      <c r="BE169" t="s">
        <v>124</v>
      </c>
      <c r="BG169" t="s">
        <v>15</v>
      </c>
      <c r="BH169" t="s">
        <v>551</v>
      </c>
      <c r="BI169">
        <v>0</v>
      </c>
      <c r="BJ169">
        <v>45650</v>
      </c>
      <c r="BK169" t="s">
        <v>124</v>
      </c>
      <c r="BL169" t="s">
        <v>15</v>
      </c>
      <c r="BM169" t="s">
        <v>413</v>
      </c>
      <c r="BN169">
        <v>0</v>
      </c>
      <c r="BO169">
        <v>46008</v>
      </c>
      <c r="BP169" t="s">
        <v>124</v>
      </c>
    </row>
    <row r="170" spans="3:68">
      <c r="C170" s="197"/>
      <c r="D170" s="10"/>
      <c r="AI170" t="s">
        <v>194</v>
      </c>
      <c r="AJ170" t="s">
        <v>396</v>
      </c>
      <c r="AK170">
        <v>0.5</v>
      </c>
      <c r="AL170" s="10">
        <v>44180</v>
      </c>
      <c r="AM170" t="s">
        <v>124</v>
      </c>
      <c r="AO170" t="s">
        <v>15</v>
      </c>
      <c r="AP170" t="s">
        <v>396</v>
      </c>
      <c r="AQ170" s="197">
        <v>0.5</v>
      </c>
      <c r="AR170" s="10">
        <v>44550</v>
      </c>
      <c r="AS170" t="s">
        <v>124</v>
      </c>
      <c r="AU170" t="s">
        <v>194</v>
      </c>
      <c r="AV170" t="s">
        <v>396</v>
      </c>
      <c r="AW170">
        <v>2</v>
      </c>
      <c r="AX170" s="10">
        <v>44918</v>
      </c>
      <c r="AY170" t="s">
        <v>124</v>
      </c>
      <c r="BA170" t="s">
        <v>194</v>
      </c>
      <c r="BB170" t="s">
        <v>396</v>
      </c>
      <c r="BC170">
        <v>2</v>
      </c>
      <c r="BD170">
        <v>45279</v>
      </c>
      <c r="BE170" t="s">
        <v>124</v>
      </c>
      <c r="BG170" t="s">
        <v>194</v>
      </c>
      <c r="BH170" t="s">
        <v>396</v>
      </c>
      <c r="BI170">
        <v>2</v>
      </c>
      <c r="BJ170">
        <v>45650</v>
      </c>
      <c r="BK170" t="s">
        <v>124</v>
      </c>
      <c r="BL170" t="s">
        <v>194</v>
      </c>
      <c r="BM170" t="s">
        <v>396</v>
      </c>
      <c r="BN170">
        <v>2</v>
      </c>
      <c r="BO170">
        <v>46008</v>
      </c>
      <c r="BP170" t="s">
        <v>124</v>
      </c>
    </row>
    <row r="171" spans="3:68">
      <c r="C171" s="197"/>
      <c r="D171" s="10"/>
    </row>
    <row r="186" spans="3:3">
      <c r="C186" s="9"/>
    </row>
    <row r="187" spans="3:3">
      <c r="C187" s="9"/>
    </row>
    <row r="188" spans="3:3">
      <c r="C188" s="9"/>
    </row>
    <row r="189" spans="3:3">
      <c r="C189" s="9"/>
    </row>
    <row r="190" spans="3:3">
      <c r="C190" s="9"/>
    </row>
    <row r="191" spans="3:3">
      <c r="C191" s="9"/>
    </row>
    <row r="192" spans="3:3">
      <c r="C192" s="9"/>
    </row>
    <row r="193" spans="3:3">
      <c r="C193" s="9"/>
    </row>
    <row r="194" spans="3:3">
      <c r="C194" s="9"/>
    </row>
    <row r="195" spans="3:3">
      <c r="C195" s="9"/>
    </row>
    <row r="196" spans="3:3">
      <c r="C196" s="9"/>
    </row>
    <row r="197" spans="3:3">
      <c r="C197" s="9"/>
    </row>
    <row r="198" spans="3:3">
      <c r="C198" s="9"/>
    </row>
    <row r="199" spans="3:3">
      <c r="C199" s="9"/>
    </row>
    <row r="200" spans="3:3">
      <c r="C200" s="9"/>
    </row>
    <row r="201" spans="3:3">
      <c r="C201" s="9"/>
    </row>
    <row r="202" spans="3:3">
      <c r="C202" s="9"/>
    </row>
    <row r="203" spans="3:3">
      <c r="C203" s="9"/>
    </row>
    <row r="204" spans="3:3">
      <c r="C204" s="9"/>
    </row>
    <row r="205" spans="3:3">
      <c r="C205" s="9"/>
    </row>
    <row r="206" spans="3:3">
      <c r="C206" s="9"/>
    </row>
    <row r="207" spans="3:3">
      <c r="C207" s="9"/>
    </row>
    <row r="208" spans="3:3">
      <c r="C208" s="9"/>
    </row>
    <row r="209" spans="3:3">
      <c r="C209" s="9"/>
    </row>
    <row r="210" spans="3:3">
      <c r="C210" s="9"/>
    </row>
    <row r="211" spans="3:3">
      <c r="C211" s="9"/>
    </row>
    <row r="212" spans="3:3">
      <c r="C212" s="9"/>
    </row>
    <row r="213" spans="3:3">
      <c r="C213" s="9"/>
    </row>
    <row r="214" spans="3:3">
      <c r="C214" s="9"/>
    </row>
    <row r="215" spans="3:3">
      <c r="C215" s="9"/>
    </row>
    <row r="216" spans="3:3">
      <c r="C216" s="9"/>
    </row>
    <row r="217" spans="3:3">
      <c r="C217" s="9"/>
    </row>
    <row r="218" spans="3:3">
      <c r="C218" s="9"/>
    </row>
    <row r="219" spans="3:3">
      <c r="C219" s="9"/>
    </row>
    <row r="220" spans="3:3">
      <c r="C220" s="9"/>
    </row>
    <row r="221" spans="3:3">
      <c r="C221" s="9"/>
    </row>
    <row r="222" spans="3:3">
      <c r="C222" s="9"/>
    </row>
    <row r="223" spans="3:3">
      <c r="C223" s="9"/>
    </row>
    <row r="224" spans="3:3">
      <c r="C224" s="9"/>
    </row>
    <row r="225" spans="3:3">
      <c r="C225" s="9"/>
    </row>
    <row r="226" spans="3:3">
      <c r="C226" s="9"/>
    </row>
    <row r="227" spans="3:3">
      <c r="C227" s="9"/>
    </row>
    <row r="228" spans="3:3">
      <c r="C228" s="9"/>
    </row>
    <row r="229" spans="3:3">
      <c r="C229" s="9"/>
    </row>
    <row r="230" spans="3:3">
      <c r="C230" s="9"/>
    </row>
    <row r="231" spans="3:3">
      <c r="C231" s="9"/>
    </row>
    <row r="232" spans="3:3">
      <c r="C232" s="9"/>
    </row>
    <row r="233" spans="3:3">
      <c r="C233" s="9"/>
    </row>
    <row r="234" spans="3:3">
      <c r="C234" s="9"/>
    </row>
    <row r="235" spans="3:3">
      <c r="C235" s="9"/>
    </row>
    <row r="236" spans="3:3">
      <c r="C236" s="9"/>
    </row>
    <row r="237" spans="3:3">
      <c r="C237" s="9"/>
    </row>
    <row r="238" spans="3:3">
      <c r="C238" s="9"/>
    </row>
    <row r="239" spans="3:3">
      <c r="C239" s="9"/>
    </row>
    <row r="240" spans="3:3">
      <c r="C240" s="9"/>
    </row>
    <row r="241" spans="3:3">
      <c r="C241" s="9"/>
    </row>
    <row r="242" spans="3:3">
      <c r="C242" s="9"/>
    </row>
    <row r="243" spans="3:3">
      <c r="C243" s="9"/>
    </row>
    <row r="244" spans="3:3">
      <c r="C244" s="9"/>
    </row>
    <row r="245" spans="3:3">
      <c r="C245" s="9"/>
    </row>
    <row r="246" spans="3:3">
      <c r="C246" s="9"/>
    </row>
    <row r="247" spans="3:3">
      <c r="C247" s="9"/>
    </row>
    <row r="248" spans="3:3">
      <c r="C248" s="9"/>
    </row>
    <row r="249" spans="3:3">
      <c r="C249" s="9"/>
    </row>
    <row r="250" spans="3:3">
      <c r="C250" s="9"/>
    </row>
    <row r="251" spans="3:3">
      <c r="C251" s="9"/>
    </row>
    <row r="252" spans="3:3">
      <c r="C252" s="9"/>
    </row>
    <row r="253" spans="3:3">
      <c r="C253" s="9"/>
    </row>
    <row r="254" spans="3:3">
      <c r="C254" s="9"/>
    </row>
    <row r="255" spans="3:3">
      <c r="C255" s="9"/>
    </row>
    <row r="256" spans="3:3">
      <c r="C256" s="9"/>
    </row>
    <row r="257" spans="3:3">
      <c r="C257" s="9"/>
    </row>
    <row r="258" spans="3:3">
      <c r="C258" s="9"/>
    </row>
    <row r="259" spans="3:3">
      <c r="C259" s="9"/>
    </row>
    <row r="260" spans="3:3">
      <c r="C260" s="9"/>
    </row>
    <row r="261" spans="3:3">
      <c r="C261" s="9"/>
    </row>
    <row r="262" spans="3:3">
      <c r="C262" s="9"/>
    </row>
    <row r="263" spans="3:3">
      <c r="C263" s="9"/>
    </row>
    <row r="264" spans="3:3">
      <c r="C264" s="9"/>
    </row>
    <row r="265" spans="3:3">
      <c r="C265" s="9"/>
    </row>
    <row r="266" spans="3:3">
      <c r="C266" s="9"/>
    </row>
    <row r="267" spans="3:3">
      <c r="C267" s="9"/>
    </row>
    <row r="268" spans="3:3">
      <c r="C268" s="9"/>
    </row>
    <row r="269" spans="3:3">
      <c r="C269" s="9"/>
    </row>
    <row r="270" spans="3:3">
      <c r="C270" s="9"/>
    </row>
    <row r="271" spans="3:3">
      <c r="C271" s="9"/>
    </row>
    <row r="272" spans="3:3">
      <c r="C272" s="9"/>
    </row>
    <row r="273" spans="3:3">
      <c r="C273" s="9"/>
    </row>
    <row r="274" spans="3:3">
      <c r="C274" s="9"/>
    </row>
    <row r="275" spans="3:3">
      <c r="C275" s="9"/>
    </row>
    <row r="276" spans="3:3">
      <c r="C276" s="9"/>
    </row>
    <row r="277" spans="3:3">
      <c r="C277" s="9"/>
    </row>
    <row r="278" spans="3:3">
      <c r="C278" s="9"/>
    </row>
    <row r="279" spans="3:3">
      <c r="C279" s="9"/>
    </row>
    <row r="280" spans="3:3">
      <c r="C280" s="9"/>
    </row>
    <row r="281" spans="3:3">
      <c r="C281" s="9"/>
    </row>
    <row r="282" spans="3:3">
      <c r="C282" s="9"/>
    </row>
    <row r="283" spans="3:3">
      <c r="C283" s="9"/>
    </row>
    <row r="284" spans="3:3">
      <c r="C284" s="9"/>
    </row>
    <row r="285" spans="3:3">
      <c r="C285" s="9"/>
    </row>
    <row r="286" spans="3:3">
      <c r="C286" s="9"/>
    </row>
    <row r="287" spans="3:3">
      <c r="C287" s="9"/>
    </row>
    <row r="288" spans="3:3">
      <c r="C288" s="9"/>
    </row>
    <row r="289" spans="3:3">
      <c r="C289" s="9"/>
    </row>
    <row r="290" spans="3:3">
      <c r="C290" s="9"/>
    </row>
    <row r="291" spans="3:3">
      <c r="C291" s="9"/>
    </row>
    <row r="292" spans="3:3">
      <c r="C292" s="9"/>
    </row>
    <row r="293" spans="3:3">
      <c r="C293" s="9"/>
    </row>
    <row r="294" spans="3:3">
      <c r="C294" s="9"/>
    </row>
    <row r="295" spans="3:3">
      <c r="C295" s="9"/>
    </row>
    <row r="296" spans="3:3">
      <c r="C296" s="9"/>
    </row>
    <row r="297" spans="3:3">
      <c r="C297" s="9"/>
    </row>
    <row r="298" spans="3:3">
      <c r="C298" s="9"/>
    </row>
    <row r="299" spans="3:3">
      <c r="C299" s="9"/>
    </row>
    <row r="300" spans="3:3">
      <c r="C300" s="9"/>
    </row>
    <row r="301" spans="3:3">
      <c r="C301" s="9"/>
    </row>
    <row r="302" spans="3:3">
      <c r="C302" s="9"/>
    </row>
    <row r="303" spans="3:3">
      <c r="C303" s="9"/>
    </row>
    <row r="304" spans="3:3">
      <c r="C304" s="9"/>
    </row>
    <row r="305" spans="3:3">
      <c r="C305" s="9"/>
    </row>
    <row r="306" spans="3:3">
      <c r="C306" s="9"/>
    </row>
    <row r="307" spans="3:3">
      <c r="C307" s="9"/>
    </row>
    <row r="308" spans="3:3">
      <c r="C308" s="9"/>
    </row>
    <row r="309" spans="3:3">
      <c r="C309" s="9"/>
    </row>
    <row r="310" spans="3:3">
      <c r="C310" s="9"/>
    </row>
    <row r="311" spans="3:3">
      <c r="C311" s="9"/>
    </row>
    <row r="312" spans="3:3">
      <c r="C312" s="9"/>
    </row>
    <row r="313" spans="3:3">
      <c r="C313" s="9"/>
    </row>
    <row r="314" spans="3:3">
      <c r="C314" s="9"/>
    </row>
    <row r="315" spans="3:3">
      <c r="C315" s="9"/>
    </row>
    <row r="316" spans="3:3">
      <c r="C316" s="9"/>
    </row>
    <row r="317" spans="3:3">
      <c r="C317" s="9"/>
    </row>
    <row r="318" spans="3:3">
      <c r="C318" s="9"/>
    </row>
    <row r="319" spans="3:3">
      <c r="C319" s="9"/>
    </row>
    <row r="320" spans="3:3">
      <c r="C320" s="9"/>
    </row>
    <row r="321" spans="3:3">
      <c r="C321" s="9"/>
    </row>
    <row r="322" spans="3:3">
      <c r="C322" s="9"/>
    </row>
    <row r="323" spans="3:3">
      <c r="C323" s="9"/>
    </row>
    <row r="324" spans="3:3">
      <c r="C324" s="9"/>
    </row>
    <row r="325" spans="3:3">
      <c r="C325" s="9"/>
    </row>
    <row r="326" spans="3:3">
      <c r="C326" s="9"/>
    </row>
    <row r="327" spans="3:3">
      <c r="C327" s="9"/>
    </row>
    <row r="328" spans="3:3">
      <c r="C328" s="9"/>
    </row>
    <row r="329" spans="3:3">
      <c r="C329" s="9"/>
    </row>
    <row r="330" spans="3:3">
      <c r="C330" s="9"/>
    </row>
    <row r="331" spans="3:3">
      <c r="C331" s="9"/>
    </row>
    <row r="332" spans="3:3">
      <c r="C332" s="9"/>
    </row>
    <row r="333" spans="3:3">
      <c r="C333" s="9"/>
    </row>
    <row r="334" spans="3:3">
      <c r="C334" s="9"/>
    </row>
    <row r="335" spans="3:3">
      <c r="C335" s="9"/>
    </row>
    <row r="336" spans="3:3">
      <c r="C336" s="9"/>
    </row>
    <row r="337" spans="3:3">
      <c r="C337" s="9"/>
    </row>
    <row r="338" spans="3:3">
      <c r="C338" s="9"/>
    </row>
    <row r="339" spans="3:3">
      <c r="C339" s="9"/>
    </row>
    <row r="340" spans="3:3">
      <c r="C340" s="9"/>
    </row>
    <row r="341" spans="3:3">
      <c r="C341" s="9"/>
    </row>
    <row r="342" spans="3:3">
      <c r="C342" s="9"/>
    </row>
    <row r="343" spans="3:3">
      <c r="C343" s="9"/>
    </row>
    <row r="344" spans="3:3">
      <c r="C344" s="9"/>
    </row>
    <row r="345" spans="3:3">
      <c r="C345" s="9"/>
    </row>
    <row r="346" spans="3:3">
      <c r="C346" s="9"/>
    </row>
    <row r="347" spans="3:3">
      <c r="C347" s="9"/>
    </row>
    <row r="348" spans="3:3">
      <c r="C348" s="9"/>
    </row>
    <row r="349" spans="3:3">
      <c r="C349" s="9"/>
    </row>
    <row r="350" spans="3:3">
      <c r="C350" s="9"/>
    </row>
    <row r="351" spans="3:3">
      <c r="C351" s="9"/>
    </row>
    <row r="352" spans="3:3">
      <c r="C352" s="9"/>
    </row>
    <row r="353" spans="3:3">
      <c r="C353" s="9"/>
    </row>
    <row r="354" spans="3:3">
      <c r="C354" s="9"/>
    </row>
    <row r="355" spans="3:3">
      <c r="C355" s="9"/>
    </row>
    <row r="356" spans="3:3">
      <c r="C356" s="9"/>
    </row>
    <row r="357" spans="3:3">
      <c r="C357" s="9"/>
    </row>
    <row r="358" spans="3:3">
      <c r="C358" s="9"/>
    </row>
    <row r="359" spans="3:3">
      <c r="C359" s="9"/>
    </row>
    <row r="360" spans="3:3">
      <c r="C360" s="9"/>
    </row>
    <row r="361" spans="3:3">
      <c r="C361" s="9"/>
    </row>
    <row r="362" spans="3:3">
      <c r="C362" s="9"/>
    </row>
    <row r="363" spans="3:3">
      <c r="C363" s="9"/>
    </row>
    <row r="364" spans="3:3">
      <c r="C364" s="9"/>
    </row>
    <row r="365" spans="3:3">
      <c r="C365" s="9"/>
    </row>
    <row r="366" spans="3:3">
      <c r="C366" s="9"/>
    </row>
    <row r="367" spans="3:3">
      <c r="C367" s="9"/>
    </row>
    <row r="368" spans="3:3">
      <c r="C368" s="9"/>
    </row>
    <row r="369" spans="3:3">
      <c r="C369" s="9"/>
    </row>
    <row r="370" spans="3:3">
      <c r="C370" s="9"/>
    </row>
    <row r="371" spans="3:3">
      <c r="C371" s="9"/>
    </row>
    <row r="372" spans="3:3">
      <c r="C372" s="9"/>
    </row>
    <row r="373" spans="3:3">
      <c r="C373" s="9"/>
    </row>
    <row r="374" spans="3:3">
      <c r="C374" s="9"/>
    </row>
    <row r="375" spans="3:3">
      <c r="C375" s="9"/>
    </row>
    <row r="376" spans="3:3">
      <c r="C376" s="9"/>
    </row>
    <row r="377" spans="3:3">
      <c r="C377" s="9"/>
    </row>
    <row r="378" spans="3:3">
      <c r="C378" s="9"/>
    </row>
    <row r="379" spans="3:3">
      <c r="C379" s="9"/>
    </row>
    <row r="380" spans="3:3">
      <c r="C380" s="9"/>
    </row>
    <row r="381" spans="3:3">
      <c r="C381" s="9"/>
    </row>
    <row r="382" spans="3:3">
      <c r="C382" s="9"/>
    </row>
    <row r="383" spans="3:3">
      <c r="C383" s="9"/>
    </row>
    <row r="384" spans="3:3">
      <c r="C384" s="9"/>
    </row>
    <row r="385" spans="3:3">
      <c r="C385" s="9"/>
    </row>
    <row r="386" spans="3:3">
      <c r="C386" s="9"/>
    </row>
    <row r="387" spans="3:3">
      <c r="C387" s="9"/>
    </row>
    <row r="388" spans="3:3">
      <c r="C388" s="9"/>
    </row>
    <row r="389" spans="3:3">
      <c r="C389" s="9"/>
    </row>
    <row r="390" spans="3:3">
      <c r="C390" s="9"/>
    </row>
    <row r="391" spans="3:3">
      <c r="C391" s="9"/>
    </row>
    <row r="392" spans="3:3">
      <c r="C392" s="9"/>
    </row>
    <row r="393" spans="3:3">
      <c r="C393" s="9"/>
    </row>
    <row r="394" spans="3:3">
      <c r="C394" s="9"/>
    </row>
    <row r="395" spans="3:3">
      <c r="C395" s="9"/>
    </row>
    <row r="396" spans="3:3">
      <c r="C396" s="9"/>
    </row>
    <row r="397" spans="3:3">
      <c r="C397" s="9"/>
    </row>
    <row r="398" spans="3:3">
      <c r="C398" s="9"/>
    </row>
    <row r="399" spans="3:3">
      <c r="C399" s="9"/>
    </row>
    <row r="400" spans="3:3">
      <c r="C400" s="9"/>
    </row>
    <row r="401" spans="3:3">
      <c r="C401" s="9"/>
    </row>
    <row r="402" spans="3:3">
      <c r="C402" s="9"/>
    </row>
    <row r="403" spans="3:3">
      <c r="C403" s="9"/>
    </row>
    <row r="404" spans="3:3">
      <c r="C404" s="9"/>
    </row>
    <row r="405" spans="3:3">
      <c r="C405" s="9"/>
    </row>
    <row r="406" spans="3:3">
      <c r="C406" s="9"/>
    </row>
    <row r="407" spans="3:3">
      <c r="C407" s="9"/>
    </row>
    <row r="408" spans="3:3">
      <c r="C408" s="9"/>
    </row>
    <row r="409" spans="3:3">
      <c r="C409" s="9"/>
    </row>
    <row r="410" spans="3:3">
      <c r="C410" s="9"/>
    </row>
    <row r="411" spans="3:3">
      <c r="C411" s="9"/>
    </row>
    <row r="412" spans="3:3">
      <c r="C412" s="9"/>
    </row>
    <row r="413" spans="3:3">
      <c r="C413" s="9"/>
    </row>
    <row r="414" spans="3:3">
      <c r="C414" s="9"/>
    </row>
    <row r="415" spans="3:3">
      <c r="C415" s="9"/>
    </row>
    <row r="416" spans="3:3">
      <c r="C416" s="9"/>
    </row>
    <row r="417" spans="3:3">
      <c r="C417" s="9"/>
    </row>
    <row r="418" spans="3:3">
      <c r="C418" s="9"/>
    </row>
    <row r="419" spans="3:3">
      <c r="C419" s="9"/>
    </row>
    <row r="420" spans="3:3">
      <c r="C420" s="9"/>
    </row>
    <row r="421" spans="3:3">
      <c r="C421" s="9"/>
    </row>
    <row r="422" spans="3:3">
      <c r="C422" s="9"/>
    </row>
    <row r="423" spans="3:3">
      <c r="C423" s="9"/>
    </row>
    <row r="424" spans="3:3">
      <c r="C424" s="9"/>
    </row>
    <row r="425" spans="3:3">
      <c r="C425" s="9"/>
    </row>
    <row r="426" spans="3:3">
      <c r="C426" s="9"/>
    </row>
    <row r="427" spans="3:3">
      <c r="C427" s="9"/>
    </row>
    <row r="428" spans="3:3">
      <c r="C428" s="9"/>
    </row>
    <row r="429" spans="3:3">
      <c r="C429" s="9"/>
    </row>
    <row r="430" spans="3:3">
      <c r="C430" s="9"/>
    </row>
    <row r="431" spans="3:3">
      <c r="C431" s="9"/>
    </row>
    <row r="432" spans="3:3">
      <c r="C432" s="9"/>
    </row>
    <row r="433" spans="3:3">
      <c r="C433" s="9"/>
    </row>
    <row r="434" spans="3:3">
      <c r="C434" s="9"/>
    </row>
    <row r="435" spans="3:3">
      <c r="C435" s="9"/>
    </row>
    <row r="436" spans="3:3">
      <c r="C436" s="9"/>
    </row>
    <row r="437" spans="3:3">
      <c r="C437" s="9"/>
    </row>
    <row r="438" spans="3:3">
      <c r="C438" s="9"/>
    </row>
    <row r="439" spans="3:3">
      <c r="C439" s="9"/>
    </row>
    <row r="440" spans="3:3">
      <c r="C440" s="9"/>
    </row>
    <row r="441" spans="3:3">
      <c r="C441" s="9"/>
    </row>
    <row r="442" spans="3:3">
      <c r="C442" s="9"/>
    </row>
    <row r="443" spans="3:3">
      <c r="C443" s="9"/>
    </row>
    <row r="444" spans="3:3">
      <c r="C444" s="9"/>
    </row>
    <row r="445" spans="3:3">
      <c r="C445" s="9"/>
    </row>
    <row r="446" spans="3:3">
      <c r="C446" s="9"/>
    </row>
    <row r="447" spans="3:3">
      <c r="C447" s="9"/>
    </row>
    <row r="448" spans="3:3">
      <c r="C448" s="9"/>
    </row>
    <row r="449" spans="3:3">
      <c r="C449" s="9"/>
    </row>
    <row r="450" spans="3:3">
      <c r="C450" s="9"/>
    </row>
    <row r="451" spans="3:3">
      <c r="C451" s="9"/>
    </row>
    <row r="452" spans="3:3">
      <c r="C452" s="9"/>
    </row>
    <row r="453" spans="3:3">
      <c r="C453" s="9"/>
    </row>
    <row r="454" spans="3:3">
      <c r="C454" s="9"/>
    </row>
    <row r="455" spans="3:3">
      <c r="C455" s="9"/>
    </row>
    <row r="456" spans="3:3">
      <c r="C456" s="9"/>
    </row>
    <row r="457" spans="3:3">
      <c r="C457" s="9"/>
    </row>
    <row r="458" spans="3:3">
      <c r="C458" s="9"/>
    </row>
    <row r="459" spans="3:3">
      <c r="C459" s="9"/>
    </row>
    <row r="460" spans="3:3">
      <c r="C460" s="9"/>
    </row>
    <row r="461" spans="3:3">
      <c r="C461" s="9"/>
    </row>
    <row r="462" spans="3:3">
      <c r="C462" s="9"/>
    </row>
    <row r="463" spans="3:3">
      <c r="C463" s="9"/>
    </row>
    <row r="464" spans="3:3">
      <c r="C464" s="9"/>
    </row>
    <row r="465" spans="3:3">
      <c r="C465" s="9"/>
    </row>
    <row r="466" spans="3:3">
      <c r="C466" s="9"/>
    </row>
    <row r="467" spans="3:3">
      <c r="C467" s="9"/>
    </row>
    <row r="468" spans="3:3">
      <c r="C468" s="9"/>
    </row>
    <row r="469" spans="3:3">
      <c r="C469" s="9"/>
    </row>
    <row r="470" spans="3:3">
      <c r="C470" s="9"/>
    </row>
    <row r="471" spans="3:3">
      <c r="C471" s="9"/>
    </row>
    <row r="472" spans="3:3">
      <c r="C472" s="9"/>
    </row>
    <row r="473" spans="3:3">
      <c r="C473" s="9"/>
    </row>
    <row r="474" spans="3:3">
      <c r="C474" s="9"/>
    </row>
    <row r="475" spans="3:3">
      <c r="C475" s="9"/>
    </row>
    <row r="476" spans="3:3">
      <c r="C476" s="9"/>
    </row>
    <row r="477" spans="3:3">
      <c r="C477" s="9"/>
    </row>
    <row r="478" spans="3:3">
      <c r="C478" s="9"/>
    </row>
    <row r="479" spans="3:3">
      <c r="C479" s="9"/>
    </row>
    <row r="480" spans="3:3">
      <c r="C480" s="9"/>
    </row>
    <row r="481" spans="3:4">
      <c r="C481" s="9"/>
    </row>
    <row r="482" spans="3:4">
      <c r="C482" s="9"/>
    </row>
    <row r="483" spans="3:4">
      <c r="C483" s="9"/>
    </row>
    <row r="484" spans="3:4">
      <c r="C484" s="9"/>
    </row>
    <row r="485" spans="3:4">
      <c r="C485" s="9"/>
    </row>
    <row r="486" spans="3:4">
      <c r="C486" s="9"/>
    </row>
    <row r="487" spans="3:4">
      <c r="C487" s="9"/>
    </row>
    <row r="488" spans="3:4">
      <c r="C488" s="9"/>
    </row>
    <row r="489" spans="3:4">
      <c r="C489" s="9"/>
    </row>
    <row r="490" spans="3:4">
      <c r="C490" s="9"/>
    </row>
    <row r="491" spans="3:4">
      <c r="C491" s="9"/>
    </row>
    <row r="492" spans="3:4">
      <c r="C492" s="9"/>
      <c r="D492" s="10"/>
    </row>
    <row r="493" spans="3:4">
      <c r="C493" s="9"/>
    </row>
    <row r="494" spans="3:4">
      <c r="C494" s="9"/>
    </row>
    <row r="495" spans="3:4">
      <c r="C495" s="9"/>
    </row>
    <row r="496" spans="3:4">
      <c r="C496" s="9"/>
    </row>
    <row r="497" spans="3:3">
      <c r="C497" s="9"/>
    </row>
    <row r="498" spans="3:3">
      <c r="C498" s="9"/>
    </row>
    <row r="499" spans="3:3">
      <c r="C499" s="9"/>
    </row>
    <row r="500" spans="3:3">
      <c r="C500" s="9"/>
    </row>
    <row r="501" spans="3:3">
      <c r="C501" s="9"/>
    </row>
    <row r="502" spans="3:3">
      <c r="C502" s="9"/>
    </row>
    <row r="503" spans="3:3">
      <c r="C503" s="9"/>
    </row>
    <row r="504" spans="3:3">
      <c r="C504" s="9"/>
    </row>
    <row r="505" spans="3:3">
      <c r="C505" s="9"/>
    </row>
    <row r="506" spans="3:3">
      <c r="C506" s="9"/>
    </row>
    <row r="507" spans="3:3">
      <c r="C507" s="9"/>
    </row>
    <row r="508" spans="3:3">
      <c r="C508" s="9"/>
    </row>
    <row r="509" spans="3:3">
      <c r="C509" s="9"/>
    </row>
    <row r="510" spans="3:3">
      <c r="C510" s="9"/>
    </row>
    <row r="511" spans="3:3">
      <c r="C511" s="9"/>
    </row>
    <row r="512" spans="3:3">
      <c r="C512" s="9"/>
    </row>
    <row r="513" spans="3:3">
      <c r="C513" s="9"/>
    </row>
    <row r="514" spans="3:3">
      <c r="C514" s="9"/>
    </row>
    <row r="515" spans="3:3">
      <c r="C515" s="9"/>
    </row>
    <row r="516" spans="3:3">
      <c r="C516" s="9"/>
    </row>
    <row r="517" spans="3:3">
      <c r="C517" s="9"/>
    </row>
    <row r="518" spans="3:3">
      <c r="C518" s="9"/>
    </row>
    <row r="519" spans="3:3">
      <c r="C519" s="9"/>
    </row>
    <row r="520" spans="3:3">
      <c r="C520" s="9"/>
    </row>
    <row r="521" spans="3:3">
      <c r="C521" s="9"/>
    </row>
    <row r="522" spans="3:3">
      <c r="C522" s="9"/>
    </row>
    <row r="523" spans="3:3">
      <c r="C523" s="9"/>
    </row>
    <row r="524" spans="3:3">
      <c r="C524" s="9"/>
    </row>
    <row r="525" spans="3:3">
      <c r="C525" s="9"/>
    </row>
    <row r="526" spans="3:3">
      <c r="C526" s="9"/>
    </row>
    <row r="527" spans="3:3">
      <c r="C527" s="9"/>
    </row>
    <row r="528" spans="3:3">
      <c r="C528" s="9"/>
    </row>
    <row r="529" spans="3:3">
      <c r="C529" s="9"/>
    </row>
    <row r="530" spans="3:3">
      <c r="C530" s="9"/>
    </row>
    <row r="531" spans="3:3">
      <c r="C531" s="9"/>
    </row>
    <row r="532" spans="3:3">
      <c r="C532" s="9"/>
    </row>
    <row r="533" spans="3:3">
      <c r="C533" s="9"/>
    </row>
    <row r="534" spans="3:3">
      <c r="C534" s="9"/>
    </row>
    <row r="535" spans="3:3">
      <c r="C535" s="9"/>
    </row>
    <row r="536" spans="3:3">
      <c r="C536" s="9"/>
    </row>
    <row r="537" spans="3:3">
      <c r="C537" s="9"/>
    </row>
    <row r="538" spans="3:3">
      <c r="C538" s="9"/>
    </row>
    <row r="539" spans="3:3">
      <c r="C539" s="9"/>
    </row>
    <row r="540" spans="3:3">
      <c r="C540" s="9"/>
    </row>
    <row r="541" spans="3:3">
      <c r="C541" s="9"/>
    </row>
    <row r="542" spans="3:3">
      <c r="C542" s="9"/>
    </row>
    <row r="543" spans="3:3">
      <c r="C543" s="9"/>
    </row>
    <row r="544" spans="3:3">
      <c r="C544" s="9"/>
    </row>
    <row r="545" spans="3:3">
      <c r="C545" s="9"/>
    </row>
    <row r="546" spans="3:3">
      <c r="C546" s="9"/>
    </row>
    <row r="547" spans="3:3">
      <c r="C547" s="9"/>
    </row>
    <row r="548" spans="3:3">
      <c r="C548" s="9"/>
    </row>
    <row r="549" spans="3:3">
      <c r="C549" s="9"/>
    </row>
    <row r="550" spans="3:3">
      <c r="C550" s="9"/>
    </row>
    <row r="551" spans="3:3">
      <c r="C551" s="9"/>
    </row>
    <row r="552" spans="3:3">
      <c r="C552" s="9"/>
    </row>
    <row r="553" spans="3:3">
      <c r="C553" s="9"/>
    </row>
    <row r="554" spans="3:3">
      <c r="C554" s="9"/>
    </row>
    <row r="555" spans="3:3">
      <c r="C555" s="9"/>
    </row>
    <row r="556" spans="3:3">
      <c r="C556" s="9"/>
    </row>
    <row r="557" spans="3:3">
      <c r="C557" s="9"/>
    </row>
    <row r="558" spans="3:3">
      <c r="C558" s="9"/>
    </row>
    <row r="559" spans="3:3">
      <c r="C559" s="9"/>
    </row>
    <row r="560" spans="3:3">
      <c r="C560" s="9"/>
    </row>
    <row r="561" spans="3:3">
      <c r="C561" s="9"/>
    </row>
    <row r="562" spans="3:3">
      <c r="C562" s="9"/>
    </row>
    <row r="563" spans="3:3">
      <c r="C563" s="9"/>
    </row>
    <row r="564" spans="3:3">
      <c r="C564" s="9"/>
    </row>
    <row r="565" spans="3:3">
      <c r="C565" s="9"/>
    </row>
    <row r="566" spans="3:3">
      <c r="C566" s="9"/>
    </row>
    <row r="567" spans="3:3">
      <c r="C567" s="9"/>
    </row>
    <row r="568" spans="3:3">
      <c r="C568" s="9"/>
    </row>
    <row r="569" spans="3:3">
      <c r="C569" s="9"/>
    </row>
    <row r="570" spans="3:3">
      <c r="C570" s="9"/>
    </row>
    <row r="571" spans="3:3">
      <c r="C571" s="9"/>
    </row>
    <row r="572" spans="3:3">
      <c r="C572" s="9"/>
    </row>
    <row r="573" spans="3:3">
      <c r="C573" s="9"/>
    </row>
    <row r="574" spans="3:3">
      <c r="C574" s="9"/>
    </row>
    <row r="575" spans="3:3">
      <c r="C575" s="9"/>
    </row>
    <row r="576" spans="3:3">
      <c r="C576" s="9"/>
    </row>
    <row r="577" spans="3:3">
      <c r="C577" s="9"/>
    </row>
    <row r="578" spans="3:3">
      <c r="C578" s="9"/>
    </row>
    <row r="579" spans="3:3">
      <c r="C579" s="9"/>
    </row>
    <row r="580" spans="3:3">
      <c r="C580" s="9"/>
    </row>
    <row r="581" spans="3:3">
      <c r="C581" s="9"/>
    </row>
    <row r="582" spans="3:3">
      <c r="C582" s="9"/>
    </row>
    <row r="583" spans="3:3">
      <c r="C583" s="9"/>
    </row>
    <row r="584" spans="3:3">
      <c r="C584" s="9"/>
    </row>
    <row r="585" spans="3:3">
      <c r="C585" s="9"/>
    </row>
    <row r="586" spans="3:3">
      <c r="C586" s="9"/>
    </row>
    <row r="587" spans="3:3">
      <c r="C587" s="9"/>
    </row>
    <row r="588" spans="3:3">
      <c r="C588" s="9"/>
    </row>
    <row r="589" spans="3:3">
      <c r="C589" s="9"/>
    </row>
    <row r="590" spans="3:3">
      <c r="C590" s="9"/>
    </row>
    <row r="591" spans="3:3">
      <c r="C591" s="9"/>
    </row>
    <row r="592" spans="3:3">
      <c r="C592" s="9"/>
    </row>
    <row r="593" spans="3:3">
      <c r="C593" s="9"/>
    </row>
    <row r="594" spans="3:3">
      <c r="C594" s="9"/>
    </row>
    <row r="595" spans="3:3">
      <c r="C595" s="9"/>
    </row>
    <row r="596" spans="3:3">
      <c r="C596" s="9"/>
    </row>
    <row r="597" spans="3:3">
      <c r="C597" s="9"/>
    </row>
    <row r="598" spans="3:3">
      <c r="C598" s="9"/>
    </row>
    <row r="599" spans="3:3">
      <c r="C599" s="9"/>
    </row>
    <row r="600" spans="3:3">
      <c r="C600" s="9"/>
    </row>
    <row r="601" spans="3:3">
      <c r="C601" s="9"/>
    </row>
    <row r="602" spans="3:3">
      <c r="C602" s="9"/>
    </row>
    <row r="603" spans="3:3">
      <c r="C603" s="9"/>
    </row>
    <row r="604" spans="3:3">
      <c r="C604" s="9"/>
    </row>
    <row r="605" spans="3:3">
      <c r="C605" s="9"/>
    </row>
    <row r="606" spans="3:3">
      <c r="C606" s="9"/>
    </row>
    <row r="607" spans="3:3">
      <c r="C607" s="9"/>
    </row>
    <row r="608" spans="3:3">
      <c r="C608" s="9"/>
    </row>
    <row r="609" spans="3:3">
      <c r="C609" s="9"/>
    </row>
    <row r="610" spans="3:3">
      <c r="C610" s="9"/>
    </row>
    <row r="611" spans="3:3">
      <c r="C611" s="9"/>
    </row>
    <row r="612" spans="3:3">
      <c r="C612" s="9"/>
    </row>
    <row r="613" spans="3:3">
      <c r="C613" s="9"/>
    </row>
    <row r="614" spans="3:3">
      <c r="C614" s="9"/>
    </row>
    <row r="615" spans="3:3">
      <c r="C615" s="9"/>
    </row>
    <row r="616" spans="3:3">
      <c r="C616" s="9"/>
    </row>
    <row r="617" spans="3:3">
      <c r="C617" s="9"/>
    </row>
    <row r="618" spans="3:3">
      <c r="C618" s="9"/>
    </row>
    <row r="619" spans="3:3">
      <c r="C619" s="9"/>
    </row>
    <row r="620" spans="3:3">
      <c r="C620" s="9"/>
    </row>
    <row r="621" spans="3:3">
      <c r="C621" s="9"/>
    </row>
    <row r="622" spans="3:3">
      <c r="C622" s="9"/>
    </row>
    <row r="623" spans="3:3">
      <c r="C623" s="9"/>
    </row>
    <row r="624" spans="3:3">
      <c r="C624" s="9"/>
    </row>
    <row r="625" spans="3:3">
      <c r="C625" s="9"/>
    </row>
    <row r="626" spans="3:3">
      <c r="C626" s="9"/>
    </row>
    <row r="627" spans="3:3">
      <c r="C627" s="9"/>
    </row>
    <row r="628" spans="3:3">
      <c r="C628" s="9"/>
    </row>
    <row r="629" spans="3:3">
      <c r="C629" s="9"/>
    </row>
    <row r="630" spans="3:3">
      <c r="C630" s="9"/>
    </row>
    <row r="631" spans="3:3">
      <c r="C631" s="9"/>
    </row>
    <row r="632" spans="3:3">
      <c r="C632" s="9"/>
    </row>
    <row r="633" spans="3:3">
      <c r="C633" s="9"/>
    </row>
    <row r="634" spans="3:3">
      <c r="C634" s="9"/>
    </row>
    <row r="635" spans="3:3">
      <c r="C635" s="9"/>
    </row>
    <row r="636" spans="3:3">
      <c r="C636" s="9"/>
    </row>
    <row r="637" spans="3:3">
      <c r="C637" s="9"/>
    </row>
    <row r="638" spans="3:3">
      <c r="C638" s="9"/>
    </row>
    <row r="639" spans="3:3">
      <c r="C639" s="9"/>
    </row>
    <row r="640" spans="3:3">
      <c r="C640" s="9"/>
    </row>
    <row r="641" spans="3:3">
      <c r="C641" s="9"/>
    </row>
    <row r="642" spans="3:3">
      <c r="C642" s="9"/>
    </row>
    <row r="643" spans="3:3">
      <c r="C643" s="9"/>
    </row>
    <row r="644" spans="3:3">
      <c r="C644" s="9"/>
    </row>
    <row r="645" spans="3:3">
      <c r="C645" s="9"/>
    </row>
    <row r="646" spans="3:3">
      <c r="C646" s="9"/>
    </row>
    <row r="647" spans="3:3">
      <c r="C647" s="9"/>
    </row>
    <row r="648" spans="3:3">
      <c r="C648" s="9"/>
    </row>
    <row r="649" spans="3:3">
      <c r="C649" s="9"/>
    </row>
    <row r="650" spans="3:3">
      <c r="C650" s="9"/>
    </row>
    <row r="651" spans="3:3">
      <c r="C651" s="9"/>
    </row>
    <row r="652" spans="3:3">
      <c r="C652" s="9"/>
    </row>
    <row r="653" spans="3:3">
      <c r="C653" s="9"/>
    </row>
    <row r="654" spans="3:3">
      <c r="C654" s="9"/>
    </row>
    <row r="655" spans="3:3">
      <c r="C655" s="9"/>
    </row>
    <row r="656" spans="3:3">
      <c r="C656" s="9"/>
    </row>
    <row r="657" spans="3:3">
      <c r="C657" s="9"/>
    </row>
    <row r="658" spans="3:3">
      <c r="C658" s="9"/>
    </row>
    <row r="659" spans="3:3">
      <c r="C659" s="9"/>
    </row>
    <row r="660" spans="3:3">
      <c r="C660" s="9"/>
    </row>
    <row r="661" spans="3:3">
      <c r="C661" s="9"/>
    </row>
    <row r="662" spans="3:3">
      <c r="C662" s="9"/>
    </row>
    <row r="663" spans="3:3">
      <c r="C663" s="9"/>
    </row>
    <row r="664" spans="3:3">
      <c r="C664" s="9"/>
    </row>
    <row r="665" spans="3:3">
      <c r="C665" s="9"/>
    </row>
    <row r="666" spans="3:3">
      <c r="C666" s="9"/>
    </row>
    <row r="667" spans="3:3">
      <c r="C667" s="9"/>
    </row>
    <row r="668" spans="3:3">
      <c r="C668" s="9"/>
    </row>
    <row r="669" spans="3:3">
      <c r="C669" s="9"/>
    </row>
    <row r="670" spans="3:3">
      <c r="C670" s="9"/>
    </row>
    <row r="671" spans="3:3">
      <c r="C671" s="9"/>
    </row>
    <row r="672" spans="3:3">
      <c r="C672" s="9"/>
    </row>
    <row r="673" spans="3:3">
      <c r="C673" s="9"/>
    </row>
    <row r="674" spans="3:3">
      <c r="C674" s="9"/>
    </row>
    <row r="675" spans="3:3">
      <c r="C675" s="9"/>
    </row>
    <row r="676" spans="3:3">
      <c r="C676" s="9"/>
    </row>
    <row r="677" spans="3:3">
      <c r="C677" s="9"/>
    </row>
    <row r="678" spans="3:3">
      <c r="C678" s="9"/>
    </row>
    <row r="679" spans="3:3">
      <c r="C679" s="9"/>
    </row>
    <row r="680" spans="3:3">
      <c r="C680" s="9"/>
    </row>
    <row r="681" spans="3:3">
      <c r="C681" s="9"/>
    </row>
    <row r="682" spans="3:3">
      <c r="C682" s="9"/>
    </row>
    <row r="683" spans="3:3">
      <c r="C683" s="9"/>
    </row>
    <row r="684" spans="3:3">
      <c r="C684" s="9"/>
    </row>
    <row r="685" spans="3:3">
      <c r="C685" s="9"/>
    </row>
    <row r="686" spans="3:3">
      <c r="C686" s="9"/>
    </row>
    <row r="687" spans="3:3">
      <c r="C687" s="9"/>
    </row>
    <row r="688" spans="3:3">
      <c r="C688" s="9"/>
    </row>
    <row r="689" spans="3:3">
      <c r="C689" s="9"/>
    </row>
    <row r="690" spans="3:3">
      <c r="C690" s="9"/>
    </row>
    <row r="691" spans="3:3">
      <c r="C691" s="9"/>
    </row>
    <row r="692" spans="3:3">
      <c r="C692" s="9"/>
    </row>
    <row r="693" spans="3:3">
      <c r="C693" s="9"/>
    </row>
    <row r="694" spans="3:3">
      <c r="C694" s="9"/>
    </row>
    <row r="695" spans="3:3">
      <c r="C695" s="9"/>
    </row>
    <row r="696" spans="3:3">
      <c r="C696" s="9"/>
    </row>
    <row r="697" spans="3:3">
      <c r="C697" s="9"/>
    </row>
    <row r="698" spans="3:3">
      <c r="C698" s="9"/>
    </row>
    <row r="699" spans="3:3">
      <c r="C699" s="9"/>
    </row>
    <row r="700" spans="3:3">
      <c r="C700" s="9"/>
    </row>
    <row r="701" spans="3:3">
      <c r="C701" s="9"/>
    </row>
    <row r="702" spans="3:3">
      <c r="C702" s="9"/>
    </row>
    <row r="703" spans="3:3">
      <c r="C703" s="9"/>
    </row>
    <row r="704" spans="3:3">
      <c r="C704" s="9"/>
    </row>
    <row r="705" spans="3:3">
      <c r="C705" s="9"/>
    </row>
    <row r="706" spans="3:3">
      <c r="C706" s="9"/>
    </row>
    <row r="707" spans="3:3">
      <c r="C707" s="9"/>
    </row>
    <row r="708" spans="3:3">
      <c r="C708" s="9"/>
    </row>
    <row r="709" spans="3:3">
      <c r="C709" s="9"/>
    </row>
    <row r="710" spans="3:3">
      <c r="C710" s="9"/>
    </row>
    <row r="711" spans="3:3">
      <c r="C711" s="9"/>
    </row>
    <row r="712" spans="3:3">
      <c r="C712" s="9"/>
    </row>
    <row r="713" spans="3:3">
      <c r="C713" s="9"/>
    </row>
    <row r="714" spans="3:3">
      <c r="C714" s="9"/>
    </row>
    <row r="715" spans="3:3">
      <c r="C715" s="9"/>
    </row>
    <row r="716" spans="3:3">
      <c r="C716" s="9"/>
    </row>
    <row r="717" spans="3:3">
      <c r="C717" s="9"/>
    </row>
    <row r="718" spans="3:3">
      <c r="C718" s="9"/>
    </row>
    <row r="719" spans="3:3">
      <c r="C719" s="9"/>
    </row>
    <row r="720" spans="3:3">
      <c r="C720" s="9"/>
    </row>
    <row r="721" spans="3:3">
      <c r="C721" s="9"/>
    </row>
    <row r="722" spans="3:3">
      <c r="C722" s="9"/>
    </row>
    <row r="723" spans="3:3">
      <c r="C723" s="9"/>
    </row>
    <row r="724" spans="3:3">
      <c r="C724" s="9"/>
    </row>
    <row r="725" spans="3:3">
      <c r="C725" s="9"/>
    </row>
    <row r="726" spans="3:3">
      <c r="C726" s="9"/>
    </row>
    <row r="727" spans="3:3">
      <c r="C727" s="9"/>
    </row>
    <row r="728" spans="3:3">
      <c r="C728" s="9"/>
    </row>
    <row r="729" spans="3:3">
      <c r="C729" s="9"/>
    </row>
    <row r="730" spans="3:3">
      <c r="C730" s="9"/>
    </row>
    <row r="731" spans="3:3">
      <c r="C731" s="9"/>
    </row>
    <row r="732" spans="3:3">
      <c r="C732" s="9"/>
    </row>
    <row r="733" spans="3:3">
      <c r="C733" s="9"/>
    </row>
    <row r="734" spans="3:3">
      <c r="C734" s="9"/>
    </row>
    <row r="735" spans="3:3">
      <c r="C735" s="9"/>
    </row>
    <row r="736" spans="3:3">
      <c r="C736" s="9"/>
    </row>
    <row r="737" spans="3:3">
      <c r="C737" s="9"/>
    </row>
    <row r="738" spans="3:3">
      <c r="C738" s="9"/>
    </row>
    <row r="739" spans="3:3">
      <c r="C739" s="9"/>
    </row>
    <row r="740" spans="3:3">
      <c r="C740" s="9"/>
    </row>
    <row r="741" spans="3:3">
      <c r="C741" s="9"/>
    </row>
    <row r="742" spans="3:3">
      <c r="C742" s="9"/>
    </row>
    <row r="743" spans="3:3">
      <c r="C743" s="9"/>
    </row>
    <row r="744" spans="3:3">
      <c r="C744" s="9"/>
    </row>
    <row r="745" spans="3:3">
      <c r="C745" s="9"/>
    </row>
    <row r="746" spans="3:3">
      <c r="C746" s="9"/>
    </row>
    <row r="747" spans="3:3">
      <c r="C747" s="9"/>
    </row>
    <row r="748" spans="3:3">
      <c r="C748" s="9"/>
    </row>
    <row r="749" spans="3:3">
      <c r="C749" s="9"/>
    </row>
    <row r="750" spans="3:3">
      <c r="C750" s="9"/>
    </row>
    <row r="751" spans="3:3">
      <c r="C751" s="9"/>
    </row>
    <row r="752" spans="3:3">
      <c r="C752" s="9"/>
    </row>
    <row r="753" spans="3:3">
      <c r="C753" s="9"/>
    </row>
    <row r="754" spans="3:3">
      <c r="C754" s="9"/>
    </row>
    <row r="755" spans="3:3">
      <c r="C755" s="9"/>
    </row>
    <row r="756" spans="3:3">
      <c r="C756" s="9"/>
    </row>
    <row r="757" spans="3:3">
      <c r="C757" s="9"/>
    </row>
    <row r="758" spans="3:3">
      <c r="C758" s="9"/>
    </row>
    <row r="759" spans="3:3">
      <c r="C759" s="9"/>
    </row>
    <row r="760" spans="3:3">
      <c r="C760" s="9"/>
    </row>
    <row r="761" spans="3:3">
      <c r="C761" s="9"/>
    </row>
    <row r="762" spans="3:3">
      <c r="C762" s="9"/>
    </row>
    <row r="763" spans="3:3">
      <c r="C763" s="9"/>
    </row>
    <row r="764" spans="3:3">
      <c r="C764" s="9"/>
    </row>
    <row r="765" spans="3:3">
      <c r="C765" s="9"/>
    </row>
    <row r="766" spans="3:3">
      <c r="C766" s="9"/>
    </row>
    <row r="767" spans="3:3">
      <c r="C767" s="9"/>
    </row>
    <row r="768" spans="3:3">
      <c r="C768" s="9"/>
    </row>
    <row r="769" spans="3:3">
      <c r="C769" s="9"/>
    </row>
    <row r="770" spans="3:3">
      <c r="C770" s="9"/>
    </row>
    <row r="771" spans="3:3">
      <c r="C771" s="9"/>
    </row>
    <row r="772" spans="3:3">
      <c r="C772" s="9"/>
    </row>
    <row r="773" spans="3:3">
      <c r="C773" s="9"/>
    </row>
    <row r="774" spans="3:3">
      <c r="C774" s="9"/>
    </row>
    <row r="775" spans="3:3">
      <c r="C775" s="9"/>
    </row>
    <row r="776" spans="3:3">
      <c r="C776" s="9"/>
    </row>
    <row r="777" spans="3:3">
      <c r="C777" s="9"/>
    </row>
    <row r="778" spans="3:3">
      <c r="C778" s="9"/>
    </row>
    <row r="779" spans="3:3">
      <c r="C779" s="9"/>
    </row>
    <row r="780" spans="3:3">
      <c r="C780" s="9"/>
    </row>
    <row r="781" spans="3:3">
      <c r="C781" s="9"/>
    </row>
    <row r="782" spans="3:3">
      <c r="C782" s="9"/>
    </row>
    <row r="783" spans="3:3">
      <c r="C783" s="9"/>
    </row>
    <row r="784" spans="3:3">
      <c r="C784" s="9"/>
    </row>
    <row r="785" spans="3:3">
      <c r="C785" s="9"/>
    </row>
  </sheetData>
  <mergeCells count="7">
    <mergeCell ref="BL2:BP2"/>
    <mergeCell ref="AO2:AS2"/>
    <mergeCell ref="A1:G2"/>
    <mergeCell ref="Q2:U2"/>
    <mergeCell ref="W2:AA2"/>
    <mergeCell ref="AC2:AG2"/>
    <mergeCell ref="AI2:AM2"/>
  </mergeCells>
  <phoneticPr fontId="28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32AF446-277A-4E9A-8501-2313BFF47AE2}">
          <x14:formula1>
            <xm:f>PROPIETARIOS!$A$4:$A$38</xm:f>
          </x14:formula1>
          <xm:sqref>G35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AT85"/>
  <sheetViews>
    <sheetView tabSelected="1" topLeftCell="A41" zoomScale="80" zoomScaleNormal="80" workbookViewId="0">
      <selection activeCell="C44" sqref="C44:AT83"/>
    </sheetView>
  </sheetViews>
  <sheetFormatPr baseColWidth="10" defaultRowHeight="15"/>
  <cols>
    <col min="1" max="1" width="15.5703125" bestFit="1" customWidth="1"/>
    <col min="2" max="2" width="10.28515625" customWidth="1"/>
    <col min="3" max="3" width="13.42578125" customWidth="1"/>
    <col min="4" max="14" width="11.42578125" hidden="1" customWidth="1"/>
    <col min="15" max="33" width="0" hidden="1" customWidth="1"/>
  </cols>
  <sheetData>
    <row r="1" spans="3:3">
      <c r="C1" s="2" t="s">
        <v>336</v>
      </c>
    </row>
    <row r="2" spans="3:3">
      <c r="C2" s="175" t="s">
        <v>335</v>
      </c>
    </row>
    <row r="3" spans="3:3" ht="15" customHeight="1">
      <c r="C3" s="177" t="s">
        <v>12</v>
      </c>
    </row>
    <row r="4" spans="3:3" ht="15" customHeight="1">
      <c r="C4" s="177" t="s">
        <v>17</v>
      </c>
    </row>
    <row r="5" spans="3:3" ht="15" customHeight="1">
      <c r="C5" s="177" t="s">
        <v>18</v>
      </c>
    </row>
    <row r="6" spans="3:3" ht="15" customHeight="1">
      <c r="C6" s="177" t="s">
        <v>19</v>
      </c>
    </row>
    <row r="7" spans="3:3" ht="15" customHeight="1">
      <c r="C7" s="177" t="s">
        <v>21</v>
      </c>
    </row>
    <row r="8" spans="3:3" ht="15" customHeight="1">
      <c r="C8" s="177" t="s">
        <v>23</v>
      </c>
    </row>
    <row r="9" spans="3:3" ht="15" customHeight="1">
      <c r="C9" s="177" t="s">
        <v>25</v>
      </c>
    </row>
    <row r="10" spans="3:3" ht="15" customHeight="1">
      <c r="C10" s="177" t="s">
        <v>27</v>
      </c>
    </row>
    <row r="11" spans="3:3" ht="15" customHeight="1">
      <c r="C11" s="177" t="s">
        <v>29</v>
      </c>
    </row>
    <row r="12" spans="3:3" ht="15" customHeight="1">
      <c r="C12" s="177" t="s">
        <v>31</v>
      </c>
    </row>
    <row r="13" spans="3:3" ht="15" customHeight="1">
      <c r="C13" s="177" t="s">
        <v>32</v>
      </c>
    </row>
    <row r="14" spans="3:3" ht="15" customHeight="1">
      <c r="C14" s="177" t="s">
        <v>34</v>
      </c>
    </row>
    <row r="15" spans="3:3" ht="15" customHeight="1">
      <c r="C15" s="177" t="s">
        <v>36</v>
      </c>
    </row>
    <row r="16" spans="3:3" ht="15" customHeight="1">
      <c r="C16" s="177" t="s">
        <v>37</v>
      </c>
    </row>
    <row r="17" spans="3:3" ht="15" customHeight="1">
      <c r="C17" s="177" t="s">
        <v>39</v>
      </c>
    </row>
    <row r="18" spans="3:3" ht="15" customHeight="1">
      <c r="C18" s="177" t="s">
        <v>40</v>
      </c>
    </row>
    <row r="19" spans="3:3" ht="15" customHeight="1">
      <c r="C19" s="177" t="s">
        <v>41</v>
      </c>
    </row>
    <row r="20" spans="3:3" ht="15" customHeight="1">
      <c r="C20" s="177" t="s">
        <v>43</v>
      </c>
    </row>
    <row r="21" spans="3:3" ht="15" customHeight="1">
      <c r="C21" s="177" t="s">
        <v>44</v>
      </c>
    </row>
    <row r="22" spans="3:3" ht="15" customHeight="1">
      <c r="C22" s="177" t="s">
        <v>45</v>
      </c>
    </row>
    <row r="23" spans="3:3" ht="15" customHeight="1">
      <c r="C23" s="177" t="s">
        <v>47</v>
      </c>
    </row>
    <row r="24" spans="3:3" ht="15" customHeight="1">
      <c r="C24" s="177" t="s">
        <v>49</v>
      </c>
    </row>
    <row r="25" spans="3:3" ht="15" customHeight="1">
      <c r="C25" s="177" t="s">
        <v>63</v>
      </c>
    </row>
    <row r="26" spans="3:3" ht="15" customHeight="1">
      <c r="C26" s="177" t="s">
        <v>64</v>
      </c>
    </row>
    <row r="27" spans="3:3" ht="15" customHeight="1">
      <c r="C27" s="177" t="s">
        <v>66</v>
      </c>
    </row>
    <row r="28" spans="3:3" ht="15" customHeight="1">
      <c r="C28" s="177" t="s">
        <v>68</v>
      </c>
    </row>
    <row r="29" spans="3:3" ht="15" customHeight="1">
      <c r="C29" s="177" t="s">
        <v>69</v>
      </c>
    </row>
    <row r="30" spans="3:3" ht="15" customHeight="1">
      <c r="C30" s="177" t="s">
        <v>70</v>
      </c>
    </row>
    <row r="31" spans="3:3" ht="15" customHeight="1">
      <c r="C31" s="177" t="s">
        <v>51</v>
      </c>
    </row>
    <row r="32" spans="3:3" ht="15" customHeight="1">
      <c r="C32" s="177" t="s">
        <v>53</v>
      </c>
    </row>
    <row r="33" spans="1:46" ht="15" customHeight="1">
      <c r="C33" s="177" t="s">
        <v>54</v>
      </c>
    </row>
    <row r="34" spans="1:46" ht="15" customHeight="1">
      <c r="C34" s="177" t="s">
        <v>56</v>
      </c>
    </row>
    <row r="35" spans="1:46" ht="15" customHeight="1">
      <c r="C35" s="177" t="s">
        <v>58</v>
      </c>
    </row>
    <row r="36" spans="1:46" ht="15" customHeight="1">
      <c r="C36" s="177" t="s">
        <v>60</v>
      </c>
    </row>
    <row r="37" spans="1:46" ht="15" customHeight="1">
      <c r="C37" s="177" t="s">
        <v>61</v>
      </c>
    </row>
    <row r="39" spans="1:46">
      <c r="C39" s="177" t="s">
        <v>339</v>
      </c>
    </row>
    <row r="41" spans="1:46">
      <c r="C41" s="177" t="s">
        <v>340</v>
      </c>
    </row>
    <row r="44" spans="1:46">
      <c r="C44" s="269" t="s">
        <v>336</v>
      </c>
      <c r="D44" s="269"/>
      <c r="E44" s="269"/>
      <c r="F44" s="269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</row>
    <row r="45" spans="1:46">
      <c r="C45" s="214"/>
    </row>
    <row r="46" spans="1:46">
      <c r="A46" s="175" t="s">
        <v>350</v>
      </c>
      <c r="B46" s="175" t="s">
        <v>165</v>
      </c>
      <c r="C46" s="175" t="s">
        <v>335</v>
      </c>
      <c r="D46" s="176">
        <v>44949</v>
      </c>
      <c r="E46" s="176">
        <v>44980</v>
      </c>
      <c r="F46" s="176">
        <v>45008</v>
      </c>
      <c r="G46" s="176">
        <v>45039</v>
      </c>
      <c r="H46" s="176">
        <v>45069</v>
      </c>
      <c r="I46" s="176">
        <v>45100</v>
      </c>
      <c r="J46" s="176">
        <v>45130</v>
      </c>
      <c r="K46" s="176">
        <v>45164</v>
      </c>
      <c r="L46" s="176">
        <v>45195</v>
      </c>
      <c r="M46" s="176">
        <v>45225</v>
      </c>
      <c r="N46" s="176">
        <v>45256</v>
      </c>
      <c r="O46" s="176">
        <v>45286</v>
      </c>
      <c r="P46" s="176">
        <v>45317</v>
      </c>
      <c r="Q46" s="176">
        <v>45348</v>
      </c>
      <c r="R46" s="176">
        <v>45377</v>
      </c>
      <c r="S46" s="176">
        <v>45408</v>
      </c>
      <c r="T46" s="176">
        <v>45438</v>
      </c>
      <c r="U46" s="176">
        <v>45469</v>
      </c>
      <c r="V46" s="176">
        <v>45499</v>
      </c>
      <c r="W46" s="176">
        <v>45530</v>
      </c>
      <c r="X46" s="176">
        <v>45561</v>
      </c>
      <c r="Y46" s="176">
        <v>45591</v>
      </c>
      <c r="Z46" s="176">
        <v>45622</v>
      </c>
      <c r="AA46" s="176">
        <v>45652</v>
      </c>
      <c r="AB46" s="176">
        <v>45683</v>
      </c>
      <c r="AC46" s="176">
        <v>45714</v>
      </c>
      <c r="AD46" s="176">
        <v>45742</v>
      </c>
      <c r="AE46" s="176">
        <v>45773</v>
      </c>
      <c r="AF46" s="176">
        <v>45803</v>
      </c>
      <c r="AG46" s="176">
        <v>45834</v>
      </c>
      <c r="AH46" s="176">
        <v>45864</v>
      </c>
      <c r="AI46" s="176">
        <v>45895</v>
      </c>
      <c r="AJ46" s="176">
        <v>45926</v>
      </c>
      <c r="AK46" s="176">
        <v>45956</v>
      </c>
      <c r="AL46" s="176">
        <v>45987</v>
      </c>
      <c r="AM46" s="176">
        <v>46017</v>
      </c>
      <c r="AN46" s="176">
        <v>46048</v>
      </c>
      <c r="AO46" s="176">
        <v>46079</v>
      </c>
      <c r="AP46" s="176">
        <v>46107</v>
      </c>
      <c r="AQ46" s="176">
        <v>46138</v>
      </c>
      <c r="AR46" s="176">
        <v>46168</v>
      </c>
      <c r="AS46" s="176">
        <v>46199</v>
      </c>
      <c r="AT46" s="176">
        <v>46229</v>
      </c>
    </row>
    <row r="47" spans="1:46">
      <c r="A47" s="51">
        <f>SUM(D47:AS47)</f>
        <v>0</v>
      </c>
      <c r="B47" s="14">
        <f>Hoja6!HL4</f>
        <v>0</v>
      </c>
      <c r="C47" s="177" t="s">
        <v>12</v>
      </c>
      <c r="D47" s="180" t="str">
        <f>IF(Hoja6!C4="*","Canceló",Hoja6!D4)</f>
        <v>Canceló</v>
      </c>
      <c r="E47" s="180" t="str">
        <f>IF(Hoja6!G4="*","Canceló",Hoja6!H4)</f>
        <v>Canceló</v>
      </c>
      <c r="F47" s="180" t="str">
        <f>IF(Hoja6!K4="*","Canceló",Hoja6!L4)</f>
        <v>Canceló</v>
      </c>
      <c r="G47" s="180" t="str">
        <f>IF(Hoja6!O4="*","Canceló",Hoja6!P4)</f>
        <v>Canceló</v>
      </c>
      <c r="H47" s="180" t="str">
        <f>IF(Hoja6!S4="*","Canceló",Hoja6!T4)</f>
        <v>Canceló</v>
      </c>
      <c r="I47" s="180" t="str">
        <f>IF(Hoja6!W4="*","Canceló",Hoja6!V4)</f>
        <v>Canceló</v>
      </c>
      <c r="J47" s="180" t="str">
        <f>IF(Hoja6!AA4="*","Canceló",Hoja6!Z4)</f>
        <v>Canceló</v>
      </c>
      <c r="K47" s="180" t="str">
        <f>IF(Hoja6!AE4="*","Canceló",Hoja6!AD4)</f>
        <v>Canceló</v>
      </c>
      <c r="L47" s="180" t="str">
        <f>IF(Hoja6!AI4="*","Canceló",Hoja6!AH4)</f>
        <v>Canceló</v>
      </c>
      <c r="M47" s="180" t="str">
        <f>IF(Hoja6!AM4="*","Canceló",Hoja6!AL4)</f>
        <v>Canceló</v>
      </c>
      <c r="N47" s="180" t="str">
        <f>IF(Hoja6!AQ4="*","Canceló",Hoja6!AP4)</f>
        <v>Canceló</v>
      </c>
      <c r="O47" s="180" t="str">
        <f>IF(Hoja6!AU4="*","Canceló",Hoja6!AT4)</f>
        <v>Canceló</v>
      </c>
      <c r="P47" s="180" t="str">
        <f>IF(Hoja6!AY4="*","Canceló",Hoja6!AX4)</f>
        <v>Canceló</v>
      </c>
      <c r="Q47" s="180" t="str">
        <f>IF(Hoja6!BC4="*","Canceló",Hoja6!BB4)</f>
        <v>Canceló</v>
      </c>
      <c r="R47" s="180" t="str">
        <f>IF(Hoja6!BG4="*","Canceló",Hoja6!BF4)</f>
        <v>Canceló</v>
      </c>
      <c r="S47" s="180" t="str">
        <f>IF(Hoja6!BK4="*","Canceló",Hoja6!BJ4)</f>
        <v>Canceló</v>
      </c>
      <c r="T47" s="180" t="str">
        <f>IF(Hoja6!BO4="*","Canceló",Hoja6!BN4)</f>
        <v>Canceló</v>
      </c>
      <c r="U47" s="180" t="str">
        <f>IF(Hoja6!BS4="*","Canceló",Hoja6!BR4)</f>
        <v>Canceló</v>
      </c>
      <c r="V47" s="180" t="str">
        <f>IF(Hoja6!BW4="*","Canceló",Hoja6!BV4)</f>
        <v>Canceló</v>
      </c>
      <c r="W47" s="180" t="str">
        <f>IF(Hoja6!CA4="*","Canceló",Hoja6!BZ4)</f>
        <v>Canceló</v>
      </c>
      <c r="X47" s="180" t="str">
        <f>IF(Hoja6!CE4="*","Canceló",Hoja6!CD4)</f>
        <v>Canceló</v>
      </c>
      <c r="Y47" s="180" t="str">
        <f>IF(Hoja6!CI4="*","Canceló",Hoja6!CH4)</f>
        <v>Canceló</v>
      </c>
      <c r="Z47" s="180" t="str">
        <f>IF(Hoja6!CM4="*","Canceló",Hoja6!CL4)</f>
        <v>Canceló</v>
      </c>
      <c r="AA47" s="180" t="str">
        <f>IF(Hoja6!CQ4="*","Canceló",Hoja6!CP4)</f>
        <v>Canceló</v>
      </c>
      <c r="AB47" s="180" t="str">
        <f>IF(Hoja6!CU4="*","Canceló",Hoja6!CT4)</f>
        <v>Canceló</v>
      </c>
      <c r="AC47" s="180" t="str">
        <f>IF(Hoja6!CY4="*","Canceló",Hoja6!CX4)</f>
        <v>Canceló</v>
      </c>
      <c r="AD47" s="180" t="str">
        <f>IF(Hoja6!DC4="*","Canceló",Hoja6!DB4)</f>
        <v>Canceló</v>
      </c>
      <c r="AE47" s="180" t="str">
        <f>IF(Hoja6!DG4="*","Canceló",Hoja6!DF4)</f>
        <v>Canceló</v>
      </c>
      <c r="AF47" s="180" t="str">
        <f>IF(Hoja6!DK4="*","Canceló",Hoja6!DJ4)</f>
        <v>Canceló</v>
      </c>
      <c r="AG47" s="180" t="str">
        <f>IF(Hoja6!DO4="*","Canceló",Hoja6!DN4)</f>
        <v>Canceló</v>
      </c>
      <c r="AH47" s="180" t="str">
        <f>IF(Hoja6!DS4="*","Canceló",Hoja6!DR4)</f>
        <v>Canceló</v>
      </c>
      <c r="AI47" s="180" t="str">
        <f>IF(Hoja6!DW4="*","Canceló",Hoja6!DV4)</f>
        <v>Canceló</v>
      </c>
      <c r="AJ47" s="180" t="str">
        <f>IF(Hoja6!EA4="*","Canceló",Hoja6!DZ4)</f>
        <v>Canceló</v>
      </c>
      <c r="AK47" s="180" t="str">
        <f>IF(Hoja6!EE4="*","Canceló",Hoja6!ED4)</f>
        <v>Canceló</v>
      </c>
      <c r="AL47" s="180" t="str">
        <f>IF(Hoja6!EI4="*","Canceló",Hoja6!EH4)</f>
        <v>Canceló</v>
      </c>
      <c r="AM47" s="180" t="str">
        <f>IF(Hoja6!EM4="*","Canceló",Hoja6!EL4)</f>
        <v>Canceló</v>
      </c>
      <c r="AN47" s="180" t="str">
        <f>IF(Hoja6!EQ4="*","Canceló",Hoja6!EP4)</f>
        <v>Canceló</v>
      </c>
      <c r="AO47" s="180" t="str">
        <f>IF(Hoja6!EU4="*","Canceló",Hoja6!ET4)</f>
        <v>Canceló</v>
      </c>
      <c r="AP47" s="180" t="str">
        <f>IF(Hoja6!EY4="*","Canceló",Hoja6!EX4)</f>
        <v>Canceló</v>
      </c>
      <c r="AQ47" s="180" t="str">
        <f>IF(Hoja6!FC4="*","Canceló",Hoja6!FB4)</f>
        <v>Canceló</v>
      </c>
      <c r="AR47" s="180" t="str">
        <f>IF(Hoja6!FG4="*","Canceló",Hoja6!FF4)</f>
        <v>Canceló</v>
      </c>
      <c r="AS47" s="180" t="str">
        <f>IF(Hoja6!FK4="*","Canceló",Hoja6!FJ4)</f>
        <v>Canceló</v>
      </c>
      <c r="AT47" s="180">
        <f>IF(Hoja6!FO4="*","Canceló",Hoja6!FN4)</f>
        <v>23.326528571428568</v>
      </c>
    </row>
    <row r="48" spans="1:46">
      <c r="A48" s="51">
        <f t="shared" ref="A48:A81" si="0">SUM(D48:AS48)</f>
        <v>0</v>
      </c>
      <c r="B48" s="14">
        <f>Hoja6!HL5</f>
        <v>0</v>
      </c>
      <c r="C48" s="177" t="s">
        <v>17</v>
      </c>
      <c r="D48" s="180" t="str">
        <f>IF(Hoja6!C5="*","Canceló",Hoja6!D5)</f>
        <v>Canceló</v>
      </c>
      <c r="E48" s="180" t="str">
        <f>IF(Hoja6!G5="*","Canceló",Hoja6!H5)</f>
        <v>Canceló</v>
      </c>
      <c r="F48" s="180" t="str">
        <f>IF(Hoja6!K5="*","Canceló",Hoja6!L5)</f>
        <v>Canceló</v>
      </c>
      <c r="G48" s="180" t="str">
        <f>IF(Hoja6!O5="*","Canceló",Hoja6!P5)</f>
        <v>Canceló</v>
      </c>
      <c r="H48" s="180" t="str">
        <f>IF(Hoja6!S5="*","Canceló",Hoja6!T5)</f>
        <v>Canceló</v>
      </c>
      <c r="I48" s="180" t="str">
        <f>IF(Hoja6!W5="*","Canceló",Hoja6!V5)</f>
        <v>Canceló</v>
      </c>
      <c r="J48" s="180" t="str">
        <f>IF(Hoja6!AA5="*","Canceló",Hoja6!Z5)</f>
        <v>Canceló</v>
      </c>
      <c r="K48" s="180" t="str">
        <f>IF(Hoja6!AE5="*","Canceló",Hoja6!AD5)</f>
        <v>Canceló</v>
      </c>
      <c r="L48" s="180" t="str">
        <f>IF(Hoja6!AI5="*","Canceló",Hoja6!AH5)</f>
        <v>Canceló</v>
      </c>
      <c r="M48" s="180" t="str">
        <f>IF(Hoja6!AM5="*","Canceló",Hoja6!AL5)</f>
        <v>Canceló</v>
      </c>
      <c r="N48" s="180" t="str">
        <f>IF(Hoja6!AQ5="*","Canceló",Hoja6!AP5)</f>
        <v>Canceló</v>
      </c>
      <c r="O48" s="180" t="str">
        <f>IF(Hoja6!AU5="*","Canceló",Hoja6!AT5)</f>
        <v>Canceló</v>
      </c>
      <c r="P48" s="180" t="str">
        <f>IF(Hoja6!AY5="*","Canceló",Hoja6!AX5)</f>
        <v>Canceló</v>
      </c>
      <c r="Q48" s="180" t="str">
        <f>IF(Hoja6!BC5="*","Canceló",Hoja6!BB5)</f>
        <v>Canceló</v>
      </c>
      <c r="R48" s="180" t="str">
        <f>IF(Hoja6!BG5="*","Canceló",Hoja6!BF5)</f>
        <v>Canceló</v>
      </c>
      <c r="S48" s="180" t="str">
        <f>IF(Hoja6!BK5="*","Canceló",Hoja6!BJ5)</f>
        <v>Canceló</v>
      </c>
      <c r="T48" s="180" t="str">
        <f>IF(Hoja6!BO5="*","Canceló",Hoja6!BN5)</f>
        <v>Canceló</v>
      </c>
      <c r="U48" s="180" t="str">
        <f>IF(Hoja6!BS5="*","Canceló",Hoja6!BR5)</f>
        <v>Canceló</v>
      </c>
      <c r="V48" s="180" t="str">
        <f>IF(Hoja6!BW5="*","Canceló",Hoja6!BV5)</f>
        <v>Canceló</v>
      </c>
      <c r="W48" s="180" t="str">
        <f>IF(Hoja6!CA5="*","Canceló",Hoja6!BZ5)</f>
        <v>Canceló</v>
      </c>
      <c r="X48" s="180" t="str">
        <f>IF(Hoja6!CE5="*","Canceló",Hoja6!CD5)</f>
        <v>Canceló</v>
      </c>
      <c r="Y48" s="180" t="str">
        <f>IF(Hoja6!CI5="*","Canceló",Hoja6!CH5)</f>
        <v>Canceló</v>
      </c>
      <c r="Z48" s="180" t="str">
        <f>IF(Hoja6!CM5="*","Canceló",Hoja6!CL5)</f>
        <v>Canceló</v>
      </c>
      <c r="AA48" s="180" t="str">
        <f>IF(Hoja6!CQ5="*","Canceló",Hoja6!CP5)</f>
        <v>Canceló</v>
      </c>
      <c r="AB48" s="180" t="str">
        <f>IF(Hoja6!CU5="*","Canceló",Hoja6!CT5)</f>
        <v>Canceló</v>
      </c>
      <c r="AC48" s="180" t="str">
        <f>IF(Hoja6!CY5="*","Canceló",Hoja6!CX5)</f>
        <v>Canceló</v>
      </c>
      <c r="AD48" s="180" t="str">
        <f>IF(Hoja6!DC5="*","Canceló",Hoja6!DB5)</f>
        <v>Canceló</v>
      </c>
      <c r="AE48" s="180" t="str">
        <f>IF(Hoja6!DG5="*","Canceló",Hoja6!DF5)</f>
        <v>Canceló</v>
      </c>
      <c r="AF48" s="180" t="str">
        <f>IF(Hoja6!DK5="*","Canceló",Hoja6!DJ5)</f>
        <v>Canceló</v>
      </c>
      <c r="AG48" s="180" t="str">
        <f>IF(Hoja6!DO5="*","Canceló",Hoja6!DN5)</f>
        <v>Canceló</v>
      </c>
      <c r="AH48" s="180" t="str">
        <f>IF(Hoja6!DS5="*","Canceló",Hoja6!DR5)</f>
        <v>Canceló</v>
      </c>
      <c r="AI48" s="180" t="str">
        <f>IF(Hoja6!DW5="*","Canceló",Hoja6!DV5)</f>
        <v>Canceló</v>
      </c>
      <c r="AJ48" s="180" t="str">
        <f>IF(Hoja6!EA5="*","Canceló",Hoja6!DZ5)</f>
        <v>Canceló</v>
      </c>
      <c r="AK48" s="180" t="str">
        <f>IF(Hoja6!EE5="*","Canceló",Hoja6!ED5)</f>
        <v>Canceló</v>
      </c>
      <c r="AL48" s="180" t="str">
        <f>IF(Hoja6!EI5="*","Canceló",Hoja6!EH5)</f>
        <v>Canceló</v>
      </c>
      <c r="AM48" s="180" t="str">
        <f>IF(Hoja6!EM5="*","Canceló",Hoja6!EL5)</f>
        <v>Canceló</v>
      </c>
      <c r="AN48" s="180" t="str">
        <f>IF(Hoja6!EQ5="*","Canceló",Hoja6!EP5)</f>
        <v>Canceló</v>
      </c>
      <c r="AO48" s="180" t="str">
        <f>IF(Hoja6!EU5="*","Canceló",Hoja6!ET5)</f>
        <v>Canceló</v>
      </c>
      <c r="AP48" s="180" t="str">
        <f>IF(Hoja6!EY5="*","Canceló",Hoja6!EX5)</f>
        <v>Canceló</v>
      </c>
      <c r="AQ48" s="180" t="str">
        <f>IF(Hoja6!FC5="*","Canceló",Hoja6!FB5)</f>
        <v>Canceló</v>
      </c>
      <c r="AR48" s="180" t="str">
        <f>IF(Hoja6!FG5="*","Canceló",Hoja6!FF5)</f>
        <v>Canceló</v>
      </c>
      <c r="AS48" s="180" t="str">
        <f>IF(Hoja6!FK5="*","Canceló",Hoja6!FJ5)</f>
        <v>Canceló</v>
      </c>
      <c r="AT48" s="180">
        <f>IF(Hoja6!FO5="*","Canceló",Hoja6!FN5)</f>
        <v>23.826528571428568</v>
      </c>
    </row>
    <row r="49" spans="1:46">
      <c r="A49" s="51">
        <f t="shared" si="0"/>
        <v>77.007942857142851</v>
      </c>
      <c r="B49" s="14">
        <f>Hoja6!HL6</f>
        <v>0.37916721428571426</v>
      </c>
      <c r="C49" s="177" t="s">
        <v>18</v>
      </c>
      <c r="D49" s="180" t="str">
        <f>IF(Hoja6!C6="*","Canceló",Hoja6!D6)</f>
        <v>Canceló</v>
      </c>
      <c r="E49" s="180" t="str">
        <f>IF(Hoja6!G6="*","Canceló",Hoja6!H6)</f>
        <v>Canceló</v>
      </c>
      <c r="F49" s="180" t="str">
        <f>IF(Hoja6!K6="*","Canceló",Hoja6!L6)</f>
        <v>Canceló</v>
      </c>
      <c r="G49" s="180" t="str">
        <f>IF(Hoja6!O6="*","Canceló",Hoja6!P6)</f>
        <v>Canceló</v>
      </c>
      <c r="H49" s="180" t="str">
        <f>IF(Hoja6!S6="*","Canceló",Hoja6!T6)</f>
        <v>Canceló</v>
      </c>
      <c r="I49" s="180" t="str">
        <f>IF(Hoja6!W6="*","Canceló",Hoja6!V6)</f>
        <v>Canceló</v>
      </c>
      <c r="J49" s="180" t="str">
        <f>IF(Hoja6!AA6="*","Canceló",Hoja6!Z6)</f>
        <v>Canceló</v>
      </c>
      <c r="K49" s="180" t="str">
        <f>IF(Hoja6!AE6="*","Canceló",Hoja6!AD6)</f>
        <v>Canceló</v>
      </c>
      <c r="L49" s="180" t="str">
        <f>IF(Hoja6!AI6="*","Canceló",Hoja6!AH6)</f>
        <v>Canceló</v>
      </c>
      <c r="M49" s="180" t="str">
        <f>IF(Hoja6!AM6="*","Canceló",Hoja6!AL6)</f>
        <v>Canceló</v>
      </c>
      <c r="N49" s="180" t="str">
        <f>IF(Hoja6!AQ6="*","Canceló",Hoja6!AP6)</f>
        <v>Canceló</v>
      </c>
      <c r="O49" s="180" t="str">
        <f>IF(Hoja6!AU6="*","Canceló",Hoja6!AT6)</f>
        <v>Canceló</v>
      </c>
      <c r="P49" s="180" t="str">
        <f>IF(Hoja6!AY6="*","Canceló",Hoja6!AX6)</f>
        <v>Canceló</v>
      </c>
      <c r="Q49" s="180" t="str">
        <f>IF(Hoja6!BC6="*","Canceló",Hoja6!BB6)</f>
        <v>Canceló</v>
      </c>
      <c r="R49" s="180" t="str">
        <f>IF(Hoja6!BG6="*","Canceló",Hoja6!BF6)</f>
        <v>Canceló</v>
      </c>
      <c r="S49" s="180" t="str">
        <f>IF(Hoja6!BK6="*","Canceló",Hoja6!BJ6)</f>
        <v>Canceló</v>
      </c>
      <c r="T49" s="180" t="str">
        <f>IF(Hoja6!BO6="*","Canceló",Hoja6!BN6)</f>
        <v>Canceló</v>
      </c>
      <c r="U49" s="180" t="str">
        <f>IF(Hoja6!BS6="*","Canceló",Hoja6!BR6)</f>
        <v>Canceló</v>
      </c>
      <c r="V49" s="180" t="str">
        <f>IF(Hoja6!BW6="*","Canceló",Hoja6!BV6)</f>
        <v>Canceló</v>
      </c>
      <c r="W49" s="180" t="str">
        <f>IF(Hoja6!CA6="*","Canceló",Hoja6!BZ6)</f>
        <v>Canceló</v>
      </c>
      <c r="X49" s="180" t="str">
        <f>IF(Hoja6!CE6="*","Canceló",Hoja6!CD6)</f>
        <v>Canceló</v>
      </c>
      <c r="Y49" s="180" t="str">
        <f>IF(Hoja6!CI6="*","Canceló",Hoja6!CH6)</f>
        <v>Canceló</v>
      </c>
      <c r="Z49" s="180" t="str">
        <f>IF(Hoja6!CM6="*","Canceló",Hoja6!CL6)</f>
        <v>Canceló</v>
      </c>
      <c r="AA49" s="180" t="str">
        <f>IF(Hoja6!CQ6="*","Canceló",Hoja6!CP6)</f>
        <v>Canceló</v>
      </c>
      <c r="AB49" s="180" t="str">
        <f>IF(Hoja6!CU6="*","Canceló",Hoja6!CT6)</f>
        <v>Canceló</v>
      </c>
      <c r="AC49" s="180" t="str">
        <f>IF(Hoja6!CY6="*","Canceló",Hoja6!CX6)</f>
        <v>Canceló</v>
      </c>
      <c r="AD49" s="180" t="str">
        <f>IF(Hoja6!DC6="*","Canceló",Hoja6!DB6)</f>
        <v>Canceló</v>
      </c>
      <c r="AE49" s="180" t="str">
        <f>IF(Hoja6!DG6="*","Canceló",Hoja6!DF6)</f>
        <v>Canceló</v>
      </c>
      <c r="AF49" s="180" t="str">
        <f>IF(Hoja6!DK6="*","Canceló",Hoja6!DJ6)</f>
        <v>Canceló</v>
      </c>
      <c r="AG49" s="180" t="str">
        <f>IF(Hoja6!DO6="*","Canceló",Hoja6!DN6)</f>
        <v>Canceló</v>
      </c>
      <c r="AH49" s="180" t="str">
        <f>IF(Hoja6!DS6="*","Canceló",Hoja6!DR6)</f>
        <v>Canceló</v>
      </c>
      <c r="AI49" s="180" t="str">
        <f>IF(Hoja6!DW6="*","Canceló",Hoja6!DV6)</f>
        <v>Canceló</v>
      </c>
      <c r="AJ49" s="180" t="str">
        <f>IF(Hoja6!EA6="*","Canceló",Hoja6!DZ6)</f>
        <v>Canceló</v>
      </c>
      <c r="AK49" s="180" t="str">
        <f>IF(Hoja6!EE6="*","Canceló",Hoja6!ED6)</f>
        <v>Canceló</v>
      </c>
      <c r="AL49" s="180" t="str">
        <f>IF(Hoja6!EI6="*","Canceló",Hoja6!EH6)</f>
        <v>Canceló</v>
      </c>
      <c r="AM49" s="180" t="str">
        <f>IF(Hoja6!EM6="*","Canceló",Hoja6!EL6)</f>
        <v>Canceló</v>
      </c>
      <c r="AN49" s="180" t="str">
        <f>IF(Hoja6!EQ6="*","Canceló",Hoja6!EP6)</f>
        <v>Canceló</v>
      </c>
      <c r="AO49" s="180" t="str">
        <f>IF(Hoja6!EU6="*","Canceló",Hoja6!ET6)</f>
        <v>Canceló</v>
      </c>
      <c r="AP49" s="180" t="str">
        <f>IF(Hoja6!EY6="*","Canceló",Hoja6!EX6)</f>
        <v>Canceló</v>
      </c>
      <c r="AQ49" s="180">
        <f>IF(Hoja6!FC6="*","Canceló",Hoja6!FB6)</f>
        <v>22.989714285714285</v>
      </c>
      <c r="AR49" s="180">
        <f>IF(Hoja6!FG6="*","Canceló",Hoja6!FF6)</f>
        <v>28.679514285714284</v>
      </c>
      <c r="AS49" s="180">
        <f>IF(Hoja6!FK6="*","Canceló",Hoja6!FJ6)</f>
        <v>25.338714285714286</v>
      </c>
      <c r="AT49" s="180">
        <f>IF(Hoja6!FO6="*","Canceló",Hoja6!FN6)</f>
        <v>22.531578571428572</v>
      </c>
    </row>
    <row r="50" spans="1:46">
      <c r="A50" s="51">
        <f t="shared" si="0"/>
        <v>0</v>
      </c>
      <c r="B50" s="14">
        <f>Hoja6!HL7</f>
        <v>0</v>
      </c>
      <c r="C50" s="177" t="s">
        <v>19</v>
      </c>
      <c r="D50" s="180" t="str">
        <f>IF(Hoja6!C7="*","Canceló",Hoja6!D7)</f>
        <v>Canceló</v>
      </c>
      <c r="E50" s="180" t="str">
        <f>IF(Hoja6!G7="*","Canceló",Hoja6!H7)</f>
        <v>Canceló</v>
      </c>
      <c r="F50" s="180" t="str">
        <f>IF(Hoja6!K7="*","Canceló",Hoja6!L7)</f>
        <v>Canceló</v>
      </c>
      <c r="G50" s="180" t="str">
        <f>IF(Hoja6!O7="*","Canceló",Hoja6!P7)</f>
        <v>Canceló</v>
      </c>
      <c r="H50" s="180" t="str">
        <f>IF(Hoja6!S7="*","Canceló",Hoja6!T7)</f>
        <v>Canceló</v>
      </c>
      <c r="I50" s="180" t="str">
        <f>IF(Hoja6!W7="*","Canceló",Hoja6!V7)</f>
        <v>Canceló</v>
      </c>
      <c r="J50" s="180" t="str">
        <f>IF(Hoja6!AA7="*","Canceló",Hoja6!Z7)</f>
        <v>Canceló</v>
      </c>
      <c r="K50" s="180" t="str">
        <f>IF(Hoja6!AE7="*","Canceló",Hoja6!AD7)</f>
        <v>Canceló</v>
      </c>
      <c r="L50" s="180" t="str">
        <f>IF(Hoja6!AI7="*","Canceló",Hoja6!AH7)</f>
        <v>Canceló</v>
      </c>
      <c r="M50" s="180" t="str">
        <f>IF(Hoja6!AM7="*","Canceló",Hoja6!AL7)</f>
        <v>Canceló</v>
      </c>
      <c r="N50" s="180" t="str">
        <f>IF(Hoja6!AQ7="*","Canceló",Hoja6!AP7)</f>
        <v>Canceló</v>
      </c>
      <c r="O50" s="180" t="str">
        <f>IF(Hoja6!AU7="*","Canceló",Hoja6!AT7)</f>
        <v>Canceló</v>
      </c>
      <c r="P50" s="180" t="str">
        <f>IF(Hoja6!AY7="*","Canceló",Hoja6!AX7)</f>
        <v>Canceló</v>
      </c>
      <c r="Q50" s="180" t="str">
        <f>IF(Hoja6!BC7="*","Canceló",Hoja6!BB7)</f>
        <v>Canceló</v>
      </c>
      <c r="R50" s="180" t="str">
        <f>IF(Hoja6!BG7="*","Canceló",Hoja6!BF7)</f>
        <v>Canceló</v>
      </c>
      <c r="S50" s="180" t="str">
        <f>IF(Hoja6!BK7="*","Canceló",Hoja6!BJ7)</f>
        <v>Canceló</v>
      </c>
      <c r="T50" s="180" t="str">
        <f>IF(Hoja6!BO7="*","Canceló",Hoja6!BN7)</f>
        <v>Canceló</v>
      </c>
      <c r="U50" s="180" t="str">
        <f>IF(Hoja6!BS7="*","Canceló",Hoja6!BR7)</f>
        <v>Canceló</v>
      </c>
      <c r="V50" s="180" t="str">
        <f>IF(Hoja6!BW7="*","Canceló",Hoja6!BV7)</f>
        <v>Canceló</v>
      </c>
      <c r="W50" s="180" t="str">
        <f>IF(Hoja6!CA7="*","Canceló",Hoja6!BZ7)</f>
        <v>Canceló</v>
      </c>
      <c r="X50" s="180" t="str">
        <f>IF(Hoja6!CE7="*","Canceló",Hoja6!CD7)</f>
        <v>Canceló</v>
      </c>
      <c r="Y50" s="180" t="str">
        <f>IF(Hoja6!CI7="*","Canceló",Hoja6!CH7)</f>
        <v>Canceló</v>
      </c>
      <c r="Z50" s="180" t="str">
        <f>IF(Hoja6!CM7="*","Canceló",Hoja6!CL7)</f>
        <v>Canceló</v>
      </c>
      <c r="AA50" s="180" t="str">
        <f>IF(Hoja6!CQ7="*","Canceló",Hoja6!CP7)</f>
        <v>Canceló</v>
      </c>
      <c r="AB50" s="180" t="str">
        <f>IF(Hoja6!CU7="*","Canceló",Hoja6!CT7)</f>
        <v>Canceló</v>
      </c>
      <c r="AC50" s="180" t="str">
        <f>IF(Hoja6!CY7="*","Canceló",Hoja6!CX7)</f>
        <v>Canceló</v>
      </c>
      <c r="AD50" s="180" t="str">
        <f>IF(Hoja6!DC7="*","Canceló",Hoja6!DB7)</f>
        <v>Canceló</v>
      </c>
      <c r="AE50" s="180" t="str">
        <f>IF(Hoja6!DG7="*","Canceló",Hoja6!DF7)</f>
        <v>Canceló</v>
      </c>
      <c r="AF50" s="180" t="str">
        <f>IF(Hoja6!DK7="*","Canceló",Hoja6!DJ7)</f>
        <v>Canceló</v>
      </c>
      <c r="AG50" s="180" t="str">
        <f>IF(Hoja6!DO7="*","Canceló",Hoja6!DN7)</f>
        <v>Canceló</v>
      </c>
      <c r="AH50" s="180" t="str">
        <f>IF(Hoja6!DS7="*","Canceló",Hoja6!DR7)</f>
        <v>Canceló</v>
      </c>
      <c r="AI50" s="180" t="str">
        <f>IF(Hoja6!DW7="*","Canceló",Hoja6!DV7)</f>
        <v>Canceló</v>
      </c>
      <c r="AJ50" s="180" t="str">
        <f>IF(Hoja6!EA7="*","Canceló",Hoja6!DZ7)</f>
        <v>Canceló</v>
      </c>
      <c r="AK50" s="180" t="str">
        <f>IF(Hoja6!EE7="*","Canceló",Hoja6!ED7)</f>
        <v>Canceló</v>
      </c>
      <c r="AL50" s="180" t="str">
        <f>IF(Hoja6!EI7="*","Canceló",Hoja6!EH7)</f>
        <v>Canceló</v>
      </c>
      <c r="AM50" s="180" t="str">
        <f>IF(Hoja6!EM7="*","Canceló",Hoja6!EL7)</f>
        <v>Canceló</v>
      </c>
      <c r="AN50" s="180" t="str">
        <f>IF(Hoja6!EQ7="*","Canceló",Hoja6!EP7)</f>
        <v>Canceló</v>
      </c>
      <c r="AO50" s="180" t="str">
        <f>IF(Hoja6!EU7="*","Canceló",Hoja6!ET7)</f>
        <v>Canceló</v>
      </c>
      <c r="AP50" s="180" t="str">
        <f>IF(Hoja6!EY7="*","Canceló",Hoja6!EX7)</f>
        <v>Canceló</v>
      </c>
      <c r="AQ50" s="180" t="str">
        <f>IF(Hoja6!FC7="*","Canceló",Hoja6!FB7)</f>
        <v>Canceló</v>
      </c>
      <c r="AR50" s="180" t="str">
        <f>IF(Hoja6!FG7="*","Canceló",Hoja6!FF7)</f>
        <v>Canceló</v>
      </c>
      <c r="AS50" s="180" t="str">
        <f>IF(Hoja6!FK7="*","Canceló",Hoja6!FJ7)</f>
        <v>Canceló</v>
      </c>
      <c r="AT50" s="180">
        <f>IF(Hoja6!FO7="*","Canceló",Hoja6!FN7)</f>
        <v>22.531578571428572</v>
      </c>
    </row>
    <row r="51" spans="1:46">
      <c r="A51" s="51">
        <f t="shared" si="0"/>
        <v>0</v>
      </c>
      <c r="B51" s="14">
        <f>Hoja6!HL8</f>
        <v>0</v>
      </c>
      <c r="C51" s="177" t="s">
        <v>21</v>
      </c>
      <c r="D51" s="180" t="str">
        <f>IF(Hoja6!C8="*","Canceló",Hoja6!D8)</f>
        <v>Canceló</v>
      </c>
      <c r="E51" s="180" t="str">
        <f>IF(Hoja6!G8="*","Canceló",Hoja6!H8)</f>
        <v>Canceló</v>
      </c>
      <c r="F51" s="180" t="str">
        <f>IF(Hoja6!K8="*","Canceló",Hoja6!L8)</f>
        <v>Canceló</v>
      </c>
      <c r="G51" s="180" t="str">
        <f>IF(Hoja6!O8="*","Canceló",Hoja6!P8)</f>
        <v>Canceló</v>
      </c>
      <c r="H51" s="180" t="str">
        <f>IF(Hoja6!S8="*","Canceló",Hoja6!T8)</f>
        <v>Canceló</v>
      </c>
      <c r="I51" s="180" t="str">
        <f>IF(Hoja6!W8="*","Canceló",Hoja6!V8)</f>
        <v>Canceló</v>
      </c>
      <c r="J51" s="180" t="str">
        <f>IF(Hoja6!AA8="*","Canceló",Hoja6!Z8)</f>
        <v>Canceló</v>
      </c>
      <c r="K51" s="180" t="str">
        <f>IF(Hoja6!AE8="*","Canceló",Hoja6!AD8)</f>
        <v>Canceló</v>
      </c>
      <c r="L51" s="180" t="str">
        <f>IF(Hoja6!AI8="*","Canceló",Hoja6!AH8)</f>
        <v>Canceló</v>
      </c>
      <c r="M51" s="180" t="str">
        <f>IF(Hoja6!AM8="*","Canceló",Hoja6!AL8)</f>
        <v>Canceló</v>
      </c>
      <c r="N51" s="180" t="str">
        <f>IF(Hoja6!AQ8="*","Canceló",Hoja6!AP8)</f>
        <v>Canceló</v>
      </c>
      <c r="O51" s="180" t="str">
        <f>IF(Hoja6!AU8="*","Canceló",Hoja6!AT8)</f>
        <v>Canceló</v>
      </c>
      <c r="P51" s="180" t="str">
        <f>IF(Hoja6!AY8="*","Canceló",Hoja6!AX8)</f>
        <v>Canceló</v>
      </c>
      <c r="Q51" s="180" t="str">
        <f>IF(Hoja6!BC8="*","Canceló",Hoja6!BB8)</f>
        <v>Canceló</v>
      </c>
      <c r="R51" s="180" t="str">
        <f>IF(Hoja6!BG8="*","Canceló",Hoja6!BF8)</f>
        <v>Canceló</v>
      </c>
      <c r="S51" s="180" t="str">
        <f>IF(Hoja6!BK8="*","Canceló",Hoja6!BJ8)</f>
        <v>Canceló</v>
      </c>
      <c r="T51" s="180" t="str">
        <f>IF(Hoja6!BO8="*","Canceló",Hoja6!BN8)</f>
        <v>Canceló</v>
      </c>
      <c r="U51" s="180" t="str">
        <f>IF(Hoja6!BS8="*","Canceló",Hoja6!BR8)</f>
        <v>Canceló</v>
      </c>
      <c r="V51" s="180" t="str">
        <f>IF(Hoja6!BW8="*","Canceló",Hoja6!BV8)</f>
        <v>Canceló</v>
      </c>
      <c r="W51" s="180" t="str">
        <f>IF(Hoja6!CA8="*","Canceló",Hoja6!BZ8)</f>
        <v>Canceló</v>
      </c>
      <c r="X51" s="180" t="str">
        <f>IF(Hoja6!CE8="*","Canceló",Hoja6!CD8)</f>
        <v>Canceló</v>
      </c>
      <c r="Y51" s="180" t="str">
        <f>IF(Hoja6!CI8="*","Canceló",Hoja6!CH8)</f>
        <v>Canceló</v>
      </c>
      <c r="Z51" s="180" t="str">
        <f>IF(Hoja6!CM8="*","Canceló",Hoja6!CL8)</f>
        <v>Canceló</v>
      </c>
      <c r="AA51" s="180" t="str">
        <f>IF(Hoja6!CQ8="*","Canceló",Hoja6!CP8)</f>
        <v>Canceló</v>
      </c>
      <c r="AB51" s="180" t="str">
        <f>IF(Hoja6!CU8="*","Canceló",Hoja6!CT8)</f>
        <v>Canceló</v>
      </c>
      <c r="AC51" s="180" t="str">
        <f>IF(Hoja6!CY8="*","Canceló",Hoja6!CX8)</f>
        <v>Canceló</v>
      </c>
      <c r="AD51" s="180" t="str">
        <f>IF(Hoja6!DC8="*","Canceló",Hoja6!DB8)</f>
        <v>Canceló</v>
      </c>
      <c r="AE51" s="180" t="str">
        <f>IF(Hoja6!DG8="*","Canceló",Hoja6!DF8)</f>
        <v>Canceló</v>
      </c>
      <c r="AF51" s="180" t="str">
        <f>IF(Hoja6!DK8="*","Canceló",Hoja6!DJ8)</f>
        <v>Canceló</v>
      </c>
      <c r="AG51" s="180" t="str">
        <f>IF(Hoja6!DO8="*","Canceló",Hoja6!DN8)</f>
        <v>Canceló</v>
      </c>
      <c r="AH51" s="180" t="str">
        <f>IF(Hoja6!DS8="*","Canceló",Hoja6!DR8)</f>
        <v>Canceló</v>
      </c>
      <c r="AI51" s="180" t="str">
        <f>IF(Hoja6!DW8="*","Canceló",Hoja6!DV8)</f>
        <v>Canceló</v>
      </c>
      <c r="AJ51" s="180" t="str">
        <f>IF(Hoja6!EA8="*","Canceló",Hoja6!DZ8)</f>
        <v>Canceló</v>
      </c>
      <c r="AK51" s="180" t="str">
        <f>IF(Hoja6!EE8="*","Canceló",Hoja6!ED8)</f>
        <v>Canceló</v>
      </c>
      <c r="AL51" s="180" t="str">
        <f>IF(Hoja6!EI8="*","Canceló",Hoja6!EH8)</f>
        <v>Canceló</v>
      </c>
      <c r="AM51" s="180" t="str">
        <f>IF(Hoja6!EM8="*","Canceló",Hoja6!EL8)</f>
        <v>Canceló</v>
      </c>
      <c r="AN51" s="180" t="str">
        <f>IF(Hoja6!EQ8="*","Canceló",Hoja6!EP8)</f>
        <v>Canceló</v>
      </c>
      <c r="AO51" s="180" t="str">
        <f>IF(Hoja6!EU8="*","Canceló",Hoja6!ET8)</f>
        <v>Canceló</v>
      </c>
      <c r="AP51" s="180" t="str">
        <f>IF(Hoja6!EY8="*","Canceló",Hoja6!EX8)</f>
        <v>Canceló</v>
      </c>
      <c r="AQ51" s="180" t="str">
        <f>IF(Hoja6!FC8="*","Canceló",Hoja6!FB8)</f>
        <v>Canceló</v>
      </c>
      <c r="AR51" s="180" t="str">
        <f>IF(Hoja6!FG8="*","Canceló",Hoja6!FF8)</f>
        <v>Canceló</v>
      </c>
      <c r="AS51" s="180" t="str">
        <f>IF(Hoja6!FK8="*","Canceló",Hoja6!FJ8)</f>
        <v>Canceló</v>
      </c>
      <c r="AT51" s="180">
        <f>IF(Hoja6!FO8="*","Canceló",Hoja6!FN8)</f>
        <v>17.028078571428573</v>
      </c>
    </row>
    <row r="52" spans="1:46">
      <c r="A52" s="51">
        <f t="shared" si="0"/>
        <v>0</v>
      </c>
      <c r="B52" s="14">
        <f>Hoja6!HL9</f>
        <v>0</v>
      </c>
      <c r="C52" s="177" t="s">
        <v>23</v>
      </c>
      <c r="D52" s="180" t="str">
        <f>IF(Hoja6!C9="*","Canceló",Hoja6!D9)</f>
        <v>Canceló</v>
      </c>
      <c r="E52" s="180" t="str">
        <f>IF(Hoja6!G9="*","Canceló",Hoja6!H9)</f>
        <v>Canceló</v>
      </c>
      <c r="F52" s="180" t="str">
        <f>IF(Hoja6!K9="*","Canceló",Hoja6!L9)</f>
        <v>Canceló</v>
      </c>
      <c r="G52" s="180" t="str">
        <f>IF(Hoja6!O9="*","Canceló",Hoja6!P9)</f>
        <v>Canceló</v>
      </c>
      <c r="H52" s="180" t="str">
        <f>IF(Hoja6!S9="*","Canceló",Hoja6!T9)</f>
        <v>Canceló</v>
      </c>
      <c r="I52" s="180" t="str">
        <f>IF(Hoja6!W9="*","Canceló",Hoja6!V9)</f>
        <v>Canceló</v>
      </c>
      <c r="J52" s="180" t="str">
        <f>IF(Hoja6!AA9="*","Canceló",Hoja6!Z9)</f>
        <v>Canceló</v>
      </c>
      <c r="K52" s="180" t="str">
        <f>IF(Hoja6!AE9="*","Canceló",Hoja6!AD9)</f>
        <v>Canceló</v>
      </c>
      <c r="L52" s="180" t="str">
        <f>IF(Hoja6!AI9="*","Canceló",Hoja6!AH9)</f>
        <v>Canceló</v>
      </c>
      <c r="M52" s="180" t="str">
        <f>IF(Hoja6!AM9="*","Canceló",Hoja6!AL9)</f>
        <v>Canceló</v>
      </c>
      <c r="N52" s="180" t="str">
        <f>IF(Hoja6!AQ9="*","Canceló",Hoja6!AP9)</f>
        <v>Canceló</v>
      </c>
      <c r="O52" s="180" t="str">
        <f>IF(Hoja6!AU9="*","Canceló",Hoja6!AT9)</f>
        <v>Canceló</v>
      </c>
      <c r="P52" s="180" t="str">
        <f>IF(Hoja6!AY9="*","Canceló",Hoja6!AX9)</f>
        <v>Canceló</v>
      </c>
      <c r="Q52" s="180" t="str">
        <f>IF(Hoja6!BC9="*","Canceló",Hoja6!BB9)</f>
        <v>Canceló</v>
      </c>
      <c r="R52" s="180" t="str">
        <f>IF(Hoja6!BG9="*","Canceló",Hoja6!BF9)</f>
        <v>Canceló</v>
      </c>
      <c r="S52" s="180" t="str">
        <f>IF(Hoja6!BK9="*","Canceló",Hoja6!BJ9)</f>
        <v>Canceló</v>
      </c>
      <c r="T52" s="180" t="str">
        <f>IF(Hoja6!BO9="*","Canceló",Hoja6!BN9)</f>
        <v>Canceló</v>
      </c>
      <c r="U52" s="180" t="str">
        <f>IF(Hoja6!BS9="*","Canceló",Hoja6!BR9)</f>
        <v>Canceló</v>
      </c>
      <c r="V52" s="180" t="str">
        <f>IF(Hoja6!BW9="*","Canceló",Hoja6!BV9)</f>
        <v>Canceló</v>
      </c>
      <c r="W52" s="180" t="str">
        <f>IF(Hoja6!CA9="*","Canceló",Hoja6!BZ9)</f>
        <v>Canceló</v>
      </c>
      <c r="X52" s="180" t="str">
        <f>IF(Hoja6!CE9="*","Canceló",Hoja6!CD9)</f>
        <v>Canceló</v>
      </c>
      <c r="Y52" s="180" t="str">
        <f>IF(Hoja6!CI9="*","Canceló",Hoja6!CH9)</f>
        <v>Canceló</v>
      </c>
      <c r="Z52" s="180" t="str">
        <f>IF(Hoja6!CM9="*","Canceló",Hoja6!CL9)</f>
        <v>Canceló</v>
      </c>
      <c r="AA52" s="180" t="str">
        <f>IF(Hoja6!CQ9="*","Canceló",Hoja6!CP9)</f>
        <v>Canceló</v>
      </c>
      <c r="AB52" s="180" t="str">
        <f>IF(Hoja6!CU9="*","Canceló",Hoja6!CT9)</f>
        <v>Canceló</v>
      </c>
      <c r="AC52" s="180" t="str">
        <f>IF(Hoja6!CY9="*","Canceló",Hoja6!CX9)</f>
        <v>Canceló</v>
      </c>
      <c r="AD52" s="180" t="str">
        <f>IF(Hoja6!DC9="*","Canceló",Hoja6!DB9)</f>
        <v>Canceló</v>
      </c>
      <c r="AE52" s="180" t="str">
        <f>IF(Hoja6!DG9="*","Canceló",Hoja6!DF9)</f>
        <v>Canceló</v>
      </c>
      <c r="AF52" s="180" t="str">
        <f>IF(Hoja6!DK9="*","Canceló",Hoja6!DJ9)</f>
        <v>Canceló</v>
      </c>
      <c r="AG52" s="180" t="str">
        <f>IF(Hoja6!DO9="*","Canceló",Hoja6!DN9)</f>
        <v>Canceló</v>
      </c>
      <c r="AH52" s="180" t="str">
        <f>IF(Hoja6!DS9="*","Canceló",Hoja6!DR9)</f>
        <v>Canceló</v>
      </c>
      <c r="AI52" s="180" t="str">
        <f>IF(Hoja6!DW9="*","Canceló",Hoja6!DV9)</f>
        <v>Canceló</v>
      </c>
      <c r="AJ52" s="180" t="str">
        <f>IF(Hoja6!EA9="*","Canceló",Hoja6!DZ9)</f>
        <v>Canceló</v>
      </c>
      <c r="AK52" s="180" t="str">
        <f>IF(Hoja6!EE9="*","Canceló",Hoja6!ED9)</f>
        <v>Canceló</v>
      </c>
      <c r="AL52" s="180" t="str">
        <f>IF(Hoja6!EI9="*","Canceló",Hoja6!EH9)</f>
        <v>Canceló</v>
      </c>
      <c r="AM52" s="180" t="str">
        <f>IF(Hoja6!EM9="*","Canceló",Hoja6!EL9)</f>
        <v>Canceló</v>
      </c>
      <c r="AN52" s="180" t="str">
        <f>IF(Hoja6!EQ9="*","Canceló",Hoja6!EP9)</f>
        <v>Canceló</v>
      </c>
      <c r="AO52" s="180" t="str">
        <f>IF(Hoja6!EU9="*","Canceló",Hoja6!ET9)</f>
        <v>Canceló</v>
      </c>
      <c r="AP52" s="180" t="str">
        <f>IF(Hoja6!EY9="*","Canceló",Hoja6!EX9)</f>
        <v>Canceló</v>
      </c>
      <c r="AQ52" s="180" t="str">
        <f>IF(Hoja6!FC9="*","Canceló",Hoja6!FB9)</f>
        <v>Canceló</v>
      </c>
      <c r="AR52" s="180" t="str">
        <f>IF(Hoja6!FG9="*","Canceló",Hoja6!FF9)</f>
        <v>Canceló</v>
      </c>
      <c r="AS52" s="180" t="str">
        <f>IF(Hoja6!FK9="*","Canceló",Hoja6!FJ9)</f>
        <v>Canceló</v>
      </c>
      <c r="AT52" s="180">
        <f>IF(Hoja6!FO9="*","Canceló",Hoja6!FN9)</f>
        <v>17.028078571428573</v>
      </c>
    </row>
    <row r="53" spans="1:46">
      <c r="A53" s="51">
        <f t="shared" si="0"/>
        <v>0</v>
      </c>
      <c r="B53" s="14">
        <f>Hoja6!HL10</f>
        <v>0</v>
      </c>
      <c r="C53" s="177" t="s">
        <v>25</v>
      </c>
      <c r="D53" s="180" t="str">
        <f>IF(Hoja6!C10="*","Canceló",Hoja6!D10)</f>
        <v>Canceló</v>
      </c>
      <c r="E53" s="180" t="str">
        <f>IF(Hoja6!G10="*","Canceló",Hoja6!H10)</f>
        <v>Canceló</v>
      </c>
      <c r="F53" s="180" t="str">
        <f>IF(Hoja6!K10="*","Canceló",Hoja6!L10)</f>
        <v>Canceló</v>
      </c>
      <c r="G53" s="180" t="str">
        <f>IF(Hoja6!O10="*","Canceló",Hoja6!P10)</f>
        <v>Canceló</v>
      </c>
      <c r="H53" s="180" t="str">
        <f>IF(Hoja6!S10="*","Canceló",Hoja6!T10)</f>
        <v>Canceló</v>
      </c>
      <c r="I53" s="180" t="str">
        <f>IF(Hoja6!W10="*","Canceló",Hoja6!V10)</f>
        <v>Canceló</v>
      </c>
      <c r="J53" s="180" t="str">
        <f>IF(Hoja6!AA10="*","Canceló",Hoja6!Z10)</f>
        <v>Canceló</v>
      </c>
      <c r="K53" s="180" t="str">
        <f>IF(Hoja6!AE10="*","Canceló",Hoja6!AD10)</f>
        <v>Canceló</v>
      </c>
      <c r="L53" s="180" t="str">
        <f>IF(Hoja6!AI10="*","Canceló",Hoja6!AH10)</f>
        <v>Canceló</v>
      </c>
      <c r="M53" s="180" t="str">
        <f>IF(Hoja6!AM10="*","Canceló",Hoja6!AL10)</f>
        <v>Canceló</v>
      </c>
      <c r="N53" s="180" t="str">
        <f>IF(Hoja6!AQ10="*","Canceló",Hoja6!AP10)</f>
        <v>Canceló</v>
      </c>
      <c r="O53" s="180" t="str">
        <f>IF(Hoja6!AU10="*","Canceló",Hoja6!AT10)</f>
        <v>Canceló</v>
      </c>
      <c r="P53" s="180" t="str">
        <f>IF(Hoja6!AY10="*","Canceló",Hoja6!AX10)</f>
        <v>Canceló</v>
      </c>
      <c r="Q53" s="180" t="str">
        <f>IF(Hoja6!BC10="*","Canceló",Hoja6!BB10)</f>
        <v>Canceló</v>
      </c>
      <c r="R53" s="180" t="str">
        <f>IF(Hoja6!BG10="*","Canceló",Hoja6!BF10)</f>
        <v>Canceló</v>
      </c>
      <c r="S53" s="180" t="str">
        <f>IF(Hoja6!BK10="*","Canceló",Hoja6!BJ10)</f>
        <v>Canceló</v>
      </c>
      <c r="T53" s="180" t="str">
        <f>IF(Hoja6!BO10="*","Canceló",Hoja6!BN10)</f>
        <v>Canceló</v>
      </c>
      <c r="U53" s="180" t="str">
        <f>IF(Hoja6!BS10="*","Canceló",Hoja6!BR10)</f>
        <v>Canceló</v>
      </c>
      <c r="V53" s="180" t="str">
        <f>IF(Hoja6!BW10="*","Canceló",Hoja6!BV10)</f>
        <v>Canceló</v>
      </c>
      <c r="W53" s="180" t="str">
        <f>IF(Hoja6!CA10="*","Canceló",Hoja6!BZ10)</f>
        <v>Canceló</v>
      </c>
      <c r="X53" s="180" t="str">
        <f>IF(Hoja6!CE10="*","Canceló",Hoja6!CD10)</f>
        <v>Canceló</v>
      </c>
      <c r="Y53" s="180" t="str">
        <f>IF(Hoja6!CI10="*","Canceló",Hoja6!CH10)</f>
        <v>Canceló</v>
      </c>
      <c r="Z53" s="180" t="str">
        <f>IF(Hoja6!CM10="*","Canceló",Hoja6!CL10)</f>
        <v>Canceló</v>
      </c>
      <c r="AA53" s="180" t="str">
        <f>IF(Hoja6!CQ10="*","Canceló",Hoja6!CP10)</f>
        <v>Canceló</v>
      </c>
      <c r="AB53" s="180" t="str">
        <f>IF(Hoja6!CU10="*","Canceló",Hoja6!CT10)</f>
        <v>Canceló</v>
      </c>
      <c r="AC53" s="180" t="str">
        <f>IF(Hoja6!CY10="*","Canceló",Hoja6!CX10)</f>
        <v>Canceló</v>
      </c>
      <c r="AD53" s="180" t="str">
        <f>IF(Hoja6!DC10="*","Canceló",Hoja6!DB10)</f>
        <v>Canceló</v>
      </c>
      <c r="AE53" s="180" t="str">
        <f>IF(Hoja6!DG10="*","Canceló",Hoja6!DF10)</f>
        <v>Canceló</v>
      </c>
      <c r="AF53" s="180" t="str">
        <f>IF(Hoja6!DK10="*","Canceló",Hoja6!DJ10)</f>
        <v>Canceló</v>
      </c>
      <c r="AG53" s="180" t="str">
        <f>IF(Hoja6!DO10="*","Canceló",Hoja6!DN10)</f>
        <v>Canceló</v>
      </c>
      <c r="AH53" s="180" t="str">
        <f>IF(Hoja6!DS10="*","Canceló",Hoja6!DR10)</f>
        <v>Canceló</v>
      </c>
      <c r="AI53" s="180" t="str">
        <f>IF(Hoja6!DW10="*","Canceló",Hoja6!DV10)</f>
        <v>Canceló</v>
      </c>
      <c r="AJ53" s="180" t="str">
        <f>IF(Hoja6!EA10="*","Canceló",Hoja6!DZ10)</f>
        <v>Canceló</v>
      </c>
      <c r="AK53" s="180" t="str">
        <f>IF(Hoja6!EE10="*","Canceló",Hoja6!ED10)</f>
        <v>Canceló</v>
      </c>
      <c r="AL53" s="180" t="str">
        <f>IF(Hoja6!EI10="*","Canceló",Hoja6!EH10)</f>
        <v>Canceló</v>
      </c>
      <c r="AM53" s="180" t="str">
        <f>IF(Hoja6!EM10="*","Canceló",Hoja6!EL10)</f>
        <v>Canceló</v>
      </c>
      <c r="AN53" s="180" t="str">
        <f>IF(Hoja6!EQ10="*","Canceló",Hoja6!EP10)</f>
        <v>Canceló</v>
      </c>
      <c r="AO53" s="180" t="str">
        <f>IF(Hoja6!EU10="*","Canceló",Hoja6!ET10)</f>
        <v>Canceló</v>
      </c>
      <c r="AP53" s="180" t="str">
        <f>IF(Hoja6!EY10="*","Canceló",Hoja6!EX10)</f>
        <v>Canceló</v>
      </c>
      <c r="AQ53" s="180" t="str">
        <f>IF(Hoja6!FC10="*","Canceló",Hoja6!FB10)</f>
        <v>Canceló</v>
      </c>
      <c r="AR53" s="180" t="str">
        <f>IF(Hoja6!FG10="*","Canceló",Hoja6!FF10)</f>
        <v>Canceló</v>
      </c>
      <c r="AS53" s="180" t="str">
        <f>IF(Hoja6!FK10="*","Canceló",Hoja6!FJ10)</f>
        <v>Canceló</v>
      </c>
      <c r="AT53" s="180">
        <f>IF(Hoja6!FO10="*","Canceló",Hoja6!FN10)</f>
        <v>17.028078571428573</v>
      </c>
    </row>
    <row r="54" spans="1:46">
      <c r="A54" s="51">
        <f t="shared" si="0"/>
        <v>0</v>
      </c>
      <c r="B54" s="14">
        <f>Hoja6!HL11</f>
        <v>0</v>
      </c>
      <c r="C54" s="177" t="s">
        <v>27</v>
      </c>
      <c r="D54" s="180" t="str">
        <f>IF(Hoja6!C11="*","Canceló",Hoja6!D11)</f>
        <v>Canceló</v>
      </c>
      <c r="E54" s="180" t="str">
        <f>IF(Hoja6!G11="*","Canceló",Hoja6!H11)</f>
        <v>Canceló</v>
      </c>
      <c r="F54" s="180" t="str">
        <f>IF(Hoja6!K11="*","Canceló",Hoja6!L11)</f>
        <v>Canceló</v>
      </c>
      <c r="G54" s="180" t="str">
        <f>IF(Hoja6!O11="*","Canceló",Hoja6!P11)</f>
        <v>Canceló</v>
      </c>
      <c r="H54" s="180" t="str">
        <f>IF(Hoja6!S11="*","Canceló",Hoja6!T11)</f>
        <v>Canceló</v>
      </c>
      <c r="I54" s="180" t="str">
        <f>IF(Hoja6!W11="*","Canceló",Hoja6!V11)</f>
        <v>Canceló</v>
      </c>
      <c r="J54" s="180" t="str">
        <f>IF(Hoja6!AA11="*","Canceló",Hoja6!Z11)</f>
        <v>Canceló</v>
      </c>
      <c r="K54" s="180" t="str">
        <f>IF(Hoja6!AE11="*","Canceló",Hoja6!AD11)</f>
        <v>Canceló</v>
      </c>
      <c r="L54" s="180" t="str">
        <f>IF(Hoja6!AI11="*","Canceló",Hoja6!AH11)</f>
        <v>Canceló</v>
      </c>
      <c r="M54" s="180" t="str">
        <f>IF(Hoja6!AM11="*","Canceló",Hoja6!AL11)</f>
        <v>Canceló</v>
      </c>
      <c r="N54" s="180" t="str">
        <f>IF(Hoja6!AQ11="*","Canceló",Hoja6!AP11)</f>
        <v>Canceló</v>
      </c>
      <c r="O54" s="180" t="str">
        <f>IF(Hoja6!AU11="*","Canceló",Hoja6!AT11)</f>
        <v>Canceló</v>
      </c>
      <c r="P54" s="180" t="str">
        <f>IF(Hoja6!AY11="*","Canceló",Hoja6!AX11)</f>
        <v>Canceló</v>
      </c>
      <c r="Q54" s="180" t="str">
        <f>IF(Hoja6!BC11="*","Canceló",Hoja6!BB11)</f>
        <v>Canceló</v>
      </c>
      <c r="R54" s="180" t="str">
        <f>IF(Hoja6!BG11="*","Canceló",Hoja6!BF11)</f>
        <v>Canceló</v>
      </c>
      <c r="S54" s="180" t="str">
        <f>IF(Hoja6!BK11="*","Canceló",Hoja6!BJ11)</f>
        <v>Canceló</v>
      </c>
      <c r="T54" s="180" t="str">
        <f>IF(Hoja6!BO11="*","Canceló",Hoja6!BN11)</f>
        <v>Canceló</v>
      </c>
      <c r="U54" s="180" t="str">
        <f>IF(Hoja6!BS11="*","Canceló",Hoja6!BR11)</f>
        <v>Canceló</v>
      </c>
      <c r="V54" s="180" t="str">
        <f>IF(Hoja6!BW11="*","Canceló",Hoja6!BV11)</f>
        <v>Canceló</v>
      </c>
      <c r="W54" s="180" t="str">
        <f>IF(Hoja6!CA11="*","Canceló",Hoja6!BZ11)</f>
        <v>Canceló</v>
      </c>
      <c r="X54" s="180" t="str">
        <f>IF(Hoja6!CE11="*","Canceló",Hoja6!CD11)</f>
        <v>Canceló</v>
      </c>
      <c r="Y54" s="180" t="str">
        <f>IF(Hoja6!CI11="*","Canceló",Hoja6!CH11)</f>
        <v>Canceló</v>
      </c>
      <c r="Z54" s="180" t="str">
        <f>IF(Hoja6!CM11="*","Canceló",Hoja6!CL11)</f>
        <v>Canceló</v>
      </c>
      <c r="AA54" s="180" t="str">
        <f>IF(Hoja6!CQ11="*","Canceló",Hoja6!CP11)</f>
        <v>Canceló</v>
      </c>
      <c r="AB54" s="180" t="str">
        <f>IF(Hoja6!CU11="*","Canceló",Hoja6!CT11)</f>
        <v>Canceló</v>
      </c>
      <c r="AC54" s="180" t="str">
        <f>IF(Hoja6!CY11="*","Canceló",Hoja6!CX11)</f>
        <v>Canceló</v>
      </c>
      <c r="AD54" s="180" t="str">
        <f>IF(Hoja6!DC11="*","Canceló",Hoja6!DB11)</f>
        <v>Canceló</v>
      </c>
      <c r="AE54" s="180" t="str">
        <f>IF(Hoja6!DG11="*","Canceló",Hoja6!DF11)</f>
        <v>Canceló</v>
      </c>
      <c r="AF54" s="180" t="str">
        <f>IF(Hoja6!DK11="*","Canceló",Hoja6!DJ11)</f>
        <v>Canceló</v>
      </c>
      <c r="AG54" s="180" t="str">
        <f>IF(Hoja6!DO11="*","Canceló",Hoja6!DN11)</f>
        <v>Canceló</v>
      </c>
      <c r="AH54" s="180" t="str">
        <f>IF(Hoja6!DS11="*","Canceló",Hoja6!DR11)</f>
        <v>Canceló</v>
      </c>
      <c r="AI54" s="180" t="str">
        <f>IF(Hoja6!DW11="*","Canceló",Hoja6!DV11)</f>
        <v>Canceló</v>
      </c>
      <c r="AJ54" s="180" t="str">
        <f>IF(Hoja6!EA11="*","Canceló",Hoja6!DZ11)</f>
        <v>Canceló</v>
      </c>
      <c r="AK54" s="180" t="str">
        <f>IF(Hoja6!EE11="*","Canceló",Hoja6!ED11)</f>
        <v>Canceló</v>
      </c>
      <c r="AL54" s="180" t="str">
        <f>IF(Hoja6!EI11="*","Canceló",Hoja6!EH11)</f>
        <v>Canceló</v>
      </c>
      <c r="AM54" s="180" t="str">
        <f>IF(Hoja6!EM11="*","Canceló",Hoja6!EL11)</f>
        <v>Canceló</v>
      </c>
      <c r="AN54" s="180" t="str">
        <f>IF(Hoja6!EQ11="*","Canceló",Hoja6!EP11)</f>
        <v>Canceló</v>
      </c>
      <c r="AO54" s="180" t="str">
        <f>IF(Hoja6!EU11="*","Canceló",Hoja6!ET11)</f>
        <v>Canceló</v>
      </c>
      <c r="AP54" s="180" t="str">
        <f>IF(Hoja6!EY11="*","Canceló",Hoja6!EX11)</f>
        <v>Canceló</v>
      </c>
      <c r="AQ54" s="180" t="str">
        <f>IF(Hoja6!FC11="*","Canceló",Hoja6!FB11)</f>
        <v>Canceló</v>
      </c>
      <c r="AR54" s="180" t="str">
        <f>IF(Hoja6!FG11="*","Canceló",Hoja6!FF11)</f>
        <v>Canceló</v>
      </c>
      <c r="AS54" s="180" t="str">
        <f>IF(Hoja6!FK11="*","Canceló",Hoja6!FJ11)</f>
        <v>Canceló</v>
      </c>
      <c r="AT54" s="180">
        <f>IF(Hoja6!FO11="*","Canceló",Hoja6!FN11)</f>
        <v>17.028078571428573</v>
      </c>
    </row>
    <row r="55" spans="1:46">
      <c r="A55" s="51">
        <f t="shared" si="0"/>
        <v>0</v>
      </c>
      <c r="B55" s="14">
        <f>Hoja6!HL12</f>
        <v>0</v>
      </c>
      <c r="C55" s="177" t="s">
        <v>29</v>
      </c>
      <c r="D55" s="180" t="str">
        <f>IF(Hoja6!C12="*","Canceló",Hoja6!D12)</f>
        <v>Canceló</v>
      </c>
      <c r="E55" s="180" t="str">
        <f>IF(Hoja6!G12="*","Canceló",Hoja6!H12)</f>
        <v>Canceló</v>
      </c>
      <c r="F55" s="180" t="str">
        <f>IF(Hoja6!K12="*","Canceló",Hoja6!L12)</f>
        <v>Canceló</v>
      </c>
      <c r="G55" s="180" t="str">
        <f>IF(Hoja6!O12="*","Canceló",Hoja6!P12)</f>
        <v>Canceló</v>
      </c>
      <c r="H55" s="180" t="str">
        <f>IF(Hoja6!S12="*","Canceló",Hoja6!T12)</f>
        <v>Canceló</v>
      </c>
      <c r="I55" s="180" t="str">
        <f>IF(Hoja6!W12="*","Canceló",Hoja6!V12)</f>
        <v>Canceló</v>
      </c>
      <c r="J55" s="180" t="str">
        <f>IF(Hoja6!AA12="*","Canceló",Hoja6!Z12)</f>
        <v>Canceló</v>
      </c>
      <c r="K55" s="180" t="str">
        <f>IF(Hoja6!AE12="*","Canceló",Hoja6!AD12)</f>
        <v>Canceló</v>
      </c>
      <c r="L55" s="180" t="str">
        <f>IF(Hoja6!AI12="*","Canceló",Hoja6!AH12)</f>
        <v>Canceló</v>
      </c>
      <c r="M55" s="180" t="str">
        <f>IF(Hoja6!AM12="*","Canceló",Hoja6!AL12)</f>
        <v>Canceló</v>
      </c>
      <c r="N55" s="180" t="str">
        <f>IF(Hoja6!AQ12="*","Canceló",Hoja6!AP12)</f>
        <v>Canceló</v>
      </c>
      <c r="O55" s="180" t="str">
        <f>IF(Hoja6!AU12="*","Canceló",Hoja6!AT12)</f>
        <v>Canceló</v>
      </c>
      <c r="P55" s="180" t="str">
        <f>IF(Hoja6!AY12="*","Canceló",Hoja6!AX12)</f>
        <v>Canceló</v>
      </c>
      <c r="Q55" s="180" t="str">
        <f>IF(Hoja6!BC12="*","Canceló",Hoja6!BB12)</f>
        <v>Canceló</v>
      </c>
      <c r="R55" s="180" t="str">
        <f>IF(Hoja6!BG12="*","Canceló",Hoja6!BF12)</f>
        <v>Canceló</v>
      </c>
      <c r="S55" s="180" t="str">
        <f>IF(Hoja6!BK12="*","Canceló",Hoja6!BJ12)</f>
        <v>Canceló</v>
      </c>
      <c r="T55" s="180" t="str">
        <f>IF(Hoja6!BO12="*","Canceló",Hoja6!BN12)</f>
        <v>Canceló</v>
      </c>
      <c r="U55" s="180" t="str">
        <f>IF(Hoja6!BS12="*","Canceló",Hoja6!BR12)</f>
        <v>Canceló</v>
      </c>
      <c r="V55" s="180" t="str">
        <f>IF(Hoja6!BW12="*","Canceló",Hoja6!BV12)</f>
        <v>Canceló</v>
      </c>
      <c r="W55" s="180" t="str">
        <f>IF(Hoja6!CA12="*","Canceló",Hoja6!BZ12)</f>
        <v>Canceló</v>
      </c>
      <c r="X55" s="180" t="str">
        <f>IF(Hoja6!CE12="*","Canceló",Hoja6!CD12)</f>
        <v>Canceló</v>
      </c>
      <c r="Y55" s="180" t="str">
        <f>IF(Hoja6!CI12="*","Canceló",Hoja6!CH12)</f>
        <v>Canceló</v>
      </c>
      <c r="Z55" s="180" t="str">
        <f>IF(Hoja6!CM12="*","Canceló",Hoja6!CL12)</f>
        <v>Canceló</v>
      </c>
      <c r="AA55" s="180" t="str">
        <f>IF(Hoja6!CQ12="*","Canceló",Hoja6!CP12)</f>
        <v>Canceló</v>
      </c>
      <c r="AB55" s="180" t="str">
        <f>IF(Hoja6!CU12="*","Canceló",Hoja6!CT12)</f>
        <v>Canceló</v>
      </c>
      <c r="AC55" s="180" t="str">
        <f>IF(Hoja6!CY12="*","Canceló",Hoja6!CX12)</f>
        <v>Canceló</v>
      </c>
      <c r="AD55" s="180" t="str">
        <f>IF(Hoja6!DC12="*","Canceló",Hoja6!DB12)</f>
        <v>Canceló</v>
      </c>
      <c r="AE55" s="180" t="str">
        <f>IF(Hoja6!DG12="*","Canceló",Hoja6!DF12)</f>
        <v>Canceló</v>
      </c>
      <c r="AF55" s="180" t="str">
        <f>IF(Hoja6!DK12="*","Canceló",Hoja6!DJ12)</f>
        <v>Canceló</v>
      </c>
      <c r="AG55" s="180" t="str">
        <f>IF(Hoja6!DO12="*","Canceló",Hoja6!DN12)</f>
        <v>Canceló</v>
      </c>
      <c r="AH55" s="180" t="str">
        <f>IF(Hoja6!DS12="*","Canceló",Hoja6!DR12)</f>
        <v>Canceló</v>
      </c>
      <c r="AI55" s="180" t="str">
        <f>IF(Hoja6!DW12="*","Canceló",Hoja6!DV12)</f>
        <v>Canceló</v>
      </c>
      <c r="AJ55" s="180" t="str">
        <f>IF(Hoja6!EA12="*","Canceló",Hoja6!DZ12)</f>
        <v>Canceló</v>
      </c>
      <c r="AK55" s="180" t="str">
        <f>IF(Hoja6!EE12="*","Canceló",Hoja6!ED12)</f>
        <v>Canceló</v>
      </c>
      <c r="AL55" s="180" t="str">
        <f>IF(Hoja6!EI12="*","Canceló",Hoja6!EH12)</f>
        <v>Canceló</v>
      </c>
      <c r="AM55" s="180" t="str">
        <f>IF(Hoja6!EM12="*","Canceló",Hoja6!EL12)</f>
        <v>Canceló</v>
      </c>
      <c r="AN55" s="180" t="str">
        <f>IF(Hoja6!EQ12="*","Canceló",Hoja6!EP12)</f>
        <v>Canceló</v>
      </c>
      <c r="AO55" s="180" t="str">
        <f>IF(Hoja6!EU12="*","Canceló",Hoja6!ET12)</f>
        <v>Canceló</v>
      </c>
      <c r="AP55" s="180" t="str">
        <f>IF(Hoja6!EY12="*","Canceló",Hoja6!EX12)</f>
        <v>Canceló</v>
      </c>
      <c r="AQ55" s="180" t="str">
        <f>IF(Hoja6!FC12="*","Canceló",Hoja6!FB12)</f>
        <v>Canceló</v>
      </c>
      <c r="AR55" s="180" t="str">
        <f>IF(Hoja6!FG12="*","Canceló",Hoja6!FF12)</f>
        <v>Canceló</v>
      </c>
      <c r="AS55" s="180" t="str">
        <f>IF(Hoja6!FK12="*","Canceló",Hoja6!FJ12)</f>
        <v>Canceló</v>
      </c>
      <c r="AT55" s="180">
        <f>IF(Hoja6!FO12="*","Canceló",Hoja6!FN12)</f>
        <v>17.028078571428573</v>
      </c>
    </row>
    <row r="56" spans="1:46">
      <c r="A56" s="51">
        <f t="shared" si="0"/>
        <v>0</v>
      </c>
      <c r="B56" s="14">
        <f>Hoja6!HL13</f>
        <v>0</v>
      </c>
      <c r="C56" s="177" t="s">
        <v>31</v>
      </c>
      <c r="D56" s="180" t="str">
        <f>IF(Hoja6!C13="*","Canceló",Hoja6!D13)</f>
        <v>Canceló</v>
      </c>
      <c r="E56" s="180" t="str">
        <f>IF(Hoja6!G13="*","Canceló",Hoja6!H13)</f>
        <v>Canceló</v>
      </c>
      <c r="F56" s="180" t="str">
        <f>IF(Hoja6!K13="*","Canceló",Hoja6!L13)</f>
        <v>Canceló</v>
      </c>
      <c r="G56" s="180" t="str">
        <f>IF(Hoja6!O13="*","Canceló",Hoja6!P13)</f>
        <v>Canceló</v>
      </c>
      <c r="H56" s="180" t="str">
        <f>IF(Hoja6!S13="*","Canceló",Hoja6!T13)</f>
        <v>Canceló</v>
      </c>
      <c r="I56" s="180" t="str">
        <f>IF(Hoja6!W13="*","Canceló",Hoja6!V13)</f>
        <v>Canceló</v>
      </c>
      <c r="J56" s="180" t="str">
        <f>IF(Hoja6!AA13="*","Canceló",Hoja6!Z13)</f>
        <v>Canceló</v>
      </c>
      <c r="K56" s="180" t="str">
        <f>IF(Hoja6!AE13="*","Canceló",Hoja6!AD13)</f>
        <v>Canceló</v>
      </c>
      <c r="L56" s="180" t="str">
        <f>IF(Hoja6!AI13="*","Canceló",Hoja6!AH13)</f>
        <v>Canceló</v>
      </c>
      <c r="M56" s="180" t="str">
        <f>IF(Hoja6!AM13="*","Canceló",Hoja6!AL13)</f>
        <v>Canceló</v>
      </c>
      <c r="N56" s="180" t="str">
        <f>IF(Hoja6!AQ13="*","Canceló",Hoja6!AP13)</f>
        <v>Canceló</v>
      </c>
      <c r="O56" s="180" t="str">
        <f>IF(Hoja6!AU13="*","Canceló",Hoja6!AT13)</f>
        <v>Canceló</v>
      </c>
      <c r="P56" s="180" t="str">
        <f>IF(Hoja6!AY13="*","Canceló",Hoja6!AX13)</f>
        <v>Canceló</v>
      </c>
      <c r="Q56" s="180" t="str">
        <f>IF(Hoja6!BC13="*","Canceló",Hoja6!BB13)</f>
        <v>Canceló</v>
      </c>
      <c r="R56" s="180" t="str">
        <f>IF(Hoja6!BG13="*","Canceló",Hoja6!BF13)</f>
        <v>Canceló</v>
      </c>
      <c r="S56" s="180" t="str">
        <f>IF(Hoja6!BK13="*","Canceló",Hoja6!BJ13)</f>
        <v>Canceló</v>
      </c>
      <c r="T56" s="180" t="str">
        <f>IF(Hoja6!BO13="*","Canceló",Hoja6!BN13)</f>
        <v>Canceló</v>
      </c>
      <c r="U56" s="180" t="str">
        <f>IF(Hoja6!BS13="*","Canceló",Hoja6!BR13)</f>
        <v>Canceló</v>
      </c>
      <c r="V56" s="180" t="str">
        <f>IF(Hoja6!BW13="*","Canceló",Hoja6!BV13)</f>
        <v>Canceló</v>
      </c>
      <c r="W56" s="180" t="str">
        <f>IF(Hoja6!CA13="*","Canceló",Hoja6!BZ13)</f>
        <v>Canceló</v>
      </c>
      <c r="X56" s="180" t="str">
        <f>IF(Hoja6!CE13="*","Canceló",Hoja6!CD13)</f>
        <v>Canceló</v>
      </c>
      <c r="Y56" s="180" t="str">
        <f>IF(Hoja6!CI13="*","Canceló",Hoja6!CH13)</f>
        <v>Canceló</v>
      </c>
      <c r="Z56" s="180" t="str">
        <f>IF(Hoja6!CM13="*","Canceló",Hoja6!CL13)</f>
        <v>Canceló</v>
      </c>
      <c r="AA56" s="180" t="str">
        <f>IF(Hoja6!CQ13="*","Canceló",Hoja6!CP13)</f>
        <v>Canceló</v>
      </c>
      <c r="AB56" s="180" t="str">
        <f>IF(Hoja6!CU13="*","Canceló",Hoja6!CT13)</f>
        <v>Canceló</v>
      </c>
      <c r="AC56" s="180" t="str">
        <f>IF(Hoja6!CY13="*","Canceló",Hoja6!CX13)</f>
        <v>Canceló</v>
      </c>
      <c r="AD56" s="180" t="str">
        <f>IF(Hoja6!DC13="*","Canceló",Hoja6!DB13)</f>
        <v>Canceló</v>
      </c>
      <c r="AE56" s="180" t="str">
        <f>IF(Hoja6!DG13="*","Canceló",Hoja6!DF13)</f>
        <v>Canceló</v>
      </c>
      <c r="AF56" s="180" t="str">
        <f>IF(Hoja6!DK13="*","Canceló",Hoja6!DJ13)</f>
        <v>Canceló</v>
      </c>
      <c r="AG56" s="180" t="str">
        <f>IF(Hoja6!DO13="*","Canceló",Hoja6!DN13)</f>
        <v>Canceló</v>
      </c>
      <c r="AH56" s="180" t="str">
        <f>IF(Hoja6!DS13="*","Canceló",Hoja6!DR13)</f>
        <v>Canceló</v>
      </c>
      <c r="AI56" s="180" t="str">
        <f>IF(Hoja6!DW13="*","Canceló",Hoja6!DV13)</f>
        <v>Canceló</v>
      </c>
      <c r="AJ56" s="180" t="str">
        <f>IF(Hoja6!EA13="*","Canceló",Hoja6!DZ13)</f>
        <v>Canceló</v>
      </c>
      <c r="AK56" s="180" t="str">
        <f>IF(Hoja6!EE13="*","Canceló",Hoja6!ED13)</f>
        <v>Canceló</v>
      </c>
      <c r="AL56" s="180" t="str">
        <f>IF(Hoja6!EI13="*","Canceló",Hoja6!EH13)</f>
        <v>Canceló</v>
      </c>
      <c r="AM56" s="180" t="str">
        <f>IF(Hoja6!EM13="*","Canceló",Hoja6!EL13)</f>
        <v>Canceló</v>
      </c>
      <c r="AN56" s="180" t="str">
        <f>IF(Hoja6!EQ13="*","Canceló",Hoja6!EP13)</f>
        <v>Canceló</v>
      </c>
      <c r="AO56" s="180" t="str">
        <f>IF(Hoja6!EU13="*","Canceló",Hoja6!ET13)</f>
        <v>Canceló</v>
      </c>
      <c r="AP56" s="180" t="str">
        <f>IF(Hoja6!EY13="*","Canceló",Hoja6!EX13)</f>
        <v>Canceló</v>
      </c>
      <c r="AQ56" s="180" t="str">
        <f>IF(Hoja6!FC13="*","Canceló",Hoja6!FB13)</f>
        <v>Canceló</v>
      </c>
      <c r="AR56" s="180" t="str">
        <f>IF(Hoja6!FG13="*","Canceló",Hoja6!FF13)</f>
        <v>Canceló</v>
      </c>
      <c r="AS56" s="180" t="str">
        <f>IF(Hoja6!FK13="*","Canceló",Hoja6!FJ13)</f>
        <v>Canceló</v>
      </c>
      <c r="AT56" s="180">
        <f>IF(Hoja6!FO13="*","Canceló",Hoja6!FN13)</f>
        <v>17.028078571428573</v>
      </c>
    </row>
    <row r="57" spans="1:46">
      <c r="A57" s="51">
        <f t="shared" si="0"/>
        <v>0</v>
      </c>
      <c r="B57" s="14">
        <f>Hoja6!HL14</f>
        <v>0</v>
      </c>
      <c r="C57" s="177" t="s">
        <v>32</v>
      </c>
      <c r="D57" s="180" t="str">
        <f>IF(Hoja6!C14="*","Canceló",Hoja6!D14)</f>
        <v>Canceló</v>
      </c>
      <c r="E57" s="180" t="str">
        <f>IF(Hoja6!G14="*","Canceló",Hoja6!H14)</f>
        <v>Canceló</v>
      </c>
      <c r="F57" s="180" t="str">
        <f>IF(Hoja6!K14="*","Canceló",Hoja6!L14)</f>
        <v>Canceló</v>
      </c>
      <c r="G57" s="180" t="str">
        <f>IF(Hoja6!O14="*","Canceló",Hoja6!P14)</f>
        <v>Canceló</v>
      </c>
      <c r="H57" s="180" t="str">
        <f>IF(Hoja6!S14="*","Canceló",Hoja6!T14)</f>
        <v>Canceló</v>
      </c>
      <c r="I57" s="180" t="str">
        <f>IF(Hoja6!W14="*","Canceló",Hoja6!V14)</f>
        <v>Canceló</v>
      </c>
      <c r="J57" s="180" t="str">
        <f>IF(Hoja6!AA14="*","Canceló",Hoja6!Z14)</f>
        <v>Canceló</v>
      </c>
      <c r="K57" s="180" t="str">
        <f>IF(Hoja6!AE14="*","Canceló",Hoja6!AD14)</f>
        <v>Canceló</v>
      </c>
      <c r="L57" s="180" t="str">
        <f>IF(Hoja6!AI14="*","Canceló",Hoja6!AH14)</f>
        <v>Canceló</v>
      </c>
      <c r="M57" s="180" t="str">
        <f>IF(Hoja6!AM14="*","Canceló",Hoja6!AL14)</f>
        <v>Canceló</v>
      </c>
      <c r="N57" s="180" t="str">
        <f>IF(Hoja6!AQ14="*","Canceló",Hoja6!AP14)</f>
        <v>Canceló</v>
      </c>
      <c r="O57" s="180" t="str">
        <f>IF(Hoja6!AU14="*","Canceló",Hoja6!AT14)</f>
        <v>Canceló</v>
      </c>
      <c r="P57" s="180" t="str">
        <f>IF(Hoja6!AY14="*","Canceló",Hoja6!AX14)</f>
        <v>Canceló</v>
      </c>
      <c r="Q57" s="180" t="str">
        <f>IF(Hoja6!BC14="*","Canceló",Hoja6!BB14)</f>
        <v>Canceló</v>
      </c>
      <c r="R57" s="180" t="str">
        <f>IF(Hoja6!BG14="*","Canceló",Hoja6!BF14)</f>
        <v>Canceló</v>
      </c>
      <c r="S57" s="180" t="str">
        <f>IF(Hoja6!BK14="*","Canceló",Hoja6!BJ14)</f>
        <v>Canceló</v>
      </c>
      <c r="T57" s="180" t="str">
        <f>IF(Hoja6!BO14="*","Canceló",Hoja6!BN14)</f>
        <v>Canceló</v>
      </c>
      <c r="U57" s="180" t="str">
        <f>IF(Hoja6!BS14="*","Canceló",Hoja6!BR14)</f>
        <v>Canceló</v>
      </c>
      <c r="V57" s="180" t="str">
        <f>IF(Hoja6!BW14="*","Canceló",Hoja6!BV14)</f>
        <v>Canceló</v>
      </c>
      <c r="W57" s="180" t="str">
        <f>IF(Hoja6!CA14="*","Canceló",Hoja6!BZ14)</f>
        <v>Canceló</v>
      </c>
      <c r="X57" s="180" t="str">
        <f>IF(Hoja6!CE14="*","Canceló",Hoja6!CD14)</f>
        <v>Canceló</v>
      </c>
      <c r="Y57" s="180" t="str">
        <f>IF(Hoja6!CI14="*","Canceló",Hoja6!CH14)</f>
        <v>Canceló</v>
      </c>
      <c r="Z57" s="180" t="str">
        <f>IF(Hoja6!CM14="*","Canceló",Hoja6!CL14)</f>
        <v>Canceló</v>
      </c>
      <c r="AA57" s="180" t="str">
        <f>IF(Hoja6!CQ14="*","Canceló",Hoja6!CP14)</f>
        <v>Canceló</v>
      </c>
      <c r="AB57" s="180" t="str">
        <f>IF(Hoja6!CU14="*","Canceló",Hoja6!CT14)</f>
        <v>Canceló</v>
      </c>
      <c r="AC57" s="180" t="str">
        <f>IF(Hoja6!CY14="*","Canceló",Hoja6!CX14)</f>
        <v>Canceló</v>
      </c>
      <c r="AD57" s="180" t="str">
        <f>IF(Hoja6!DC14="*","Canceló",Hoja6!DB14)</f>
        <v>Canceló</v>
      </c>
      <c r="AE57" s="180" t="str">
        <f>IF(Hoja6!DG14="*","Canceló",Hoja6!DF14)</f>
        <v>Canceló</v>
      </c>
      <c r="AF57" s="180" t="str">
        <f>IF(Hoja6!DK14="*","Canceló",Hoja6!DJ14)</f>
        <v>Canceló</v>
      </c>
      <c r="AG57" s="180" t="str">
        <f>IF(Hoja6!DO14="*","Canceló",Hoja6!DN14)</f>
        <v>Canceló</v>
      </c>
      <c r="AH57" s="180" t="str">
        <f>IF(Hoja6!DS14="*","Canceló",Hoja6!DR14)</f>
        <v>Canceló</v>
      </c>
      <c r="AI57" s="180" t="str">
        <f>IF(Hoja6!DW14="*","Canceló",Hoja6!DV14)</f>
        <v>Canceló</v>
      </c>
      <c r="AJ57" s="180" t="str">
        <f>IF(Hoja6!EA14="*","Canceló",Hoja6!DZ14)</f>
        <v>Canceló</v>
      </c>
      <c r="AK57" s="180" t="str">
        <f>IF(Hoja6!EE14="*","Canceló",Hoja6!ED14)</f>
        <v>Canceló</v>
      </c>
      <c r="AL57" s="180" t="str">
        <f>IF(Hoja6!EI14="*","Canceló",Hoja6!EH14)</f>
        <v>Canceló</v>
      </c>
      <c r="AM57" s="180" t="str">
        <f>IF(Hoja6!EM14="*","Canceló",Hoja6!EL14)</f>
        <v>Canceló</v>
      </c>
      <c r="AN57" s="180" t="str">
        <f>IF(Hoja6!EQ14="*","Canceló",Hoja6!EP14)</f>
        <v>Canceló</v>
      </c>
      <c r="AO57" s="180" t="str">
        <f>IF(Hoja6!EU14="*","Canceló",Hoja6!ET14)</f>
        <v>Canceló</v>
      </c>
      <c r="AP57" s="180" t="str">
        <f>IF(Hoja6!EY14="*","Canceló",Hoja6!EX14)</f>
        <v>Canceló</v>
      </c>
      <c r="AQ57" s="180" t="str">
        <f>IF(Hoja6!FC14="*","Canceló",Hoja6!FB14)</f>
        <v>Canceló</v>
      </c>
      <c r="AR57" s="180" t="str">
        <f>IF(Hoja6!FG14="*","Canceló",Hoja6!FF14)</f>
        <v>Canceló</v>
      </c>
      <c r="AS57" s="180" t="str">
        <f>IF(Hoja6!FK14="*","Canceló",Hoja6!FJ14)</f>
        <v>Canceló</v>
      </c>
      <c r="AT57" s="180">
        <f>IF(Hoja6!FO14="*","Canceló",Hoja6!FN14)</f>
        <v>17.028078571428573</v>
      </c>
    </row>
    <row r="58" spans="1:46">
      <c r="A58" s="51">
        <f t="shared" si="0"/>
        <v>0</v>
      </c>
      <c r="B58" s="14">
        <f>Hoja6!HL15</f>
        <v>0</v>
      </c>
      <c r="C58" s="177" t="s">
        <v>34</v>
      </c>
      <c r="D58" s="180" t="str">
        <f>IF(Hoja6!C15="*","Canceló",Hoja6!D15)</f>
        <v>Canceló</v>
      </c>
      <c r="E58" s="180" t="str">
        <f>IF(Hoja6!G15="*","Canceló",Hoja6!H15)</f>
        <v>Canceló</v>
      </c>
      <c r="F58" s="180" t="str">
        <f>IF(Hoja6!K15="*","Canceló",Hoja6!L15)</f>
        <v>Canceló</v>
      </c>
      <c r="G58" s="180" t="str">
        <f>IF(Hoja6!O15="*","Canceló",Hoja6!P15)</f>
        <v>Canceló</v>
      </c>
      <c r="H58" s="180" t="str">
        <f>IF(Hoja6!S15="*","Canceló",Hoja6!T15)</f>
        <v>Canceló</v>
      </c>
      <c r="I58" s="180" t="str">
        <f>IF(Hoja6!W15="*","Canceló",Hoja6!V15)</f>
        <v>Canceló</v>
      </c>
      <c r="J58" s="180" t="str">
        <f>IF(Hoja6!AA15="*","Canceló",Hoja6!Z15)</f>
        <v>Canceló</v>
      </c>
      <c r="K58" s="180" t="str">
        <f>IF(Hoja6!AE15="*","Canceló",Hoja6!AD15)</f>
        <v>Canceló</v>
      </c>
      <c r="L58" s="180" t="str">
        <f>IF(Hoja6!AI15="*","Canceló",Hoja6!AH15)</f>
        <v>Canceló</v>
      </c>
      <c r="M58" s="180" t="str">
        <f>IF(Hoja6!AM15="*","Canceló",Hoja6!AL15)</f>
        <v>Canceló</v>
      </c>
      <c r="N58" s="180" t="str">
        <f>IF(Hoja6!AQ15="*","Canceló",Hoja6!AP15)</f>
        <v>Canceló</v>
      </c>
      <c r="O58" s="180" t="str">
        <f>IF(Hoja6!AU15="*","Canceló",Hoja6!AT15)</f>
        <v>Canceló</v>
      </c>
      <c r="P58" s="180" t="str">
        <f>IF(Hoja6!AY15="*","Canceló",Hoja6!AX15)</f>
        <v>Canceló</v>
      </c>
      <c r="Q58" s="180" t="str">
        <f>IF(Hoja6!BC15="*","Canceló",Hoja6!BB15)</f>
        <v>Canceló</v>
      </c>
      <c r="R58" s="180" t="str">
        <f>IF(Hoja6!BG15="*","Canceló",Hoja6!BF15)</f>
        <v>Canceló</v>
      </c>
      <c r="S58" s="180" t="str">
        <f>IF(Hoja6!BK15="*","Canceló",Hoja6!BJ15)</f>
        <v>Canceló</v>
      </c>
      <c r="T58" s="180" t="str">
        <f>IF(Hoja6!BO15="*","Canceló",Hoja6!BN15)</f>
        <v>Canceló</v>
      </c>
      <c r="U58" s="180" t="str">
        <f>IF(Hoja6!BS15="*","Canceló",Hoja6!BR15)</f>
        <v>Canceló</v>
      </c>
      <c r="V58" s="180" t="str">
        <f>IF(Hoja6!BW15="*","Canceló",Hoja6!BV15)</f>
        <v>Canceló</v>
      </c>
      <c r="W58" s="180" t="str">
        <f>IF(Hoja6!CA15="*","Canceló",Hoja6!BZ15)</f>
        <v>Canceló</v>
      </c>
      <c r="X58" s="180" t="str">
        <f>IF(Hoja6!CE15="*","Canceló",Hoja6!CD15)</f>
        <v>Canceló</v>
      </c>
      <c r="Y58" s="180" t="str">
        <f>IF(Hoja6!CI15="*","Canceló",Hoja6!CH15)</f>
        <v>Canceló</v>
      </c>
      <c r="Z58" s="180" t="str">
        <f>IF(Hoja6!CM15="*","Canceló",Hoja6!CL15)</f>
        <v>Canceló</v>
      </c>
      <c r="AA58" s="180" t="str">
        <f>IF(Hoja6!CQ15="*","Canceló",Hoja6!CP15)</f>
        <v>Canceló</v>
      </c>
      <c r="AB58" s="180" t="str">
        <f>IF(Hoja6!CU15="*","Canceló",Hoja6!CT15)</f>
        <v>Canceló</v>
      </c>
      <c r="AC58" s="180" t="str">
        <f>IF(Hoja6!CY15="*","Canceló",Hoja6!CX15)</f>
        <v>Canceló</v>
      </c>
      <c r="AD58" s="180" t="str">
        <f>IF(Hoja6!DC15="*","Canceló",Hoja6!DB15)</f>
        <v>Canceló</v>
      </c>
      <c r="AE58" s="180" t="str">
        <f>IF(Hoja6!DG15="*","Canceló",Hoja6!DF15)</f>
        <v>Canceló</v>
      </c>
      <c r="AF58" s="180" t="str">
        <f>IF(Hoja6!DK15="*","Canceló",Hoja6!DJ15)</f>
        <v>Canceló</v>
      </c>
      <c r="AG58" s="180" t="str">
        <f>IF(Hoja6!DO15="*","Canceló",Hoja6!DN15)</f>
        <v>Canceló</v>
      </c>
      <c r="AH58" s="180" t="str">
        <f>IF(Hoja6!DS15="*","Canceló",Hoja6!DR15)</f>
        <v>Canceló</v>
      </c>
      <c r="AI58" s="180" t="str">
        <f>IF(Hoja6!DW15="*","Canceló",Hoja6!DV15)</f>
        <v>Canceló</v>
      </c>
      <c r="AJ58" s="180" t="str">
        <f>IF(Hoja6!EA15="*","Canceló",Hoja6!DZ15)</f>
        <v>Canceló</v>
      </c>
      <c r="AK58" s="180" t="str">
        <f>IF(Hoja6!EE15="*","Canceló",Hoja6!ED15)</f>
        <v>Canceló</v>
      </c>
      <c r="AL58" s="180" t="str">
        <f>IF(Hoja6!EI15="*","Canceló",Hoja6!EH15)</f>
        <v>Canceló</v>
      </c>
      <c r="AM58" s="180" t="str">
        <f>IF(Hoja6!EM15="*","Canceló",Hoja6!EL15)</f>
        <v>Canceló</v>
      </c>
      <c r="AN58" s="180" t="str">
        <f>IF(Hoja6!EQ15="*","Canceló",Hoja6!EP15)</f>
        <v>Canceló</v>
      </c>
      <c r="AO58" s="180" t="str">
        <f>IF(Hoja6!EU15="*","Canceló",Hoja6!ET15)</f>
        <v>Canceló</v>
      </c>
      <c r="AP58" s="180" t="str">
        <f>IF(Hoja6!EY15="*","Canceló",Hoja6!EX15)</f>
        <v>Canceló</v>
      </c>
      <c r="AQ58" s="180" t="str">
        <f>IF(Hoja6!FC15="*","Canceló",Hoja6!FB15)</f>
        <v>Canceló</v>
      </c>
      <c r="AR58" s="180" t="str">
        <f>IF(Hoja6!FG15="*","Canceló",Hoja6!FF15)</f>
        <v>Canceló</v>
      </c>
      <c r="AS58" s="180" t="str">
        <f>IF(Hoja6!FK15="*","Canceló",Hoja6!FJ15)</f>
        <v>Canceló</v>
      </c>
      <c r="AT58" s="180">
        <f>IF(Hoja6!FO15="*","Canceló",Hoja6!FN15)</f>
        <v>17.028078571428573</v>
      </c>
    </row>
    <row r="59" spans="1:46">
      <c r="A59" s="51">
        <f t="shared" si="0"/>
        <v>0</v>
      </c>
      <c r="B59" s="14">
        <f>Hoja6!HL16</f>
        <v>0</v>
      </c>
      <c r="C59" s="177" t="s">
        <v>36</v>
      </c>
      <c r="D59" s="180" t="str">
        <f>IF(Hoja6!C16="*","Canceló",Hoja6!D16)</f>
        <v>Canceló</v>
      </c>
      <c r="E59" s="180" t="str">
        <f>IF(Hoja6!G16="*","Canceló",Hoja6!H16)</f>
        <v>Canceló</v>
      </c>
      <c r="F59" s="180" t="str">
        <f>IF(Hoja6!K16="*","Canceló",Hoja6!L16)</f>
        <v>Canceló</v>
      </c>
      <c r="G59" s="180" t="str">
        <f>IF(Hoja6!O16="*","Canceló",Hoja6!P16)</f>
        <v>Canceló</v>
      </c>
      <c r="H59" s="180" t="str">
        <f>IF(Hoja6!S16="*","Canceló",Hoja6!T16)</f>
        <v>Canceló</v>
      </c>
      <c r="I59" s="180" t="str">
        <f>IF(Hoja6!W16="*","Canceló",Hoja6!V16)</f>
        <v>Canceló</v>
      </c>
      <c r="J59" s="180" t="str">
        <f>IF(Hoja6!AA16="*","Canceló",Hoja6!Z16)</f>
        <v>Canceló</v>
      </c>
      <c r="K59" s="180" t="str">
        <f>IF(Hoja6!AE16="*","Canceló",Hoja6!AD16)</f>
        <v>Canceló</v>
      </c>
      <c r="L59" s="180" t="str">
        <f>IF(Hoja6!AI16="*","Canceló",Hoja6!AH16)</f>
        <v>Canceló</v>
      </c>
      <c r="M59" s="180" t="str">
        <f>IF(Hoja6!AM16="*","Canceló",Hoja6!AL16)</f>
        <v>Canceló</v>
      </c>
      <c r="N59" s="180" t="str">
        <f>IF(Hoja6!AQ16="*","Canceló",Hoja6!AP16)</f>
        <v>Canceló</v>
      </c>
      <c r="O59" s="180" t="str">
        <f>IF(Hoja6!AU16="*","Canceló",Hoja6!AT16)</f>
        <v>Canceló</v>
      </c>
      <c r="P59" s="180" t="str">
        <f>IF(Hoja6!AY16="*","Canceló",Hoja6!AX16)</f>
        <v>Canceló</v>
      </c>
      <c r="Q59" s="180" t="str">
        <f>IF(Hoja6!BC16="*","Canceló",Hoja6!BB16)</f>
        <v>Canceló</v>
      </c>
      <c r="R59" s="180" t="str">
        <f>IF(Hoja6!BG16="*","Canceló",Hoja6!BF16)</f>
        <v>Canceló</v>
      </c>
      <c r="S59" s="180" t="str">
        <f>IF(Hoja6!BK16="*","Canceló",Hoja6!BJ16)</f>
        <v>Canceló</v>
      </c>
      <c r="T59" s="180" t="str">
        <f>IF(Hoja6!BO16="*","Canceló",Hoja6!BN16)</f>
        <v>Canceló</v>
      </c>
      <c r="U59" s="180" t="str">
        <f>IF(Hoja6!BS16="*","Canceló",Hoja6!BR16)</f>
        <v>Canceló</v>
      </c>
      <c r="V59" s="180" t="str">
        <f>IF(Hoja6!BW16="*","Canceló",Hoja6!BV16)</f>
        <v>Canceló</v>
      </c>
      <c r="W59" s="180" t="str">
        <f>IF(Hoja6!CA16="*","Canceló",Hoja6!BZ16)</f>
        <v>Canceló</v>
      </c>
      <c r="X59" s="180" t="str">
        <f>IF(Hoja6!CE16="*","Canceló",Hoja6!CD16)</f>
        <v>Canceló</v>
      </c>
      <c r="Y59" s="180" t="str">
        <f>IF(Hoja6!CI16="*","Canceló",Hoja6!CH16)</f>
        <v>Canceló</v>
      </c>
      <c r="Z59" s="180" t="str">
        <f>IF(Hoja6!CM16="*","Canceló",Hoja6!CL16)</f>
        <v>Canceló</v>
      </c>
      <c r="AA59" s="180" t="str">
        <f>IF(Hoja6!CQ16="*","Canceló",Hoja6!CP16)</f>
        <v>Canceló</v>
      </c>
      <c r="AB59" s="180" t="str">
        <f>IF(Hoja6!CU16="*","Canceló",Hoja6!CT16)</f>
        <v>Canceló</v>
      </c>
      <c r="AC59" s="180" t="str">
        <f>IF(Hoja6!CY16="*","Canceló",Hoja6!CX16)</f>
        <v>Canceló</v>
      </c>
      <c r="AD59" s="180" t="str">
        <f>IF(Hoja6!DC16="*","Canceló",Hoja6!DB16)</f>
        <v>Canceló</v>
      </c>
      <c r="AE59" s="180" t="str">
        <f>IF(Hoja6!DG16="*","Canceló",Hoja6!DF16)</f>
        <v>Canceló</v>
      </c>
      <c r="AF59" s="180" t="str">
        <f>IF(Hoja6!DK16="*","Canceló",Hoja6!DJ16)</f>
        <v>Canceló</v>
      </c>
      <c r="AG59" s="180" t="str">
        <f>IF(Hoja6!DO16="*","Canceló",Hoja6!DN16)</f>
        <v>Canceló</v>
      </c>
      <c r="AH59" s="180" t="str">
        <f>IF(Hoja6!DS16="*","Canceló",Hoja6!DR16)</f>
        <v>Canceló</v>
      </c>
      <c r="AI59" s="180" t="str">
        <f>IF(Hoja6!DW16="*","Canceló",Hoja6!DV16)</f>
        <v>Canceló</v>
      </c>
      <c r="AJ59" s="180" t="str">
        <f>IF(Hoja6!EA16="*","Canceló",Hoja6!DZ16)</f>
        <v>Canceló</v>
      </c>
      <c r="AK59" s="180" t="str">
        <f>IF(Hoja6!EE16="*","Canceló",Hoja6!ED16)</f>
        <v>Canceló</v>
      </c>
      <c r="AL59" s="180" t="str">
        <f>IF(Hoja6!EI16="*","Canceló",Hoja6!EH16)</f>
        <v>Canceló</v>
      </c>
      <c r="AM59" s="180" t="str">
        <f>IF(Hoja6!EM16="*","Canceló",Hoja6!EL16)</f>
        <v>Canceló</v>
      </c>
      <c r="AN59" s="180" t="str">
        <f>IF(Hoja6!EQ16="*","Canceló",Hoja6!EP16)</f>
        <v>Canceló</v>
      </c>
      <c r="AO59" s="180" t="str">
        <f>IF(Hoja6!EU16="*","Canceló",Hoja6!ET16)</f>
        <v>Canceló</v>
      </c>
      <c r="AP59" s="180" t="str">
        <f>IF(Hoja6!EY16="*","Canceló",Hoja6!EX16)</f>
        <v>Canceló</v>
      </c>
      <c r="AQ59" s="180" t="str">
        <f>IF(Hoja6!FC16="*","Canceló",Hoja6!FB16)</f>
        <v>Canceló</v>
      </c>
      <c r="AR59" s="180" t="str">
        <f>IF(Hoja6!FG16="*","Canceló",Hoja6!FF16)</f>
        <v>Canceló</v>
      </c>
      <c r="AS59" s="180" t="str">
        <f>IF(Hoja6!FK16="*","Canceló",Hoja6!FJ16)</f>
        <v>Canceló</v>
      </c>
      <c r="AT59" s="180">
        <f>IF(Hoja6!FO16="*","Canceló",Hoja6!FN16)</f>
        <v>17.028078571428573</v>
      </c>
    </row>
    <row r="60" spans="1:46">
      <c r="A60" s="51">
        <f t="shared" si="0"/>
        <v>39.726228571428571</v>
      </c>
      <c r="B60" s="14">
        <f>Hoja6!HL17</f>
        <v>0.15170935714285716</v>
      </c>
      <c r="C60" s="177" t="s">
        <v>37</v>
      </c>
      <c r="D60" s="180" t="str">
        <f>IF(Hoja6!C17="*","Canceló",Hoja6!D17)</f>
        <v>Canceló</v>
      </c>
      <c r="E60" s="180" t="str">
        <f>IF(Hoja6!G17="*","Canceló",Hoja6!H17)</f>
        <v>Canceló</v>
      </c>
      <c r="F60" s="180" t="str">
        <f>IF(Hoja6!K17="*","Canceló",Hoja6!L17)</f>
        <v>Canceló</v>
      </c>
      <c r="G60" s="180" t="str">
        <f>IF(Hoja6!O17="*","Canceló",Hoja6!P17)</f>
        <v>Canceló</v>
      </c>
      <c r="H60" s="180" t="str">
        <f>IF(Hoja6!S17="*","Canceló",Hoja6!T17)</f>
        <v>Canceló</v>
      </c>
      <c r="I60" s="180" t="str">
        <f>IF(Hoja6!W17="*","Canceló",Hoja6!V17)</f>
        <v>Canceló</v>
      </c>
      <c r="J60" s="180" t="str">
        <f>IF(Hoja6!AA17="*","Canceló",Hoja6!Z17)</f>
        <v>Canceló</v>
      </c>
      <c r="K60" s="180" t="str">
        <f>IF(Hoja6!AE17="*","Canceló",Hoja6!AD17)</f>
        <v>Canceló</v>
      </c>
      <c r="L60" s="180" t="str">
        <f>IF(Hoja6!AI17="*","Canceló",Hoja6!AH17)</f>
        <v>Canceló</v>
      </c>
      <c r="M60" s="180" t="str">
        <f>IF(Hoja6!AM17="*","Canceló",Hoja6!AL17)</f>
        <v>Canceló</v>
      </c>
      <c r="N60" s="180" t="str">
        <f>IF(Hoja6!AQ17="*","Canceló",Hoja6!AP17)</f>
        <v>Canceló</v>
      </c>
      <c r="O60" s="180" t="str">
        <f>IF(Hoja6!AU17="*","Canceló",Hoja6!AT17)</f>
        <v>Canceló</v>
      </c>
      <c r="P60" s="180" t="str">
        <f>IF(Hoja6!AY17="*","Canceló",Hoja6!AX17)</f>
        <v>Canceló</v>
      </c>
      <c r="Q60" s="180" t="str">
        <f>IF(Hoja6!BC17="*","Canceló",Hoja6!BB17)</f>
        <v>Canceló</v>
      </c>
      <c r="R60" s="180" t="str">
        <f>IF(Hoja6!BG17="*","Canceló",Hoja6!BF17)</f>
        <v>Canceló</v>
      </c>
      <c r="S60" s="180" t="str">
        <f>IF(Hoja6!BK17="*","Canceló",Hoja6!BJ17)</f>
        <v>Canceló</v>
      </c>
      <c r="T60" s="180" t="str">
        <f>IF(Hoja6!BO17="*","Canceló",Hoja6!BN17)</f>
        <v>Canceló</v>
      </c>
      <c r="U60" s="180" t="str">
        <f>IF(Hoja6!BS17="*","Canceló",Hoja6!BR17)</f>
        <v>Canceló</v>
      </c>
      <c r="V60" s="180" t="str">
        <f>IF(Hoja6!BW17="*","Canceló",Hoja6!BV17)</f>
        <v>Canceló</v>
      </c>
      <c r="W60" s="180" t="str">
        <f>IF(Hoja6!CA17="*","Canceló",Hoja6!BZ17)</f>
        <v>Canceló</v>
      </c>
      <c r="X60" s="180" t="str">
        <f>IF(Hoja6!CE17="*","Canceló",Hoja6!CD17)</f>
        <v>Canceló</v>
      </c>
      <c r="Y60" s="180" t="str">
        <f>IF(Hoja6!CI17="*","Canceló",Hoja6!CH17)</f>
        <v>Canceló</v>
      </c>
      <c r="Z60" s="180" t="str">
        <f>IF(Hoja6!CM17="*","Canceló",Hoja6!CL17)</f>
        <v>Canceló</v>
      </c>
      <c r="AA60" s="180" t="str">
        <f>IF(Hoja6!CQ17="*","Canceló",Hoja6!CP17)</f>
        <v>Canceló</v>
      </c>
      <c r="AB60" s="180" t="str">
        <f>IF(Hoja6!CU17="*","Canceló",Hoja6!CT17)</f>
        <v>Canceló</v>
      </c>
      <c r="AC60" s="180" t="str">
        <f>IF(Hoja6!CY17="*","Canceló",Hoja6!CX17)</f>
        <v>Canceló</v>
      </c>
      <c r="AD60" s="180" t="str">
        <f>IF(Hoja6!DC17="*","Canceló",Hoja6!DB17)</f>
        <v>Canceló</v>
      </c>
      <c r="AE60" s="180" t="str">
        <f>IF(Hoja6!DG17="*","Canceló",Hoja6!DF17)</f>
        <v>Canceló</v>
      </c>
      <c r="AF60" s="180" t="str">
        <f>IF(Hoja6!DK17="*","Canceló",Hoja6!DJ17)</f>
        <v>Canceló</v>
      </c>
      <c r="AG60" s="180" t="str">
        <f>IF(Hoja6!DO17="*","Canceló",Hoja6!DN17)</f>
        <v>Canceló</v>
      </c>
      <c r="AH60" s="180" t="str">
        <f>IF(Hoja6!DS17="*","Canceló",Hoja6!DR17)</f>
        <v>Canceló</v>
      </c>
      <c r="AI60" s="180" t="str">
        <f>IF(Hoja6!DW17="*","Canceló",Hoja6!DV17)</f>
        <v>Canceló</v>
      </c>
      <c r="AJ60" s="180" t="str">
        <f>IF(Hoja6!EA17="*","Canceló",Hoja6!DZ17)</f>
        <v>Canceló</v>
      </c>
      <c r="AK60" s="180" t="str">
        <f>IF(Hoja6!EE17="*","Canceló",Hoja6!ED17)</f>
        <v>Canceló</v>
      </c>
      <c r="AL60" s="180" t="str">
        <f>IF(Hoja6!EI17="*","Canceló",Hoja6!EH17)</f>
        <v>Canceló</v>
      </c>
      <c r="AM60" s="180" t="str">
        <f>IF(Hoja6!EM17="*","Canceló",Hoja6!EL17)</f>
        <v>Canceló</v>
      </c>
      <c r="AN60" s="180" t="str">
        <f>IF(Hoja6!EQ17="*","Canceló",Hoja6!EP17)</f>
        <v>Canceló</v>
      </c>
      <c r="AO60" s="180" t="str">
        <f>IF(Hoja6!EU17="*","Canceló",Hoja6!ET17)</f>
        <v>Canceló</v>
      </c>
      <c r="AP60" s="180" t="str">
        <f>IF(Hoja6!EY17="*","Canceló",Hoja6!EX17)</f>
        <v>Canceló</v>
      </c>
      <c r="AQ60" s="180" t="str">
        <f>IF(Hoja6!FC17="*","Canceló",Hoja6!FB17)</f>
        <v>Canceló</v>
      </c>
      <c r="AR60" s="180">
        <f>IF(Hoja6!FG17="*","Canceló",Hoja6!FF17)</f>
        <v>20.957514285714286</v>
      </c>
      <c r="AS60" s="180">
        <f>IF(Hoja6!FK17="*","Canceló",Hoja6!FJ17)</f>
        <v>18.768714285714285</v>
      </c>
      <c r="AT60" s="180">
        <f>IF(Hoja6!FO17="*","Canceló",Hoja6!FN17)</f>
        <v>17.028078571428573</v>
      </c>
    </row>
    <row r="61" spans="1:46">
      <c r="A61" s="51">
        <f t="shared" si="0"/>
        <v>0</v>
      </c>
      <c r="B61" s="14">
        <f>Hoja6!HL18</f>
        <v>0</v>
      </c>
      <c r="C61" s="177" t="s">
        <v>39</v>
      </c>
      <c r="D61" s="180" t="str">
        <f>IF(Hoja6!C18="*","Canceló",Hoja6!D18)</f>
        <v>Canceló</v>
      </c>
      <c r="E61" s="180" t="str">
        <f>IF(Hoja6!G18="*","Canceló",Hoja6!H18)</f>
        <v>Canceló</v>
      </c>
      <c r="F61" s="180" t="str">
        <f>IF(Hoja6!K18="*","Canceló",Hoja6!L18)</f>
        <v>Canceló</v>
      </c>
      <c r="G61" s="180" t="str">
        <f>IF(Hoja6!O18="*","Canceló",Hoja6!P18)</f>
        <v>Canceló</v>
      </c>
      <c r="H61" s="180" t="str">
        <f>IF(Hoja6!S18="*","Canceló",Hoja6!T18)</f>
        <v>Canceló</v>
      </c>
      <c r="I61" s="180" t="str">
        <f>IF(Hoja6!W18="*","Canceló",Hoja6!V18)</f>
        <v>Canceló</v>
      </c>
      <c r="J61" s="180" t="str">
        <f>IF(Hoja6!AA18="*","Canceló",Hoja6!Z18)</f>
        <v>Canceló</v>
      </c>
      <c r="K61" s="180" t="str">
        <f>IF(Hoja6!AE18="*","Canceló",Hoja6!AD18)</f>
        <v>Canceló</v>
      </c>
      <c r="L61" s="180" t="str">
        <f>IF(Hoja6!AI18="*","Canceló",Hoja6!AH18)</f>
        <v>Canceló</v>
      </c>
      <c r="M61" s="180" t="str">
        <f>IF(Hoja6!AM18="*","Canceló",Hoja6!AL18)</f>
        <v>Canceló</v>
      </c>
      <c r="N61" s="180" t="str">
        <f>IF(Hoja6!AQ18="*","Canceló",Hoja6!AP18)</f>
        <v>Canceló</v>
      </c>
      <c r="O61" s="180" t="str">
        <f>IF(Hoja6!AU18="*","Canceló",Hoja6!AT18)</f>
        <v>Canceló</v>
      </c>
      <c r="P61" s="180" t="str">
        <f>IF(Hoja6!AY18="*","Canceló",Hoja6!AX18)</f>
        <v>Canceló</v>
      </c>
      <c r="Q61" s="180" t="str">
        <f>IF(Hoja6!BC18="*","Canceló",Hoja6!BB18)</f>
        <v>Canceló</v>
      </c>
      <c r="R61" s="180" t="str">
        <f>IF(Hoja6!BG18="*","Canceló",Hoja6!BF18)</f>
        <v>Canceló</v>
      </c>
      <c r="S61" s="180" t="str">
        <f>IF(Hoja6!BK18="*","Canceló",Hoja6!BJ18)</f>
        <v>Canceló</v>
      </c>
      <c r="T61" s="180" t="str">
        <f>IF(Hoja6!BO18="*","Canceló",Hoja6!BN18)</f>
        <v>Canceló</v>
      </c>
      <c r="U61" s="180" t="str">
        <f>IF(Hoja6!BS18="*","Canceló",Hoja6!BR18)</f>
        <v>Canceló</v>
      </c>
      <c r="V61" s="180" t="str">
        <f>IF(Hoja6!BW18="*","Canceló",Hoja6!BV18)</f>
        <v>Canceló</v>
      </c>
      <c r="W61" s="180" t="str">
        <f>IF(Hoja6!CA18="*","Canceló",Hoja6!BZ18)</f>
        <v>Canceló</v>
      </c>
      <c r="X61" s="180" t="str">
        <f>IF(Hoja6!CE18="*","Canceló",Hoja6!CD18)</f>
        <v>Canceló</v>
      </c>
      <c r="Y61" s="180" t="str">
        <f>IF(Hoja6!CI18="*","Canceló",Hoja6!CH18)</f>
        <v>Canceló</v>
      </c>
      <c r="Z61" s="180" t="str">
        <f>IF(Hoja6!CM18="*","Canceló",Hoja6!CL18)</f>
        <v>Canceló</v>
      </c>
      <c r="AA61" s="180" t="str">
        <f>IF(Hoja6!CQ18="*","Canceló",Hoja6!CP18)</f>
        <v>Canceló</v>
      </c>
      <c r="AB61" s="180" t="str">
        <f>IF(Hoja6!CU18="*","Canceló",Hoja6!CT18)</f>
        <v>Canceló</v>
      </c>
      <c r="AC61" s="180" t="str">
        <f>IF(Hoja6!CY18="*","Canceló",Hoja6!CX18)</f>
        <v>Canceló</v>
      </c>
      <c r="AD61" s="180" t="str">
        <f>IF(Hoja6!DC18="*","Canceló",Hoja6!DB18)</f>
        <v>Canceló</v>
      </c>
      <c r="AE61" s="180" t="str">
        <f>IF(Hoja6!DG18="*","Canceló",Hoja6!DF18)</f>
        <v>Canceló</v>
      </c>
      <c r="AF61" s="180" t="str">
        <f>IF(Hoja6!DK18="*","Canceló",Hoja6!DJ18)</f>
        <v>Canceló</v>
      </c>
      <c r="AG61" s="180" t="str">
        <f>IF(Hoja6!DO18="*","Canceló",Hoja6!DN18)</f>
        <v>Canceló</v>
      </c>
      <c r="AH61" s="180" t="str">
        <f>IF(Hoja6!DS18="*","Canceló",Hoja6!DR18)</f>
        <v>Canceló</v>
      </c>
      <c r="AI61" s="180" t="str">
        <f>IF(Hoja6!DW18="*","Canceló",Hoja6!DV18)</f>
        <v>Canceló</v>
      </c>
      <c r="AJ61" s="180" t="str">
        <f>IF(Hoja6!EA18="*","Canceló",Hoja6!DZ18)</f>
        <v>Canceló</v>
      </c>
      <c r="AK61" s="180" t="str">
        <f>IF(Hoja6!EE18="*","Canceló",Hoja6!ED18)</f>
        <v>Canceló</v>
      </c>
      <c r="AL61" s="180" t="str">
        <f>IF(Hoja6!EI18="*","Canceló",Hoja6!EH18)</f>
        <v>Canceló</v>
      </c>
      <c r="AM61" s="180" t="str">
        <f>IF(Hoja6!EM18="*","Canceló",Hoja6!EL18)</f>
        <v>Canceló</v>
      </c>
      <c r="AN61" s="180" t="str">
        <f>IF(Hoja6!EQ18="*","Canceló",Hoja6!EP18)</f>
        <v>Canceló</v>
      </c>
      <c r="AO61" s="180" t="str">
        <f>IF(Hoja6!EU18="*","Canceló",Hoja6!ET18)</f>
        <v>Canceló</v>
      </c>
      <c r="AP61" s="180" t="str">
        <f>IF(Hoja6!EY18="*","Canceló",Hoja6!EX18)</f>
        <v>Canceló</v>
      </c>
      <c r="AQ61" s="180" t="str">
        <f>IF(Hoja6!FC18="*","Canceló",Hoja6!FB18)</f>
        <v>Canceló</v>
      </c>
      <c r="AR61" s="180" t="str">
        <f>IF(Hoja6!FG18="*","Canceló",Hoja6!FF18)</f>
        <v>Canceló</v>
      </c>
      <c r="AS61" s="180" t="str">
        <f>IF(Hoja6!FK18="*","Canceló",Hoja6!FJ18)</f>
        <v>Canceló</v>
      </c>
      <c r="AT61" s="180">
        <f>IF(Hoja6!FO18="*","Canceló",Hoja6!FN18)</f>
        <v>17.028078571428573</v>
      </c>
    </row>
    <row r="62" spans="1:46">
      <c r="A62" s="51">
        <f t="shared" si="0"/>
        <v>0</v>
      </c>
      <c r="B62" s="14">
        <f>Hoja6!HL19</f>
        <v>0</v>
      </c>
      <c r="C62" s="177" t="s">
        <v>40</v>
      </c>
      <c r="D62" s="180" t="str">
        <f>IF(Hoja6!C19="*","Canceló",Hoja6!D19)</f>
        <v>Canceló</v>
      </c>
      <c r="E62" s="180" t="str">
        <f>IF(Hoja6!G19="*","Canceló",Hoja6!H19)</f>
        <v>Canceló</v>
      </c>
      <c r="F62" s="180" t="str">
        <f>IF(Hoja6!K19="*","Canceló",Hoja6!L19)</f>
        <v>Canceló</v>
      </c>
      <c r="G62" s="180" t="str">
        <f>IF(Hoja6!O19="*","Canceló",Hoja6!P19)</f>
        <v>Canceló</v>
      </c>
      <c r="H62" s="180" t="str">
        <f>IF(Hoja6!S19="*","Canceló",Hoja6!T19)</f>
        <v>Canceló</v>
      </c>
      <c r="I62" s="180" t="str">
        <f>IF(Hoja6!W19="*","Canceló",Hoja6!V19)</f>
        <v>Canceló</v>
      </c>
      <c r="J62" s="180" t="str">
        <f>IF(Hoja6!AA19="*","Canceló",Hoja6!Z19)</f>
        <v>Canceló</v>
      </c>
      <c r="K62" s="180" t="str">
        <f>IF(Hoja6!AE19="*","Canceló",Hoja6!AD19)</f>
        <v>Canceló</v>
      </c>
      <c r="L62" s="180" t="str">
        <f>IF(Hoja6!AI19="*","Canceló",Hoja6!AH19)</f>
        <v>Canceló</v>
      </c>
      <c r="M62" s="180" t="str">
        <f>IF(Hoja6!AM19="*","Canceló",Hoja6!AL19)</f>
        <v>Canceló</v>
      </c>
      <c r="N62" s="180" t="str">
        <f>IF(Hoja6!AQ19="*","Canceló",Hoja6!AP19)</f>
        <v>Canceló</v>
      </c>
      <c r="O62" s="180" t="str">
        <f>IF(Hoja6!AU19="*","Canceló",Hoja6!AT19)</f>
        <v>Canceló</v>
      </c>
      <c r="P62" s="180" t="str">
        <f>IF(Hoja6!AY19="*","Canceló",Hoja6!AX19)</f>
        <v>Canceló</v>
      </c>
      <c r="Q62" s="180" t="str">
        <f>IF(Hoja6!BC19="*","Canceló",Hoja6!BB19)</f>
        <v>Canceló</v>
      </c>
      <c r="R62" s="180" t="str">
        <f>IF(Hoja6!BG19="*","Canceló",Hoja6!BF19)</f>
        <v>Canceló</v>
      </c>
      <c r="S62" s="180" t="str">
        <f>IF(Hoja6!BK19="*","Canceló",Hoja6!BJ19)</f>
        <v>Canceló</v>
      </c>
      <c r="T62" s="180" t="str">
        <f>IF(Hoja6!BO19="*","Canceló",Hoja6!BN19)</f>
        <v>Canceló</v>
      </c>
      <c r="U62" s="180" t="str">
        <f>IF(Hoja6!BS19="*","Canceló",Hoja6!BR19)</f>
        <v>Canceló</v>
      </c>
      <c r="V62" s="180" t="str">
        <f>IF(Hoja6!BW19="*","Canceló",Hoja6!BV19)</f>
        <v>Canceló</v>
      </c>
      <c r="W62" s="180" t="str">
        <f>IF(Hoja6!CA19="*","Canceló",Hoja6!BZ19)</f>
        <v>Canceló</v>
      </c>
      <c r="X62" s="180" t="str">
        <f>IF(Hoja6!CE19="*","Canceló",Hoja6!CD19)</f>
        <v>Canceló</v>
      </c>
      <c r="Y62" s="180" t="str">
        <f>IF(Hoja6!CI19="*","Canceló",Hoja6!CH19)</f>
        <v>Canceló</v>
      </c>
      <c r="Z62" s="180" t="str">
        <f>IF(Hoja6!CM19="*","Canceló",Hoja6!CL19)</f>
        <v>Canceló</v>
      </c>
      <c r="AA62" s="180" t="str">
        <f>IF(Hoja6!CQ19="*","Canceló",Hoja6!CP19)</f>
        <v>Canceló</v>
      </c>
      <c r="AB62" s="180" t="str">
        <f>IF(Hoja6!CU19="*","Canceló",Hoja6!CT19)</f>
        <v>Canceló</v>
      </c>
      <c r="AC62" s="180" t="str">
        <f>IF(Hoja6!CY19="*","Canceló",Hoja6!CX19)</f>
        <v>Canceló</v>
      </c>
      <c r="AD62" s="180" t="str">
        <f>IF(Hoja6!DC19="*","Canceló",Hoja6!DB19)</f>
        <v>Canceló</v>
      </c>
      <c r="AE62" s="180" t="str">
        <f>IF(Hoja6!DG19="*","Canceló",Hoja6!DF19)</f>
        <v>Canceló</v>
      </c>
      <c r="AF62" s="180" t="str">
        <f>IF(Hoja6!DK19="*","Canceló",Hoja6!DJ19)</f>
        <v>Canceló</v>
      </c>
      <c r="AG62" s="180" t="str">
        <f>IF(Hoja6!DO19="*","Canceló",Hoja6!DN19)</f>
        <v>Canceló</v>
      </c>
      <c r="AH62" s="180" t="str">
        <f>IF(Hoja6!DS19="*","Canceló",Hoja6!DR19)</f>
        <v>Canceló</v>
      </c>
      <c r="AI62" s="180" t="str">
        <f>IF(Hoja6!DW19="*","Canceló",Hoja6!DV19)</f>
        <v>Canceló</v>
      </c>
      <c r="AJ62" s="180" t="str">
        <f>IF(Hoja6!EA19="*","Canceló",Hoja6!DZ19)</f>
        <v>Canceló</v>
      </c>
      <c r="AK62" s="180" t="str">
        <f>IF(Hoja6!EE19="*","Canceló",Hoja6!ED19)</f>
        <v>Canceló</v>
      </c>
      <c r="AL62" s="180" t="str">
        <f>IF(Hoja6!EI19="*","Canceló",Hoja6!EH19)</f>
        <v>Canceló</v>
      </c>
      <c r="AM62" s="180" t="str">
        <f>IF(Hoja6!EM19="*","Canceló",Hoja6!EL19)</f>
        <v>Canceló</v>
      </c>
      <c r="AN62" s="180" t="str">
        <f>IF(Hoja6!EQ19="*","Canceló",Hoja6!EP19)</f>
        <v>Canceló</v>
      </c>
      <c r="AO62" s="180" t="str">
        <f>IF(Hoja6!EU19="*","Canceló",Hoja6!ET19)</f>
        <v>Canceló</v>
      </c>
      <c r="AP62" s="180" t="str">
        <f>IF(Hoja6!EY19="*","Canceló",Hoja6!EX19)</f>
        <v>Canceló</v>
      </c>
      <c r="AQ62" s="180" t="str">
        <f>IF(Hoja6!FC19="*","Canceló",Hoja6!FB19)</f>
        <v>Canceló</v>
      </c>
      <c r="AR62" s="180" t="str">
        <f>IF(Hoja6!FG19="*","Canceló",Hoja6!FF19)</f>
        <v>Canceló</v>
      </c>
      <c r="AS62" s="180" t="str">
        <f>IF(Hoja6!FK19="*","Canceló",Hoja6!FJ19)</f>
        <v>Canceló</v>
      </c>
      <c r="AT62" s="180">
        <f>IF(Hoja6!FO19="*","Canceló",Hoja6!FN19)</f>
        <v>17.028078571428573</v>
      </c>
    </row>
    <row r="63" spans="1:46">
      <c r="A63" s="51">
        <f t="shared" si="0"/>
        <v>0</v>
      </c>
      <c r="B63" s="14">
        <f>Hoja6!HL20</f>
        <v>0</v>
      </c>
      <c r="C63" s="177" t="s">
        <v>41</v>
      </c>
      <c r="D63" s="180" t="str">
        <f>IF(Hoja6!C20="*","Canceló",Hoja6!D20)</f>
        <v>Canceló</v>
      </c>
      <c r="E63" s="180" t="str">
        <f>IF(Hoja6!G20="*","Canceló",Hoja6!H20)</f>
        <v>Canceló</v>
      </c>
      <c r="F63" s="180" t="str">
        <f>IF(Hoja6!K20="*","Canceló",Hoja6!L20)</f>
        <v>Canceló</v>
      </c>
      <c r="G63" s="180" t="str">
        <f>IF(Hoja6!O20="*","Canceló",Hoja6!P20)</f>
        <v>Canceló</v>
      </c>
      <c r="H63" s="180" t="str">
        <f>IF(Hoja6!S20="*","Canceló",Hoja6!T20)</f>
        <v>Canceló</v>
      </c>
      <c r="I63" s="180" t="str">
        <f>IF(Hoja6!W20="*","Canceló",Hoja6!V20)</f>
        <v>Canceló</v>
      </c>
      <c r="J63" s="180" t="str">
        <f>IF(Hoja6!AA20="*","Canceló",Hoja6!Z20)</f>
        <v>Canceló</v>
      </c>
      <c r="K63" s="180" t="str">
        <f>IF(Hoja6!AE20="*","Canceló",Hoja6!AD20)</f>
        <v>Canceló</v>
      </c>
      <c r="L63" s="180" t="str">
        <f>IF(Hoja6!AI20="*","Canceló",Hoja6!AH20)</f>
        <v>Canceló</v>
      </c>
      <c r="M63" s="180" t="str">
        <f>IF(Hoja6!AM20="*","Canceló",Hoja6!AL20)</f>
        <v>Canceló</v>
      </c>
      <c r="N63" s="180" t="str">
        <f>IF(Hoja6!AQ20="*","Canceló",Hoja6!AP20)</f>
        <v>Canceló</v>
      </c>
      <c r="O63" s="180" t="str">
        <f>IF(Hoja6!AU20="*","Canceló",Hoja6!AT20)</f>
        <v>Canceló</v>
      </c>
      <c r="P63" s="180" t="str">
        <f>IF(Hoja6!AY20="*","Canceló",Hoja6!AX20)</f>
        <v>Canceló</v>
      </c>
      <c r="Q63" s="180" t="str">
        <f>IF(Hoja6!BC20="*","Canceló",Hoja6!BB20)</f>
        <v>Canceló</v>
      </c>
      <c r="R63" s="180" t="str">
        <f>IF(Hoja6!BG20="*","Canceló",Hoja6!BF20)</f>
        <v>Canceló</v>
      </c>
      <c r="S63" s="180" t="str">
        <f>IF(Hoja6!BK20="*","Canceló",Hoja6!BJ20)</f>
        <v>Canceló</v>
      </c>
      <c r="T63" s="180" t="str">
        <f>IF(Hoja6!BO20="*","Canceló",Hoja6!BN20)</f>
        <v>Canceló</v>
      </c>
      <c r="U63" s="180" t="str">
        <f>IF(Hoja6!BS20="*","Canceló",Hoja6!BR20)</f>
        <v>Canceló</v>
      </c>
      <c r="V63" s="180" t="str">
        <f>IF(Hoja6!BW20="*","Canceló",Hoja6!BV20)</f>
        <v>Canceló</v>
      </c>
      <c r="W63" s="180" t="str">
        <f>IF(Hoja6!CA20="*","Canceló",Hoja6!BZ20)</f>
        <v>Canceló</v>
      </c>
      <c r="X63" s="180" t="str">
        <f>IF(Hoja6!CE20="*","Canceló",Hoja6!CD20)</f>
        <v>Canceló</v>
      </c>
      <c r="Y63" s="180" t="str">
        <f>IF(Hoja6!CI20="*","Canceló",Hoja6!CH20)</f>
        <v>Canceló</v>
      </c>
      <c r="Z63" s="180" t="str">
        <f>IF(Hoja6!CM20="*","Canceló",Hoja6!CL20)</f>
        <v>Canceló</v>
      </c>
      <c r="AA63" s="180" t="str">
        <f>IF(Hoja6!CQ20="*","Canceló",Hoja6!CP20)</f>
        <v>Canceló</v>
      </c>
      <c r="AB63" s="180" t="str">
        <f>IF(Hoja6!CU20="*","Canceló",Hoja6!CT20)</f>
        <v>Canceló</v>
      </c>
      <c r="AC63" s="180" t="str">
        <f>IF(Hoja6!CY20="*","Canceló",Hoja6!CX20)</f>
        <v>Canceló</v>
      </c>
      <c r="AD63" s="180" t="str">
        <f>IF(Hoja6!DC20="*","Canceló",Hoja6!DB20)</f>
        <v>Canceló</v>
      </c>
      <c r="AE63" s="180" t="str">
        <f>IF(Hoja6!DG20="*","Canceló",Hoja6!DF20)</f>
        <v>Canceló</v>
      </c>
      <c r="AF63" s="180" t="str">
        <f>IF(Hoja6!DK20="*","Canceló",Hoja6!DJ20)</f>
        <v>Canceló</v>
      </c>
      <c r="AG63" s="180" t="str">
        <f>IF(Hoja6!DO20="*","Canceló",Hoja6!DN20)</f>
        <v>Canceló</v>
      </c>
      <c r="AH63" s="180" t="str">
        <f>IF(Hoja6!DS20="*","Canceló",Hoja6!DR20)</f>
        <v>Canceló</v>
      </c>
      <c r="AI63" s="180" t="str">
        <f>IF(Hoja6!DW20="*","Canceló",Hoja6!DV20)</f>
        <v>Canceló</v>
      </c>
      <c r="AJ63" s="180" t="str">
        <f>IF(Hoja6!EA20="*","Canceló",Hoja6!DZ20)</f>
        <v>Canceló</v>
      </c>
      <c r="AK63" s="180" t="str">
        <f>IF(Hoja6!EE20="*","Canceló",Hoja6!ED20)</f>
        <v>Canceló</v>
      </c>
      <c r="AL63" s="180" t="str">
        <f>IF(Hoja6!EI20="*","Canceló",Hoja6!EH20)</f>
        <v>Canceló</v>
      </c>
      <c r="AM63" s="180" t="str">
        <f>IF(Hoja6!EM20="*","Canceló",Hoja6!EL20)</f>
        <v>Canceló</v>
      </c>
      <c r="AN63" s="180" t="str">
        <f>IF(Hoja6!EQ20="*","Canceló",Hoja6!EP20)</f>
        <v>Canceló</v>
      </c>
      <c r="AO63" s="180" t="str">
        <f>IF(Hoja6!EU20="*","Canceló",Hoja6!ET20)</f>
        <v>Canceló</v>
      </c>
      <c r="AP63" s="180" t="str">
        <f>IF(Hoja6!EY20="*","Canceló",Hoja6!EX20)</f>
        <v>Canceló</v>
      </c>
      <c r="AQ63" s="180" t="str">
        <f>IF(Hoja6!FC20="*","Canceló",Hoja6!FB20)</f>
        <v>Canceló</v>
      </c>
      <c r="AR63" s="180" t="str">
        <f>IF(Hoja6!FG20="*","Canceló",Hoja6!FF20)</f>
        <v>Canceló</v>
      </c>
      <c r="AS63" s="180" t="str">
        <f>IF(Hoja6!FK20="*","Canceló",Hoja6!FJ20)</f>
        <v>Canceló</v>
      </c>
      <c r="AT63" s="180">
        <f>IF(Hoja6!FO20="*","Canceló",Hoja6!FN20)</f>
        <v>17.028078571428573</v>
      </c>
    </row>
    <row r="64" spans="1:46">
      <c r="A64" s="51">
        <f t="shared" si="0"/>
        <v>0</v>
      </c>
      <c r="B64" s="14">
        <f>Hoja6!HL21</f>
        <v>0</v>
      </c>
      <c r="C64" s="177" t="s">
        <v>43</v>
      </c>
      <c r="D64" s="180" t="str">
        <f>IF(Hoja6!C21="*","Canceló",Hoja6!D21)</f>
        <v>Canceló</v>
      </c>
      <c r="E64" s="180" t="str">
        <f>IF(Hoja6!G21="*","Canceló",Hoja6!H21)</f>
        <v>Canceló</v>
      </c>
      <c r="F64" s="180" t="str">
        <f>IF(Hoja6!K21="*","Canceló",Hoja6!L21)</f>
        <v>Canceló</v>
      </c>
      <c r="G64" s="180" t="str">
        <f>IF(Hoja6!O21="*","Canceló",Hoja6!P21)</f>
        <v>Canceló</v>
      </c>
      <c r="H64" s="180" t="str">
        <f>IF(Hoja6!S21="*","Canceló",Hoja6!T21)</f>
        <v>Canceló</v>
      </c>
      <c r="I64" s="180" t="str">
        <f>IF(Hoja6!W21="*","Canceló",Hoja6!V21)</f>
        <v>Canceló</v>
      </c>
      <c r="J64" s="180" t="str">
        <f>IF(Hoja6!AA21="*","Canceló",Hoja6!Z21)</f>
        <v>Canceló</v>
      </c>
      <c r="K64" s="180" t="str">
        <f>IF(Hoja6!AE21="*","Canceló",Hoja6!AD21)</f>
        <v>Canceló</v>
      </c>
      <c r="L64" s="180" t="str">
        <f>IF(Hoja6!AI21="*","Canceló",Hoja6!AH21)</f>
        <v>Canceló</v>
      </c>
      <c r="M64" s="180" t="str">
        <f>IF(Hoja6!AM21="*","Canceló",Hoja6!AL21)</f>
        <v>Canceló</v>
      </c>
      <c r="N64" s="180" t="str">
        <f>IF(Hoja6!AQ21="*","Canceló",Hoja6!AP21)</f>
        <v>Canceló</v>
      </c>
      <c r="O64" s="180" t="str">
        <f>IF(Hoja6!AU21="*","Canceló",Hoja6!AT21)</f>
        <v>Canceló</v>
      </c>
      <c r="P64" s="180" t="str">
        <f>IF(Hoja6!AY21="*","Canceló",Hoja6!AX21)</f>
        <v>Canceló</v>
      </c>
      <c r="Q64" s="180" t="str">
        <f>IF(Hoja6!BC21="*","Canceló",Hoja6!BB21)</f>
        <v>Canceló</v>
      </c>
      <c r="R64" s="180" t="str">
        <f>IF(Hoja6!BG21="*","Canceló",Hoja6!BF21)</f>
        <v>Canceló</v>
      </c>
      <c r="S64" s="180" t="str">
        <f>IF(Hoja6!BK21="*","Canceló",Hoja6!BJ21)</f>
        <v>Canceló</v>
      </c>
      <c r="T64" s="180" t="str">
        <f>IF(Hoja6!BO21="*","Canceló",Hoja6!BN21)</f>
        <v>Canceló</v>
      </c>
      <c r="U64" s="180" t="str">
        <f>IF(Hoja6!BS21="*","Canceló",Hoja6!BR21)</f>
        <v>Canceló</v>
      </c>
      <c r="V64" s="180" t="str">
        <f>IF(Hoja6!BW21="*","Canceló",Hoja6!BV21)</f>
        <v>Canceló</v>
      </c>
      <c r="W64" s="180" t="str">
        <f>IF(Hoja6!CA21="*","Canceló",Hoja6!BZ21)</f>
        <v>Canceló</v>
      </c>
      <c r="X64" s="180" t="str">
        <f>IF(Hoja6!CE21="*","Canceló",Hoja6!CD21)</f>
        <v>Canceló</v>
      </c>
      <c r="Y64" s="180" t="str">
        <f>IF(Hoja6!CI21="*","Canceló",Hoja6!CH21)</f>
        <v>Canceló</v>
      </c>
      <c r="Z64" s="180" t="str">
        <f>IF(Hoja6!CM21="*","Canceló",Hoja6!CL21)</f>
        <v>Canceló</v>
      </c>
      <c r="AA64" s="180" t="str">
        <f>IF(Hoja6!CQ21="*","Canceló",Hoja6!CP21)</f>
        <v>Canceló</v>
      </c>
      <c r="AB64" s="180" t="str">
        <f>IF(Hoja6!CU21="*","Canceló",Hoja6!CT21)</f>
        <v>Canceló</v>
      </c>
      <c r="AC64" s="180" t="str">
        <f>IF(Hoja6!CY21="*","Canceló",Hoja6!CX21)</f>
        <v>Canceló</v>
      </c>
      <c r="AD64" s="180" t="str">
        <f>IF(Hoja6!DC21="*","Canceló",Hoja6!DB21)</f>
        <v>Canceló</v>
      </c>
      <c r="AE64" s="180" t="str">
        <f>IF(Hoja6!DG21="*","Canceló",Hoja6!DF21)</f>
        <v>Canceló</v>
      </c>
      <c r="AF64" s="180" t="str">
        <f>IF(Hoja6!DK21="*","Canceló",Hoja6!DJ21)</f>
        <v>Canceló</v>
      </c>
      <c r="AG64" s="180" t="str">
        <f>IF(Hoja6!DO21="*","Canceló",Hoja6!DN21)</f>
        <v>Canceló</v>
      </c>
      <c r="AH64" s="180" t="str">
        <f>IF(Hoja6!DS21="*","Canceló",Hoja6!DR21)</f>
        <v>Canceló</v>
      </c>
      <c r="AI64" s="180" t="str">
        <f>IF(Hoja6!DW21="*","Canceló",Hoja6!DV21)</f>
        <v>Canceló</v>
      </c>
      <c r="AJ64" s="180" t="str">
        <f>IF(Hoja6!EA21="*","Canceló",Hoja6!DZ21)</f>
        <v>Canceló</v>
      </c>
      <c r="AK64" s="180" t="str">
        <f>IF(Hoja6!EE21="*","Canceló",Hoja6!ED21)</f>
        <v>Canceló</v>
      </c>
      <c r="AL64" s="180" t="str">
        <f>IF(Hoja6!EI21="*","Canceló",Hoja6!EH21)</f>
        <v>Canceló</v>
      </c>
      <c r="AM64" s="180" t="str">
        <f>IF(Hoja6!EM21="*","Canceló",Hoja6!EL21)</f>
        <v>Canceló</v>
      </c>
      <c r="AN64" s="180" t="str">
        <f>IF(Hoja6!EQ21="*","Canceló",Hoja6!EP21)</f>
        <v>Canceló</v>
      </c>
      <c r="AO64" s="180" t="str">
        <f>IF(Hoja6!EU21="*","Canceló",Hoja6!ET21)</f>
        <v>Canceló</v>
      </c>
      <c r="AP64" s="180" t="str">
        <f>IF(Hoja6!EY21="*","Canceló",Hoja6!EX21)</f>
        <v>Canceló</v>
      </c>
      <c r="AQ64" s="180" t="str">
        <f>IF(Hoja6!FC21="*","Canceló",Hoja6!FB21)</f>
        <v>Canceló</v>
      </c>
      <c r="AR64" s="180" t="str">
        <f>IF(Hoja6!FG21="*","Canceló",Hoja6!FF21)</f>
        <v>Canceló</v>
      </c>
      <c r="AS64" s="180" t="str">
        <f>IF(Hoja6!FK21="*","Canceló",Hoja6!FJ21)</f>
        <v>Canceló</v>
      </c>
      <c r="AT64" s="180">
        <f>IF(Hoja6!FO21="*","Canceló",Hoja6!FN21)</f>
        <v>17.028078571428573</v>
      </c>
    </row>
    <row r="65" spans="1:46">
      <c r="A65" s="51">
        <f t="shared" si="0"/>
        <v>0</v>
      </c>
      <c r="B65" s="14">
        <f>Hoja6!HL22</f>
        <v>0</v>
      </c>
      <c r="C65" s="177" t="s">
        <v>44</v>
      </c>
      <c r="D65" s="180" t="str">
        <f>IF(Hoja6!C22="*","Canceló",Hoja6!D22)</f>
        <v>Canceló</v>
      </c>
      <c r="E65" s="180" t="str">
        <f>IF(Hoja6!G22="*","Canceló",Hoja6!H22)</f>
        <v>Canceló</v>
      </c>
      <c r="F65" s="180" t="str">
        <f>IF(Hoja6!K22="*","Canceló",Hoja6!L22)</f>
        <v>Canceló</v>
      </c>
      <c r="G65" s="180" t="str">
        <f>IF(Hoja6!O22="*","Canceló",Hoja6!P22)</f>
        <v>Canceló</v>
      </c>
      <c r="H65" s="180" t="str">
        <f>IF(Hoja6!S22="*","Canceló",Hoja6!T22)</f>
        <v>Canceló</v>
      </c>
      <c r="I65" s="180" t="str">
        <f>IF(Hoja6!W22="*","Canceló",Hoja6!V22)</f>
        <v>Canceló</v>
      </c>
      <c r="J65" s="180" t="str">
        <f>IF(Hoja6!AA22="*","Canceló",Hoja6!Z22)</f>
        <v>Canceló</v>
      </c>
      <c r="K65" s="180" t="str">
        <f>IF(Hoja6!AE22="*","Canceló",Hoja6!AD22)</f>
        <v>Canceló</v>
      </c>
      <c r="L65" s="180" t="str">
        <f>IF(Hoja6!AI22="*","Canceló",Hoja6!AH22)</f>
        <v>Canceló</v>
      </c>
      <c r="M65" s="180" t="str">
        <f>IF(Hoja6!AM22="*","Canceló",Hoja6!AL22)</f>
        <v>Canceló</v>
      </c>
      <c r="N65" s="180" t="str">
        <f>IF(Hoja6!AQ22="*","Canceló",Hoja6!AP22)</f>
        <v>Canceló</v>
      </c>
      <c r="O65" s="180" t="str">
        <f>IF(Hoja6!AU22="*","Canceló",Hoja6!AT22)</f>
        <v>Canceló</v>
      </c>
      <c r="P65" s="180" t="str">
        <f>IF(Hoja6!AY22="*","Canceló",Hoja6!AX22)</f>
        <v>Canceló</v>
      </c>
      <c r="Q65" s="180" t="str">
        <f>IF(Hoja6!BC22="*","Canceló",Hoja6!BB22)</f>
        <v>Canceló</v>
      </c>
      <c r="R65" s="180" t="str">
        <f>IF(Hoja6!BG22="*","Canceló",Hoja6!BF22)</f>
        <v>Canceló</v>
      </c>
      <c r="S65" s="180" t="str">
        <f>IF(Hoja6!BK22="*","Canceló",Hoja6!BJ22)</f>
        <v>Canceló</v>
      </c>
      <c r="T65" s="180" t="str">
        <f>IF(Hoja6!BO22="*","Canceló",Hoja6!BN22)</f>
        <v>Canceló</v>
      </c>
      <c r="U65" s="180" t="str">
        <f>IF(Hoja6!BS22="*","Canceló",Hoja6!BR22)</f>
        <v>Canceló</v>
      </c>
      <c r="V65" s="180" t="str">
        <f>IF(Hoja6!BW22="*","Canceló",Hoja6!BV22)</f>
        <v>Canceló</v>
      </c>
      <c r="W65" s="180" t="str">
        <f>IF(Hoja6!CA22="*","Canceló",Hoja6!BZ22)</f>
        <v>Canceló</v>
      </c>
      <c r="X65" s="180" t="str">
        <f>IF(Hoja6!CE22="*","Canceló",Hoja6!CD22)</f>
        <v>Canceló</v>
      </c>
      <c r="Y65" s="180" t="str">
        <f>IF(Hoja6!CI22="*","Canceló",Hoja6!CH22)</f>
        <v>Canceló</v>
      </c>
      <c r="Z65" s="180" t="str">
        <f>IF(Hoja6!CM22="*","Canceló",Hoja6!CL22)</f>
        <v>Canceló</v>
      </c>
      <c r="AA65" s="180" t="str">
        <f>IF(Hoja6!CQ22="*","Canceló",Hoja6!CP22)</f>
        <v>Canceló</v>
      </c>
      <c r="AB65" s="180" t="str">
        <f>IF(Hoja6!CU22="*","Canceló",Hoja6!CT22)</f>
        <v>Canceló</v>
      </c>
      <c r="AC65" s="180" t="str">
        <f>IF(Hoja6!CY22="*","Canceló",Hoja6!CX22)</f>
        <v>Canceló</v>
      </c>
      <c r="AD65" s="180" t="str">
        <f>IF(Hoja6!DC22="*","Canceló",Hoja6!DB22)</f>
        <v>Canceló</v>
      </c>
      <c r="AE65" s="180" t="str">
        <f>IF(Hoja6!DG22="*","Canceló",Hoja6!DF22)</f>
        <v>Canceló</v>
      </c>
      <c r="AF65" s="180" t="str">
        <f>IF(Hoja6!DK22="*","Canceló",Hoja6!DJ22)</f>
        <v>Canceló</v>
      </c>
      <c r="AG65" s="180" t="str">
        <f>IF(Hoja6!DO22="*","Canceló",Hoja6!DN22)</f>
        <v>Canceló</v>
      </c>
      <c r="AH65" s="180" t="str">
        <f>IF(Hoja6!DS22="*","Canceló",Hoja6!DR22)</f>
        <v>Canceló</v>
      </c>
      <c r="AI65" s="180" t="str">
        <f>IF(Hoja6!DW22="*","Canceló",Hoja6!DV22)</f>
        <v>Canceló</v>
      </c>
      <c r="AJ65" s="180" t="str">
        <f>IF(Hoja6!EA22="*","Canceló",Hoja6!DZ22)</f>
        <v>Canceló</v>
      </c>
      <c r="AK65" s="180" t="str">
        <f>IF(Hoja6!EE22="*","Canceló",Hoja6!ED22)</f>
        <v>Canceló</v>
      </c>
      <c r="AL65" s="180" t="str">
        <f>IF(Hoja6!EI22="*","Canceló",Hoja6!EH22)</f>
        <v>Canceló</v>
      </c>
      <c r="AM65" s="180" t="str">
        <f>IF(Hoja6!EM22="*","Canceló",Hoja6!EL22)</f>
        <v>Canceló</v>
      </c>
      <c r="AN65" s="180" t="str">
        <f>IF(Hoja6!EQ22="*","Canceló",Hoja6!EP22)</f>
        <v>Canceló</v>
      </c>
      <c r="AO65" s="180" t="str">
        <f>IF(Hoja6!EU22="*","Canceló",Hoja6!ET22)</f>
        <v>Canceló</v>
      </c>
      <c r="AP65" s="180" t="str">
        <f>IF(Hoja6!EY22="*","Canceló",Hoja6!EX22)</f>
        <v>Canceló</v>
      </c>
      <c r="AQ65" s="180" t="str">
        <f>IF(Hoja6!FC22="*","Canceló",Hoja6!FB22)</f>
        <v>Canceló</v>
      </c>
      <c r="AR65" s="180" t="str">
        <f>IF(Hoja6!FG22="*","Canceló",Hoja6!FF22)</f>
        <v>Canceló</v>
      </c>
      <c r="AS65" s="180" t="str">
        <f>IF(Hoja6!FK22="*","Canceló",Hoja6!FJ22)</f>
        <v>Canceló</v>
      </c>
      <c r="AT65" s="180">
        <f>IF(Hoja6!FO22="*","Canceló",Hoja6!FN22)</f>
        <v>17.028078571428573</v>
      </c>
    </row>
    <row r="66" spans="1:46">
      <c r="A66" s="51">
        <f t="shared" si="0"/>
        <v>0</v>
      </c>
      <c r="B66" s="14">
        <f>Hoja6!HL23</f>
        <v>0</v>
      </c>
      <c r="C66" s="177" t="s">
        <v>45</v>
      </c>
      <c r="D66" s="180" t="str">
        <f>IF(Hoja6!C23="*","Canceló",Hoja6!D23)</f>
        <v>Canceló</v>
      </c>
      <c r="E66" s="180" t="str">
        <f>IF(Hoja6!G23="*","Canceló",Hoja6!H23)</f>
        <v>Canceló</v>
      </c>
      <c r="F66" s="180" t="str">
        <f>IF(Hoja6!K23="*","Canceló",Hoja6!L23)</f>
        <v>Canceló</v>
      </c>
      <c r="G66" s="180" t="str">
        <f>IF(Hoja6!O23="*","Canceló",Hoja6!P23)</f>
        <v>Canceló</v>
      </c>
      <c r="H66" s="180" t="str">
        <f>IF(Hoja6!S23="*","Canceló",Hoja6!T23)</f>
        <v>Canceló</v>
      </c>
      <c r="I66" s="180" t="str">
        <f>IF(Hoja6!W23="*","Canceló",Hoja6!V23)</f>
        <v>Canceló</v>
      </c>
      <c r="J66" s="180" t="str">
        <f>IF(Hoja6!AA23="*","Canceló",Hoja6!Z23)</f>
        <v>Canceló</v>
      </c>
      <c r="K66" s="180" t="str">
        <f>IF(Hoja6!AE23="*","Canceló",Hoja6!AD23)</f>
        <v>Canceló</v>
      </c>
      <c r="L66" s="180" t="str">
        <f>IF(Hoja6!AI23="*","Canceló",Hoja6!AH23)</f>
        <v>Canceló</v>
      </c>
      <c r="M66" s="180" t="str">
        <f>IF(Hoja6!AM23="*","Canceló",Hoja6!AL23)</f>
        <v>Canceló</v>
      </c>
      <c r="N66" s="180" t="str">
        <f>IF(Hoja6!AQ23="*","Canceló",Hoja6!AP23)</f>
        <v>Canceló</v>
      </c>
      <c r="O66" s="180" t="str">
        <f>IF(Hoja6!AU23="*","Canceló",Hoja6!AT23)</f>
        <v>Canceló</v>
      </c>
      <c r="P66" s="180" t="str">
        <f>IF(Hoja6!AY23="*","Canceló",Hoja6!AX23)</f>
        <v>Canceló</v>
      </c>
      <c r="Q66" s="180" t="str">
        <f>IF(Hoja6!BC23="*","Canceló",Hoja6!BB23)</f>
        <v>Canceló</v>
      </c>
      <c r="R66" s="180" t="str">
        <f>IF(Hoja6!BG23="*","Canceló",Hoja6!BF23)</f>
        <v>Canceló</v>
      </c>
      <c r="S66" s="180" t="str">
        <f>IF(Hoja6!BK23="*","Canceló",Hoja6!BJ23)</f>
        <v>Canceló</v>
      </c>
      <c r="T66" s="180" t="str">
        <f>IF(Hoja6!BO23="*","Canceló",Hoja6!BN23)</f>
        <v>Canceló</v>
      </c>
      <c r="U66" s="180" t="str">
        <f>IF(Hoja6!BS23="*","Canceló",Hoja6!BR23)</f>
        <v>Canceló</v>
      </c>
      <c r="V66" s="180" t="str">
        <f>IF(Hoja6!BW23="*","Canceló",Hoja6!BV23)</f>
        <v>Canceló</v>
      </c>
      <c r="W66" s="180" t="str">
        <f>IF(Hoja6!CA23="*","Canceló",Hoja6!BZ23)</f>
        <v>Canceló</v>
      </c>
      <c r="X66" s="180" t="str">
        <f>IF(Hoja6!CE23="*","Canceló",Hoja6!CD23)</f>
        <v>Canceló</v>
      </c>
      <c r="Y66" s="180" t="str">
        <f>IF(Hoja6!CI23="*","Canceló",Hoja6!CH23)</f>
        <v>Canceló</v>
      </c>
      <c r="Z66" s="180" t="str">
        <f>IF(Hoja6!CM23="*","Canceló",Hoja6!CL23)</f>
        <v>Canceló</v>
      </c>
      <c r="AA66" s="180" t="str">
        <f>IF(Hoja6!CQ23="*","Canceló",Hoja6!CP23)</f>
        <v>Canceló</v>
      </c>
      <c r="AB66" s="180" t="str">
        <f>IF(Hoja6!CU23="*","Canceló",Hoja6!CT23)</f>
        <v>Canceló</v>
      </c>
      <c r="AC66" s="180" t="str">
        <f>IF(Hoja6!CY23="*","Canceló",Hoja6!CX23)</f>
        <v>Canceló</v>
      </c>
      <c r="AD66" s="180" t="str">
        <f>IF(Hoja6!DC23="*","Canceló",Hoja6!DB23)</f>
        <v>Canceló</v>
      </c>
      <c r="AE66" s="180" t="str">
        <f>IF(Hoja6!DG23="*","Canceló",Hoja6!DF23)</f>
        <v>Canceló</v>
      </c>
      <c r="AF66" s="180" t="str">
        <f>IF(Hoja6!DK23="*","Canceló",Hoja6!DJ23)</f>
        <v>Canceló</v>
      </c>
      <c r="AG66" s="180" t="str">
        <f>IF(Hoja6!DO23="*","Canceló",Hoja6!DN23)</f>
        <v>Canceló</v>
      </c>
      <c r="AH66" s="180" t="str">
        <f>IF(Hoja6!DS23="*","Canceló",Hoja6!DR23)</f>
        <v>Canceló</v>
      </c>
      <c r="AI66" s="180" t="str">
        <f>IF(Hoja6!DW23="*","Canceló",Hoja6!DV23)</f>
        <v>Canceló</v>
      </c>
      <c r="AJ66" s="180" t="str">
        <f>IF(Hoja6!EA23="*","Canceló",Hoja6!DZ23)</f>
        <v>Canceló</v>
      </c>
      <c r="AK66" s="180" t="str">
        <f>IF(Hoja6!EE23="*","Canceló",Hoja6!ED23)</f>
        <v>Canceló</v>
      </c>
      <c r="AL66" s="180" t="str">
        <f>IF(Hoja6!EI23="*","Canceló",Hoja6!EH23)</f>
        <v>Canceló</v>
      </c>
      <c r="AM66" s="180" t="str">
        <f>IF(Hoja6!EM23="*","Canceló",Hoja6!EL23)</f>
        <v>Canceló</v>
      </c>
      <c r="AN66" s="180" t="str">
        <f>IF(Hoja6!EQ23="*","Canceló",Hoja6!EP23)</f>
        <v>Canceló</v>
      </c>
      <c r="AO66" s="180" t="str">
        <f>IF(Hoja6!EU23="*","Canceló",Hoja6!ET23)</f>
        <v>Canceló</v>
      </c>
      <c r="AP66" s="180" t="str">
        <f>IF(Hoja6!EY23="*","Canceló",Hoja6!EX23)</f>
        <v>Canceló</v>
      </c>
      <c r="AQ66" s="180" t="str">
        <f>IF(Hoja6!FC23="*","Canceló",Hoja6!FB23)</f>
        <v>Canceló</v>
      </c>
      <c r="AR66" s="180" t="str">
        <f>IF(Hoja6!FG23="*","Canceló",Hoja6!FF23)</f>
        <v>Canceló</v>
      </c>
      <c r="AS66" s="180" t="str">
        <f>IF(Hoja6!FK23="*","Canceló",Hoja6!FJ23)</f>
        <v>Canceló</v>
      </c>
      <c r="AT66" s="180">
        <f>IF(Hoja6!FO23="*","Canceló",Hoja6!FN23)</f>
        <v>17.028078571428573</v>
      </c>
    </row>
    <row r="67" spans="1:46">
      <c r="A67" s="51">
        <f t="shared" si="0"/>
        <v>0</v>
      </c>
      <c r="B67" s="14">
        <f>Hoja6!HL24</f>
        <v>0</v>
      </c>
      <c r="C67" s="177" t="s">
        <v>47</v>
      </c>
      <c r="D67" s="180" t="str">
        <f>IF(Hoja6!C24="*","Canceló",Hoja6!D24)</f>
        <v>Canceló</v>
      </c>
      <c r="E67" s="180" t="str">
        <f>IF(Hoja6!G24="*","Canceló",Hoja6!H24)</f>
        <v>Canceló</v>
      </c>
      <c r="F67" s="180" t="str">
        <f>IF(Hoja6!K24="*","Canceló",Hoja6!L24)</f>
        <v>Canceló</v>
      </c>
      <c r="G67" s="180" t="str">
        <f>IF(Hoja6!O24="*","Canceló",Hoja6!P24)</f>
        <v>Canceló</v>
      </c>
      <c r="H67" s="180" t="str">
        <f>IF(Hoja6!S24="*","Canceló",Hoja6!T24)</f>
        <v>Canceló</v>
      </c>
      <c r="I67" s="180" t="str">
        <f>IF(Hoja6!W24="*","Canceló",Hoja6!V24)</f>
        <v>Canceló</v>
      </c>
      <c r="J67" s="180" t="str">
        <f>IF(Hoja6!AA24="*","Canceló",Hoja6!Z24)</f>
        <v>Canceló</v>
      </c>
      <c r="K67" s="180" t="str">
        <f>IF(Hoja6!AE24="*","Canceló",Hoja6!AD24)</f>
        <v>Canceló</v>
      </c>
      <c r="L67" s="180" t="str">
        <f>IF(Hoja6!AI24="*","Canceló",Hoja6!AH24)</f>
        <v>Canceló</v>
      </c>
      <c r="M67" s="180" t="str">
        <f>IF(Hoja6!AM24="*","Canceló",Hoja6!AL24)</f>
        <v>Canceló</v>
      </c>
      <c r="N67" s="180" t="str">
        <f>IF(Hoja6!AQ24="*","Canceló",Hoja6!AP24)</f>
        <v>Canceló</v>
      </c>
      <c r="O67" s="180" t="str">
        <f>IF(Hoja6!AU24="*","Canceló",Hoja6!AT24)</f>
        <v>Canceló</v>
      </c>
      <c r="P67" s="180" t="str">
        <f>IF(Hoja6!AY24="*","Canceló",Hoja6!AX24)</f>
        <v>Canceló</v>
      </c>
      <c r="Q67" s="180" t="str">
        <f>IF(Hoja6!BC24="*","Canceló",Hoja6!BB24)</f>
        <v>Canceló</v>
      </c>
      <c r="R67" s="180" t="str">
        <f>IF(Hoja6!BG24="*","Canceló",Hoja6!BF24)</f>
        <v>Canceló</v>
      </c>
      <c r="S67" s="180" t="str">
        <f>IF(Hoja6!BK24="*","Canceló",Hoja6!BJ24)</f>
        <v>Canceló</v>
      </c>
      <c r="T67" s="180" t="str">
        <f>IF(Hoja6!BO24="*","Canceló",Hoja6!BN24)</f>
        <v>Canceló</v>
      </c>
      <c r="U67" s="180" t="str">
        <f>IF(Hoja6!BS24="*","Canceló",Hoja6!BR24)</f>
        <v>Canceló</v>
      </c>
      <c r="V67" s="180" t="str">
        <f>IF(Hoja6!BW24="*","Canceló",Hoja6!BV24)</f>
        <v>Canceló</v>
      </c>
      <c r="W67" s="180" t="str">
        <f>IF(Hoja6!CA24="*","Canceló",Hoja6!BZ24)</f>
        <v>Canceló</v>
      </c>
      <c r="X67" s="180" t="str">
        <f>IF(Hoja6!CE24="*","Canceló",Hoja6!CD24)</f>
        <v>Canceló</v>
      </c>
      <c r="Y67" s="180" t="str">
        <f>IF(Hoja6!CI24="*","Canceló",Hoja6!CH24)</f>
        <v>Canceló</v>
      </c>
      <c r="Z67" s="180" t="str">
        <f>IF(Hoja6!CM24="*","Canceló",Hoja6!CL24)</f>
        <v>Canceló</v>
      </c>
      <c r="AA67" s="180" t="str">
        <f>IF(Hoja6!CQ24="*","Canceló",Hoja6!CP24)</f>
        <v>Canceló</v>
      </c>
      <c r="AB67" s="180" t="str">
        <f>IF(Hoja6!CU24="*","Canceló",Hoja6!CT24)</f>
        <v>Canceló</v>
      </c>
      <c r="AC67" s="180" t="str">
        <f>IF(Hoja6!CY24="*","Canceló",Hoja6!CX24)</f>
        <v>Canceló</v>
      </c>
      <c r="AD67" s="180" t="str">
        <f>IF(Hoja6!DC24="*","Canceló",Hoja6!DB24)</f>
        <v>Canceló</v>
      </c>
      <c r="AE67" s="180" t="str">
        <f>IF(Hoja6!DG24="*","Canceló",Hoja6!DF24)</f>
        <v>Canceló</v>
      </c>
      <c r="AF67" s="180" t="str">
        <f>IF(Hoja6!DK24="*","Canceló",Hoja6!DJ24)</f>
        <v>Canceló</v>
      </c>
      <c r="AG67" s="180" t="str">
        <f>IF(Hoja6!DO24="*","Canceló",Hoja6!DN24)</f>
        <v>Canceló</v>
      </c>
      <c r="AH67" s="180" t="str">
        <f>IF(Hoja6!DS24="*","Canceló",Hoja6!DR24)</f>
        <v>Canceló</v>
      </c>
      <c r="AI67" s="180" t="str">
        <f>IF(Hoja6!DW24="*","Canceló",Hoja6!DV24)</f>
        <v>Canceló</v>
      </c>
      <c r="AJ67" s="180" t="str">
        <f>IF(Hoja6!EA24="*","Canceló",Hoja6!DZ24)</f>
        <v>Canceló</v>
      </c>
      <c r="AK67" s="180" t="str">
        <f>IF(Hoja6!EE24="*","Canceló",Hoja6!ED24)</f>
        <v>Canceló</v>
      </c>
      <c r="AL67" s="180" t="str">
        <f>IF(Hoja6!EI24="*","Canceló",Hoja6!EH24)</f>
        <v>Canceló</v>
      </c>
      <c r="AM67" s="180" t="str">
        <f>IF(Hoja6!EM24="*","Canceló",Hoja6!EL24)</f>
        <v>Canceló</v>
      </c>
      <c r="AN67" s="180" t="str">
        <f>IF(Hoja6!EQ24="*","Canceló",Hoja6!EP24)</f>
        <v>Canceló</v>
      </c>
      <c r="AO67" s="180" t="str">
        <f>IF(Hoja6!EU24="*","Canceló",Hoja6!ET24)</f>
        <v>Canceló</v>
      </c>
      <c r="AP67" s="180" t="str">
        <f>IF(Hoja6!EY24="*","Canceló",Hoja6!EX24)</f>
        <v>Canceló</v>
      </c>
      <c r="AQ67" s="180" t="str">
        <f>IF(Hoja6!FC24="*","Canceló",Hoja6!FB24)</f>
        <v>Canceló</v>
      </c>
      <c r="AR67" s="180" t="str">
        <f>IF(Hoja6!FG24="*","Canceló",Hoja6!FF24)</f>
        <v>Canceló</v>
      </c>
      <c r="AS67" s="180" t="str">
        <f>IF(Hoja6!FK24="*","Canceló",Hoja6!FJ24)</f>
        <v>Canceló</v>
      </c>
      <c r="AT67" s="180">
        <f>IF(Hoja6!FO24="*","Canceló",Hoja6!FN24)</f>
        <v>25.466778571428563</v>
      </c>
    </row>
    <row r="68" spans="1:46">
      <c r="A68" s="51">
        <f t="shared" si="0"/>
        <v>0</v>
      </c>
      <c r="B68" s="14">
        <f>Hoja6!HL25</f>
        <v>0</v>
      </c>
      <c r="C68" s="177" t="s">
        <v>49</v>
      </c>
      <c r="D68" s="180" t="str">
        <f>IF(Hoja6!C25="*","Canceló",Hoja6!D25)</f>
        <v>Canceló</v>
      </c>
      <c r="E68" s="180" t="str">
        <f>IF(Hoja6!G25="*","Canceló",Hoja6!H25)</f>
        <v>Canceló</v>
      </c>
      <c r="F68" s="180" t="str">
        <f>IF(Hoja6!K25="*","Canceló",Hoja6!L25)</f>
        <v>Canceló</v>
      </c>
      <c r="G68" s="180" t="str">
        <f>IF(Hoja6!O25="*","Canceló",Hoja6!P25)</f>
        <v>Canceló</v>
      </c>
      <c r="H68" s="180" t="str">
        <f>IF(Hoja6!S25="*","Canceló",Hoja6!T25)</f>
        <v>Canceló</v>
      </c>
      <c r="I68" s="180" t="str">
        <f>IF(Hoja6!W25="*","Canceló",Hoja6!V25)</f>
        <v>Canceló</v>
      </c>
      <c r="J68" s="180" t="str">
        <f>IF(Hoja6!AA25="*","Canceló",Hoja6!Z25)</f>
        <v>Canceló</v>
      </c>
      <c r="K68" s="180" t="str">
        <f>IF(Hoja6!AE25="*","Canceló",Hoja6!AD25)</f>
        <v>Canceló</v>
      </c>
      <c r="L68" s="180" t="str">
        <f>IF(Hoja6!AI25="*","Canceló",Hoja6!AH25)</f>
        <v>Canceló</v>
      </c>
      <c r="M68" s="180" t="str">
        <f>IF(Hoja6!AM25="*","Canceló",Hoja6!AL25)</f>
        <v>Canceló</v>
      </c>
      <c r="N68" s="180" t="str">
        <f>IF(Hoja6!AQ25="*","Canceló",Hoja6!AP25)</f>
        <v>Canceló</v>
      </c>
      <c r="O68" s="180" t="str">
        <f>IF(Hoja6!AU25="*","Canceló",Hoja6!AT25)</f>
        <v>Canceló</v>
      </c>
      <c r="P68" s="180" t="str">
        <f>IF(Hoja6!AY25="*","Canceló",Hoja6!AX25)</f>
        <v>Canceló</v>
      </c>
      <c r="Q68" s="180" t="str">
        <f>IF(Hoja6!BC25="*","Canceló",Hoja6!BB25)</f>
        <v>Canceló</v>
      </c>
      <c r="R68" s="180" t="str">
        <f>IF(Hoja6!BG25="*","Canceló",Hoja6!BF25)</f>
        <v>Canceló</v>
      </c>
      <c r="S68" s="180" t="str">
        <f>IF(Hoja6!BK25="*","Canceló",Hoja6!BJ25)</f>
        <v>Canceló</v>
      </c>
      <c r="T68" s="180" t="str">
        <f>IF(Hoja6!BO25="*","Canceló",Hoja6!BN25)</f>
        <v>Canceló</v>
      </c>
      <c r="U68" s="180" t="str">
        <f>IF(Hoja6!BS25="*","Canceló",Hoja6!BR25)</f>
        <v>Canceló</v>
      </c>
      <c r="V68" s="180" t="str">
        <f>IF(Hoja6!BW25="*","Canceló",Hoja6!BV25)</f>
        <v>Canceló</v>
      </c>
      <c r="W68" s="180" t="str">
        <f>IF(Hoja6!CA25="*","Canceló",Hoja6!BZ25)</f>
        <v>Canceló</v>
      </c>
      <c r="X68" s="180" t="str">
        <f>IF(Hoja6!CE25="*","Canceló",Hoja6!CD25)</f>
        <v>Canceló</v>
      </c>
      <c r="Y68" s="180" t="str">
        <f>IF(Hoja6!CI25="*","Canceló",Hoja6!CH25)</f>
        <v>Canceló</v>
      </c>
      <c r="Z68" s="180" t="str">
        <f>IF(Hoja6!CM25="*","Canceló",Hoja6!CL25)</f>
        <v>Canceló</v>
      </c>
      <c r="AA68" s="180" t="str">
        <f>IF(Hoja6!CQ25="*","Canceló",Hoja6!CP25)</f>
        <v>Canceló</v>
      </c>
      <c r="AB68" s="180" t="str">
        <f>IF(Hoja6!CU25="*","Canceló",Hoja6!CT25)</f>
        <v>Canceló</v>
      </c>
      <c r="AC68" s="180" t="str">
        <f>IF(Hoja6!CY25="*","Canceló",Hoja6!CX25)</f>
        <v>Canceló</v>
      </c>
      <c r="AD68" s="180" t="str">
        <f>IF(Hoja6!DC25="*","Canceló",Hoja6!DB25)</f>
        <v>Canceló</v>
      </c>
      <c r="AE68" s="180" t="str">
        <f>IF(Hoja6!DG25="*","Canceló",Hoja6!DF25)</f>
        <v>Canceló</v>
      </c>
      <c r="AF68" s="180" t="str">
        <f>IF(Hoja6!DK25="*","Canceló",Hoja6!DJ25)</f>
        <v>Canceló</v>
      </c>
      <c r="AG68" s="180" t="str">
        <f>IF(Hoja6!DO25="*","Canceló",Hoja6!DN25)</f>
        <v>Canceló</v>
      </c>
      <c r="AH68" s="180" t="str">
        <f>IF(Hoja6!DS25="*","Canceló",Hoja6!DR25)</f>
        <v>Canceló</v>
      </c>
      <c r="AI68" s="180" t="str">
        <f>IF(Hoja6!DW25="*","Canceló",Hoja6!DV25)</f>
        <v>Canceló</v>
      </c>
      <c r="AJ68" s="180" t="str">
        <f>IF(Hoja6!EA25="*","Canceló",Hoja6!DZ25)</f>
        <v>Canceló</v>
      </c>
      <c r="AK68" s="180" t="str">
        <f>IF(Hoja6!EE25="*","Canceló",Hoja6!ED25)</f>
        <v>Canceló</v>
      </c>
      <c r="AL68" s="180" t="str">
        <f>IF(Hoja6!EI25="*","Canceló",Hoja6!EH25)</f>
        <v>Canceló</v>
      </c>
      <c r="AM68" s="180" t="str">
        <f>IF(Hoja6!EM25="*","Canceló",Hoja6!EL25)</f>
        <v>Canceló</v>
      </c>
      <c r="AN68" s="180" t="str">
        <f>IF(Hoja6!EQ25="*","Canceló",Hoja6!EP25)</f>
        <v>Canceló</v>
      </c>
      <c r="AO68" s="180" t="str">
        <f>IF(Hoja6!EU25="*","Canceló",Hoja6!ET25)</f>
        <v>Canceló</v>
      </c>
      <c r="AP68" s="180" t="str">
        <f>IF(Hoja6!EY25="*","Canceló",Hoja6!EX25)</f>
        <v>Canceló</v>
      </c>
      <c r="AQ68" s="180" t="str">
        <f>IF(Hoja6!FC25="*","Canceló",Hoja6!FB25)</f>
        <v>Canceló</v>
      </c>
      <c r="AR68" s="180" t="str">
        <f>IF(Hoja6!FG25="*","Canceló",Hoja6!FF25)</f>
        <v>Canceló</v>
      </c>
      <c r="AS68" s="180" t="str">
        <f>IF(Hoja6!FK25="*","Canceló",Hoja6!FJ25)</f>
        <v>Canceló</v>
      </c>
      <c r="AT68" s="180">
        <f>IF(Hoja6!FO25="*","Canceló",Hoja6!FN25)</f>
        <v>25.466778571428563</v>
      </c>
    </row>
    <row r="69" spans="1:46">
      <c r="A69" s="51">
        <f t="shared" si="0"/>
        <v>472.12800000000004</v>
      </c>
      <c r="B69" s="14">
        <f>Hoja6!HL26</f>
        <v>10.654148571428571</v>
      </c>
      <c r="C69" s="177" t="s">
        <v>63</v>
      </c>
      <c r="D69" s="180" t="str">
        <f>IF(Hoja6!C26="*","Canceló",Hoja6!D26)</f>
        <v>Canceló</v>
      </c>
      <c r="E69" s="180" t="str">
        <f>IF(Hoja6!G26="*","Canceló",Hoja6!H26)</f>
        <v>Canceló</v>
      </c>
      <c r="F69" s="180" t="str">
        <f>IF(Hoja6!K26="*","Canceló",Hoja6!L26)</f>
        <v>Canceló</v>
      </c>
      <c r="G69" s="180" t="str">
        <f>IF(Hoja6!O26="*","Canceló",Hoja6!P26)</f>
        <v>Canceló</v>
      </c>
      <c r="H69" s="180" t="str">
        <f>IF(Hoja6!S26="*","Canceló",Hoja6!T26)</f>
        <v>Canceló</v>
      </c>
      <c r="I69" s="180" t="str">
        <f>IF(Hoja6!W26="*","Canceló",Hoja6!V26)</f>
        <v>Canceló</v>
      </c>
      <c r="J69" s="180" t="str">
        <f>IF(Hoja6!AA26="*","Canceló",Hoja6!Z26)</f>
        <v>Canceló</v>
      </c>
      <c r="K69" s="180" t="str">
        <f>IF(Hoja6!AE26="*","Canceló",Hoja6!AD26)</f>
        <v>Canceló</v>
      </c>
      <c r="L69" s="180" t="str">
        <f>IF(Hoja6!AI26="*","Canceló",Hoja6!AH26)</f>
        <v>Canceló</v>
      </c>
      <c r="M69" s="180" t="str">
        <f>IF(Hoja6!AM26="*","Canceló",Hoja6!AL26)</f>
        <v>Canceló</v>
      </c>
      <c r="N69" s="180" t="str">
        <f>IF(Hoja6!AQ26="*","Canceló",Hoja6!AP26)</f>
        <v>Canceló</v>
      </c>
      <c r="O69" s="180" t="str">
        <f>IF(Hoja6!AU26="*","Canceló",Hoja6!AT26)</f>
        <v>Canceló</v>
      </c>
      <c r="P69" s="180" t="str">
        <f>IF(Hoja6!AY26="*","Canceló",Hoja6!AX26)</f>
        <v>Canceló</v>
      </c>
      <c r="Q69" s="180" t="str">
        <f>IF(Hoja6!BC26="*","Canceló",Hoja6!BB26)</f>
        <v>Canceló</v>
      </c>
      <c r="R69" s="180" t="str">
        <f>IF(Hoja6!BG26="*","Canceló",Hoja6!BF26)</f>
        <v>Canceló</v>
      </c>
      <c r="S69" s="180" t="str">
        <f>IF(Hoja6!BK26="*","Canceló",Hoja6!BJ26)</f>
        <v>Canceló</v>
      </c>
      <c r="T69" s="180" t="str">
        <f>IF(Hoja6!BO26="*","Canceló",Hoja6!BN26)</f>
        <v>Canceló</v>
      </c>
      <c r="U69" s="180" t="str">
        <f>IF(Hoja6!BS26="*","Canceló",Hoja6!BR26)</f>
        <v>Canceló</v>
      </c>
      <c r="V69" s="180" t="str">
        <f>IF(Hoja6!BW26="*","Canceló",Hoja6!BV26)</f>
        <v>Canceló</v>
      </c>
      <c r="W69" s="180" t="str">
        <f>IF(Hoja6!CA26="*","Canceló",Hoja6!BZ26)</f>
        <v>Canceló</v>
      </c>
      <c r="X69" s="180" t="str">
        <f>IF(Hoja6!CE26="*","Canceló",Hoja6!CD26)</f>
        <v>Canceló</v>
      </c>
      <c r="Y69" s="180" t="str">
        <f>IF(Hoja6!CI26="*","Canceló",Hoja6!CH26)</f>
        <v>Canceló</v>
      </c>
      <c r="Z69" s="180" t="str">
        <f>IF(Hoja6!CM26="*","Canceló",Hoja6!CL26)</f>
        <v>Canceló</v>
      </c>
      <c r="AA69" s="180" t="str">
        <f>IF(Hoja6!CQ26="*","Canceló",Hoja6!CP26)</f>
        <v>Canceló</v>
      </c>
      <c r="AB69" s="180">
        <f>IF(Hoja6!CU26="*","Canceló",Hoja6!CT26)</f>
        <v>22.949942857142858</v>
      </c>
      <c r="AC69" s="180">
        <f>IF(Hoja6!CY26="*","Canceló",Hoja6!CX26)</f>
        <v>22.921942857142859</v>
      </c>
      <c r="AD69" s="180">
        <f>IF(Hoja6!DC26="*","Canceló",Hoja6!DB26)</f>
        <v>21.04994285714286</v>
      </c>
      <c r="AE69" s="180">
        <f>IF(Hoja6!DG26="*","Canceló",Hoja6!DF26)</f>
        <v>24.013942857142858</v>
      </c>
      <c r="AF69" s="180">
        <f>IF(Hoja6!DK26="*","Canceló",Hoja6!DJ26)</f>
        <v>29.78594285714286</v>
      </c>
      <c r="AG69" s="180">
        <f>IF(Hoja6!DO26="*","Canceló",Hoja6!DN26)</f>
        <v>23.545942857142858</v>
      </c>
      <c r="AH69" s="180">
        <f>IF(Hoja6!DS26="*","Canceló",Hoja6!DR26)</f>
        <v>23.545942857142855</v>
      </c>
      <c r="AI69" s="180">
        <f>IF(Hoja6!DW26="*","Canceló",Hoja6!DV26)</f>
        <v>22.921942857142856</v>
      </c>
      <c r="AJ69" s="180">
        <f>IF(Hoja6!EA26="*","Canceló",Hoja6!DZ26)</f>
        <v>27.765142857142859</v>
      </c>
      <c r="AK69" s="180">
        <f>IF(Hoja6!EE26="*","Canceló",Hoja6!ED26)</f>
        <v>28.881142857142859</v>
      </c>
      <c r="AL69" s="180">
        <f>IF(Hoja6!EI26="*","Canceló",Hoja6!EH26)</f>
        <v>21.861142857142859</v>
      </c>
      <c r="AM69" s="180">
        <f>IF(Hoja6!EM26="*","Canceló",Hoja6!EL26)</f>
        <v>28.25714285714286</v>
      </c>
      <c r="AN69" s="180">
        <f>IF(Hoja6!EQ26="*","Canceló",Hoja6!EP26)</f>
        <v>26.097714285714286</v>
      </c>
      <c r="AO69" s="180">
        <f>IF(Hoja6!EU26="*","Canceló",Hoja6!ET26)</f>
        <v>27.657714285714285</v>
      </c>
      <c r="AP69" s="180">
        <f>IF(Hoja6!EY26="*","Canceló",Hoja6!EX26)</f>
        <v>27.501714285714289</v>
      </c>
      <c r="AQ69" s="180">
        <f>IF(Hoja6!FC26="*","Canceló",Hoja6!FB26)</f>
        <v>31.253714285714285</v>
      </c>
      <c r="AR69" s="180">
        <f>IF(Hoja6!FG26="*","Canceló",Hoja6!FF26)</f>
        <v>33.055314285714289</v>
      </c>
      <c r="AS69" s="180">
        <f>IF(Hoja6!FK26="*","Canceló",Hoja6!FJ26)</f>
        <v>29.061714285714285</v>
      </c>
      <c r="AT69" s="180">
        <f>IF(Hoja6!FO26="*","Canceló",Hoja6!FN26)</f>
        <v>25.65022857142857</v>
      </c>
    </row>
    <row r="70" spans="1:46">
      <c r="A70" s="51">
        <f t="shared" si="0"/>
        <v>0</v>
      </c>
      <c r="B70" s="14">
        <f>Hoja6!HL27</f>
        <v>0</v>
      </c>
      <c r="C70" s="177" t="s">
        <v>64</v>
      </c>
      <c r="D70" s="180" t="str">
        <f>IF(Hoja6!C27="*","Canceló",Hoja6!D27)</f>
        <v>Canceló</v>
      </c>
      <c r="E70" s="180" t="str">
        <f>IF(Hoja6!G27="*","Canceló",Hoja6!H27)</f>
        <v>Canceló</v>
      </c>
      <c r="F70" s="180" t="str">
        <f>IF(Hoja6!K27="*","Canceló",Hoja6!L27)</f>
        <v>Canceló</v>
      </c>
      <c r="G70" s="180" t="str">
        <f>IF(Hoja6!O27="*","Canceló",Hoja6!P27)</f>
        <v>Canceló</v>
      </c>
      <c r="H70" s="180" t="str">
        <f>IF(Hoja6!S27="*","Canceló",Hoja6!T27)</f>
        <v>Canceló</v>
      </c>
      <c r="I70" s="180" t="str">
        <f>IF(Hoja6!W27="*","Canceló",Hoja6!V27)</f>
        <v>Canceló</v>
      </c>
      <c r="J70" s="180" t="str">
        <f>IF(Hoja6!AA27="*","Canceló",Hoja6!Z27)</f>
        <v>Canceló</v>
      </c>
      <c r="K70" s="180" t="str">
        <f>IF(Hoja6!AE27="*","Canceló",Hoja6!AD27)</f>
        <v>Canceló</v>
      </c>
      <c r="L70" s="180" t="str">
        <f>IF(Hoja6!AI27="*","Canceló",Hoja6!AH27)</f>
        <v>Canceló</v>
      </c>
      <c r="M70" s="180" t="str">
        <f>IF(Hoja6!AM27="*","Canceló",Hoja6!AL27)</f>
        <v>Canceló</v>
      </c>
      <c r="N70" s="180" t="str">
        <f>IF(Hoja6!AQ27="*","Canceló",Hoja6!AP27)</f>
        <v>Canceló</v>
      </c>
      <c r="O70" s="180" t="str">
        <f>IF(Hoja6!AU27="*","Canceló",Hoja6!AT27)</f>
        <v>Canceló</v>
      </c>
      <c r="P70" s="180" t="str">
        <f>IF(Hoja6!AY27="*","Canceló",Hoja6!AX27)</f>
        <v>Canceló</v>
      </c>
      <c r="Q70" s="180" t="str">
        <f>IF(Hoja6!BC27="*","Canceló",Hoja6!BB27)</f>
        <v>Canceló</v>
      </c>
      <c r="R70" s="180" t="str">
        <f>IF(Hoja6!BG27="*","Canceló",Hoja6!BF27)</f>
        <v>Canceló</v>
      </c>
      <c r="S70" s="180" t="str">
        <f>IF(Hoja6!BK27="*","Canceló",Hoja6!BJ27)</f>
        <v>Canceló</v>
      </c>
      <c r="T70" s="180" t="str">
        <f>IF(Hoja6!BO27="*","Canceló",Hoja6!BN27)</f>
        <v>Canceló</v>
      </c>
      <c r="U70" s="180" t="str">
        <f>IF(Hoja6!BS27="*","Canceló",Hoja6!BR27)</f>
        <v>Canceló</v>
      </c>
      <c r="V70" s="180" t="str">
        <f>IF(Hoja6!BW27="*","Canceló",Hoja6!BV27)</f>
        <v>Canceló</v>
      </c>
      <c r="W70" s="180" t="str">
        <f>IF(Hoja6!CA27="*","Canceló",Hoja6!BZ27)</f>
        <v>Canceló</v>
      </c>
      <c r="X70" s="180" t="str">
        <f>IF(Hoja6!CE27="*","Canceló",Hoja6!CD27)</f>
        <v>Canceló</v>
      </c>
      <c r="Y70" s="180" t="str">
        <f>IF(Hoja6!CI27="*","Canceló",Hoja6!CH27)</f>
        <v>Canceló</v>
      </c>
      <c r="Z70" s="180" t="str">
        <f>IF(Hoja6!CM27="*","Canceló",Hoja6!CL27)</f>
        <v>Canceló</v>
      </c>
      <c r="AA70" s="180" t="str">
        <f>IF(Hoja6!CQ27="*","Canceló",Hoja6!CP27)</f>
        <v>Canceló</v>
      </c>
      <c r="AB70" s="180" t="str">
        <f>IF(Hoja6!CU27="*","Canceló",Hoja6!CT27)</f>
        <v>Canceló</v>
      </c>
      <c r="AC70" s="180" t="str">
        <f>IF(Hoja6!CY27="*","Canceló",Hoja6!CX27)</f>
        <v>Canceló</v>
      </c>
      <c r="AD70" s="180" t="str">
        <f>IF(Hoja6!DC27="*","Canceló",Hoja6!DB27)</f>
        <v>Canceló</v>
      </c>
      <c r="AE70" s="180" t="str">
        <f>IF(Hoja6!DG27="*","Canceló",Hoja6!DF27)</f>
        <v>Canceló</v>
      </c>
      <c r="AF70" s="180" t="str">
        <f>IF(Hoja6!DK27="*","Canceló",Hoja6!DJ27)</f>
        <v>Canceló</v>
      </c>
      <c r="AG70" s="180" t="str">
        <f>IF(Hoja6!DO27="*","Canceló",Hoja6!DN27)</f>
        <v>Canceló</v>
      </c>
      <c r="AH70" s="180" t="str">
        <f>IF(Hoja6!DS27="*","Canceló",Hoja6!DR27)</f>
        <v>Canceló</v>
      </c>
      <c r="AI70" s="180" t="str">
        <f>IF(Hoja6!DW27="*","Canceló",Hoja6!DV27)</f>
        <v>Canceló</v>
      </c>
      <c r="AJ70" s="180" t="str">
        <f>IF(Hoja6!EA27="*","Canceló",Hoja6!DZ27)</f>
        <v>Canceló</v>
      </c>
      <c r="AK70" s="180" t="str">
        <f>IF(Hoja6!EE27="*","Canceló",Hoja6!ED27)</f>
        <v>Canceló</v>
      </c>
      <c r="AL70" s="180" t="str">
        <f>IF(Hoja6!EI27="*","Canceló",Hoja6!EH27)</f>
        <v>Canceló</v>
      </c>
      <c r="AM70" s="180" t="str">
        <f>IF(Hoja6!EM27="*","Canceló",Hoja6!EL27)</f>
        <v>Canceló</v>
      </c>
      <c r="AN70" s="180" t="str">
        <f>IF(Hoja6!EQ27="*","Canceló",Hoja6!EP27)</f>
        <v>Canceló</v>
      </c>
      <c r="AO70" s="180" t="str">
        <f>IF(Hoja6!EU27="*","Canceló",Hoja6!ET27)</f>
        <v>Canceló</v>
      </c>
      <c r="AP70" s="180" t="str">
        <f>IF(Hoja6!EY27="*","Canceló",Hoja6!EX27)</f>
        <v>Canceló</v>
      </c>
      <c r="AQ70" s="180" t="str">
        <f>IF(Hoja6!FC27="*","Canceló",Hoja6!FB27)</f>
        <v>Canceló</v>
      </c>
      <c r="AR70" s="180" t="str">
        <f>IF(Hoja6!FG27="*","Canceló",Hoja6!FF27)</f>
        <v>Canceló</v>
      </c>
      <c r="AS70" s="180" t="str">
        <f>IF(Hoja6!FK27="*","Canceló",Hoja6!FJ27)</f>
        <v>Canceló</v>
      </c>
      <c r="AT70" s="180">
        <f>IF(Hoja6!FO27="*","Canceló",Hoja6!FN27)</f>
        <v>31.520628571428574</v>
      </c>
    </row>
    <row r="71" spans="1:46">
      <c r="A71" s="51">
        <f t="shared" si="0"/>
        <v>103.38885714285713</v>
      </c>
      <c r="B71" s="14">
        <f>Hoja6!HL28</f>
        <v>0.64116035714285713</v>
      </c>
      <c r="C71" s="177" t="s">
        <v>66</v>
      </c>
      <c r="D71" s="180" t="str">
        <f>IF(Hoja6!C28="*","Canceló",Hoja6!D28)</f>
        <v>Canceló</v>
      </c>
      <c r="E71" s="180" t="str">
        <f>IF(Hoja6!G28="*","Canceló",Hoja6!H28)</f>
        <v>Canceló</v>
      </c>
      <c r="F71" s="180" t="str">
        <f>IF(Hoja6!K28="*","Canceló",Hoja6!L28)</f>
        <v>Canceló</v>
      </c>
      <c r="G71" s="180" t="str">
        <f>IF(Hoja6!O28="*","Canceló",Hoja6!P28)</f>
        <v>Canceló</v>
      </c>
      <c r="H71" s="180" t="str">
        <f>IF(Hoja6!S28="*","Canceló",Hoja6!T28)</f>
        <v>Canceló</v>
      </c>
      <c r="I71" s="180" t="str">
        <f>IF(Hoja6!W28="*","Canceló",Hoja6!V28)</f>
        <v>Canceló</v>
      </c>
      <c r="J71" s="180" t="str">
        <f>IF(Hoja6!AA28="*","Canceló",Hoja6!Z28)</f>
        <v>Canceló</v>
      </c>
      <c r="K71" s="180" t="str">
        <f>IF(Hoja6!AE28="*","Canceló",Hoja6!AD28)</f>
        <v>Canceló</v>
      </c>
      <c r="L71" s="180" t="str">
        <f>IF(Hoja6!AI28="*","Canceló",Hoja6!AH28)</f>
        <v>Canceló</v>
      </c>
      <c r="M71" s="180" t="str">
        <f>IF(Hoja6!AM28="*","Canceló",Hoja6!AL28)</f>
        <v>Canceló</v>
      </c>
      <c r="N71" s="180" t="str">
        <f>IF(Hoja6!AQ28="*","Canceló",Hoja6!AP28)</f>
        <v>Canceló</v>
      </c>
      <c r="O71" s="180" t="str">
        <f>IF(Hoja6!AU28="*","Canceló",Hoja6!AT28)</f>
        <v>Canceló</v>
      </c>
      <c r="P71" s="180" t="str">
        <f>IF(Hoja6!AY28="*","Canceló",Hoja6!AX28)</f>
        <v>Canceló</v>
      </c>
      <c r="Q71" s="180" t="str">
        <f>IF(Hoja6!BC28="*","Canceló",Hoja6!BB28)</f>
        <v>Canceló</v>
      </c>
      <c r="R71" s="180" t="str">
        <f>IF(Hoja6!BG28="*","Canceló",Hoja6!BF28)</f>
        <v>Canceló</v>
      </c>
      <c r="S71" s="180" t="str">
        <f>IF(Hoja6!BK28="*","Canceló",Hoja6!BJ28)</f>
        <v>Canceló</v>
      </c>
      <c r="T71" s="180" t="str">
        <f>IF(Hoja6!BO28="*","Canceló",Hoja6!BN28)</f>
        <v>Canceló</v>
      </c>
      <c r="U71" s="180" t="str">
        <f>IF(Hoja6!BS28="*","Canceló",Hoja6!BR28)</f>
        <v>Canceló</v>
      </c>
      <c r="V71" s="180" t="str">
        <f>IF(Hoja6!BW28="*","Canceló",Hoja6!BV28)</f>
        <v>Canceló</v>
      </c>
      <c r="W71" s="180" t="str">
        <f>IF(Hoja6!CA28="*","Canceló",Hoja6!BZ28)</f>
        <v>Canceló</v>
      </c>
      <c r="X71" s="180" t="str">
        <f>IF(Hoja6!CE28="*","Canceló",Hoja6!CD28)</f>
        <v>Canceló</v>
      </c>
      <c r="Y71" s="180" t="str">
        <f>IF(Hoja6!CI28="*","Canceló",Hoja6!CH28)</f>
        <v>Canceló</v>
      </c>
      <c r="Z71" s="180" t="str">
        <f>IF(Hoja6!CM28="*","Canceló",Hoja6!CL28)</f>
        <v>Canceló</v>
      </c>
      <c r="AA71" s="180" t="str">
        <f>IF(Hoja6!CQ28="*","Canceló",Hoja6!CP28)</f>
        <v>Canceló</v>
      </c>
      <c r="AB71" s="180" t="str">
        <f>IF(Hoja6!CU28="*","Canceló",Hoja6!CT28)</f>
        <v>Canceló</v>
      </c>
      <c r="AC71" s="180" t="str">
        <f>IF(Hoja6!CY28="*","Canceló",Hoja6!CX28)</f>
        <v>Canceló</v>
      </c>
      <c r="AD71" s="180" t="str">
        <f>IF(Hoja6!DC28="*","Canceló",Hoja6!DB28)</f>
        <v>Canceló</v>
      </c>
      <c r="AE71" s="180" t="str">
        <f>IF(Hoja6!DG28="*","Canceló",Hoja6!DF28)</f>
        <v>Canceló</v>
      </c>
      <c r="AF71" s="180" t="str">
        <f>IF(Hoja6!DK28="*","Canceló",Hoja6!DJ28)</f>
        <v>Canceló</v>
      </c>
      <c r="AG71" s="180" t="str">
        <f>IF(Hoja6!DO28="*","Canceló",Hoja6!DN28)</f>
        <v>Canceló</v>
      </c>
      <c r="AH71" s="180" t="str">
        <f>IF(Hoja6!DS28="*","Canceló",Hoja6!DR28)</f>
        <v>Canceló</v>
      </c>
      <c r="AI71" s="180" t="str">
        <f>IF(Hoja6!DW28="*","Canceló",Hoja6!DV28)</f>
        <v>Canceló</v>
      </c>
      <c r="AJ71" s="180" t="str">
        <f>IF(Hoja6!EA28="*","Canceló",Hoja6!DZ28)</f>
        <v>Canceló</v>
      </c>
      <c r="AK71" s="180" t="str">
        <f>IF(Hoja6!EE28="*","Canceló",Hoja6!ED28)</f>
        <v>Canceló</v>
      </c>
      <c r="AL71" s="180" t="str">
        <f>IF(Hoja6!EI28="*","Canceló",Hoja6!EH28)</f>
        <v>Canceló</v>
      </c>
      <c r="AM71" s="180" t="str">
        <f>IF(Hoja6!EM28="*","Canceló",Hoja6!EL28)</f>
        <v>Canceló</v>
      </c>
      <c r="AN71" s="180" t="str">
        <f>IF(Hoja6!EQ28="*","Canceló",Hoja6!EP28)</f>
        <v>Canceló</v>
      </c>
      <c r="AO71" s="180" t="str">
        <f>IF(Hoja6!EU28="*","Canceló",Hoja6!ET28)</f>
        <v>Canceló</v>
      </c>
      <c r="AP71" s="180">
        <f>IF(Hoja6!EY28="*","Canceló",Hoja6!EX28)</f>
        <v>23.445714285714288</v>
      </c>
      <c r="AQ71" s="180">
        <f>IF(Hoja6!FC28="*","Canceló",Hoja6!FB28)</f>
        <v>27.465714285714284</v>
      </c>
      <c r="AR71" s="180">
        <f>IF(Hoja6!FG28="*","Canceló",Hoja6!FF28)</f>
        <v>27.806714285714285</v>
      </c>
      <c r="AS71" s="180">
        <f>IF(Hoja6!FK28="*","Canceló",Hoja6!FJ28)</f>
        <v>24.670714285714286</v>
      </c>
      <c r="AT71" s="180">
        <f>IF(Hoja6!FO28="*","Canceló",Hoja6!FN28)</f>
        <v>22.053178571428571</v>
      </c>
    </row>
    <row r="72" spans="1:46">
      <c r="A72" s="51">
        <f t="shared" si="0"/>
        <v>67.722228571428559</v>
      </c>
      <c r="B72" s="14">
        <f>Hoja6!HL29</f>
        <v>0.2594143571428571</v>
      </c>
      <c r="C72" s="177" t="s">
        <v>68</v>
      </c>
      <c r="D72" s="180" t="str">
        <f>IF(Hoja6!C29="*","Canceló",Hoja6!D29)</f>
        <v>Canceló</v>
      </c>
      <c r="E72" s="180" t="str">
        <f>IF(Hoja6!G29="*","Canceló",Hoja6!H29)</f>
        <v>Canceló</v>
      </c>
      <c r="F72" s="180" t="str">
        <f>IF(Hoja6!K29="*","Canceló",Hoja6!L29)</f>
        <v>Canceló</v>
      </c>
      <c r="G72" s="180" t="str">
        <f>IF(Hoja6!O29="*","Canceló",Hoja6!P29)</f>
        <v>Canceló</v>
      </c>
      <c r="H72" s="180" t="str">
        <f>IF(Hoja6!S29="*","Canceló",Hoja6!T29)</f>
        <v>Canceló</v>
      </c>
      <c r="I72" s="180" t="str">
        <f>IF(Hoja6!W29="*","Canceló",Hoja6!V29)</f>
        <v>Canceló</v>
      </c>
      <c r="J72" s="180" t="str">
        <f>IF(Hoja6!AA29="*","Canceló",Hoja6!Z29)</f>
        <v>Canceló</v>
      </c>
      <c r="K72" s="180" t="str">
        <f>IF(Hoja6!AE29="*","Canceló",Hoja6!AD29)</f>
        <v>Canceló</v>
      </c>
      <c r="L72" s="180" t="str">
        <f>IF(Hoja6!AI29="*","Canceló",Hoja6!AH29)</f>
        <v>Canceló</v>
      </c>
      <c r="M72" s="180" t="str">
        <f>IF(Hoja6!AM29="*","Canceló",Hoja6!AL29)</f>
        <v>Canceló</v>
      </c>
      <c r="N72" s="180" t="str">
        <f>IF(Hoja6!AQ29="*","Canceló",Hoja6!AP29)</f>
        <v>Canceló</v>
      </c>
      <c r="O72" s="180" t="str">
        <f>IF(Hoja6!AU29="*","Canceló",Hoja6!AT29)</f>
        <v>Canceló</v>
      </c>
      <c r="P72" s="180" t="str">
        <f>IF(Hoja6!AY29="*","Canceló",Hoja6!AX29)</f>
        <v>Canceló</v>
      </c>
      <c r="Q72" s="180" t="str">
        <f>IF(Hoja6!BC29="*","Canceló",Hoja6!BB29)</f>
        <v>Canceló</v>
      </c>
      <c r="R72" s="180" t="str">
        <f>IF(Hoja6!BG29="*","Canceló",Hoja6!BF29)</f>
        <v>Canceló</v>
      </c>
      <c r="S72" s="180" t="str">
        <f>IF(Hoja6!BK29="*","Canceló",Hoja6!BJ29)</f>
        <v>Canceló</v>
      </c>
      <c r="T72" s="180" t="str">
        <f>IF(Hoja6!BO29="*","Canceló",Hoja6!BN29)</f>
        <v>Canceló</v>
      </c>
      <c r="U72" s="180" t="str">
        <f>IF(Hoja6!BS29="*","Canceló",Hoja6!BR29)</f>
        <v>Canceló</v>
      </c>
      <c r="V72" s="180" t="str">
        <f>IF(Hoja6!BW29="*","Canceló",Hoja6!BV29)</f>
        <v>Canceló</v>
      </c>
      <c r="W72" s="180" t="str">
        <f>IF(Hoja6!CA29="*","Canceló",Hoja6!BZ29)</f>
        <v>Canceló</v>
      </c>
      <c r="X72" s="180" t="str">
        <f>IF(Hoja6!CE29="*","Canceló",Hoja6!CD29)</f>
        <v>Canceló</v>
      </c>
      <c r="Y72" s="180" t="str">
        <f>IF(Hoja6!CI29="*","Canceló",Hoja6!CH29)</f>
        <v>Canceló</v>
      </c>
      <c r="Z72" s="180" t="str">
        <f>IF(Hoja6!CM29="*","Canceló",Hoja6!CL29)</f>
        <v>Canceló</v>
      </c>
      <c r="AA72" s="180" t="str">
        <f>IF(Hoja6!CQ29="*","Canceló",Hoja6!CP29)</f>
        <v>Canceló</v>
      </c>
      <c r="AB72" s="180" t="str">
        <f>IF(Hoja6!CU29="*","Canceló",Hoja6!CT29)</f>
        <v>Canceló</v>
      </c>
      <c r="AC72" s="180" t="str">
        <f>IF(Hoja6!CY29="*","Canceló",Hoja6!CX29)</f>
        <v>Canceló</v>
      </c>
      <c r="AD72" s="180" t="str">
        <f>IF(Hoja6!DC29="*","Canceló",Hoja6!DB29)</f>
        <v>Canceló</v>
      </c>
      <c r="AE72" s="180" t="str">
        <f>IF(Hoja6!DG29="*","Canceló",Hoja6!DF29)</f>
        <v>Canceló</v>
      </c>
      <c r="AF72" s="180" t="str">
        <f>IF(Hoja6!DK29="*","Canceló",Hoja6!DJ29)</f>
        <v>Canceló</v>
      </c>
      <c r="AG72" s="180" t="str">
        <f>IF(Hoja6!DO29="*","Canceló",Hoja6!DN29)</f>
        <v>Canceló</v>
      </c>
      <c r="AH72" s="180" t="str">
        <f>IF(Hoja6!DS29="*","Canceló",Hoja6!DR29)</f>
        <v>Canceló</v>
      </c>
      <c r="AI72" s="180" t="str">
        <f>IF(Hoja6!DW29="*","Canceló",Hoja6!DV29)</f>
        <v>Canceló</v>
      </c>
      <c r="AJ72" s="180" t="str">
        <f>IF(Hoja6!EA29="*","Canceló",Hoja6!DZ29)</f>
        <v>Canceló</v>
      </c>
      <c r="AK72" s="180" t="str">
        <f>IF(Hoja6!EE29="*","Canceló",Hoja6!ED29)</f>
        <v>Canceló</v>
      </c>
      <c r="AL72" s="180" t="str">
        <f>IF(Hoja6!EI29="*","Canceló",Hoja6!EH29)</f>
        <v>Canceló</v>
      </c>
      <c r="AM72" s="180" t="str">
        <f>IF(Hoja6!EM29="*","Canceló",Hoja6!EL29)</f>
        <v>Canceló</v>
      </c>
      <c r="AN72" s="180" t="str">
        <f>IF(Hoja6!EQ29="*","Canceló",Hoja6!EP29)</f>
        <v>Canceló</v>
      </c>
      <c r="AO72" s="180" t="str">
        <f>IF(Hoja6!EU29="*","Canceló",Hoja6!ET29)</f>
        <v>Canceló</v>
      </c>
      <c r="AP72" s="180" t="str">
        <f>IF(Hoja6!EY29="*","Canceló",Hoja6!EX29)</f>
        <v>Canceló</v>
      </c>
      <c r="AQ72" s="180" t="str">
        <f>IF(Hoja6!FC29="*","Canceló",Hoja6!FB29)</f>
        <v>Canceló</v>
      </c>
      <c r="AR72" s="180">
        <f>IF(Hoja6!FG29="*","Canceló",Hoja6!FF29)</f>
        <v>36.043514285714281</v>
      </c>
      <c r="AS72" s="180">
        <f>IF(Hoja6!FK29="*","Canceló",Hoja6!FJ29)</f>
        <v>31.678714285714285</v>
      </c>
      <c r="AT72" s="180">
        <f>IF(Hoja6!FO29="*","Canceló",Hoja6!FN29)</f>
        <v>27.923578571428568</v>
      </c>
    </row>
    <row r="73" spans="1:46">
      <c r="A73" s="51">
        <f t="shared" si="0"/>
        <v>3134.6507428571454</v>
      </c>
      <c r="B73" s="14">
        <f>Hoja6!HL30</f>
        <v>123.01368350000014</v>
      </c>
      <c r="C73" s="177" t="s">
        <v>69</v>
      </c>
      <c r="D73" s="180" t="str">
        <f>IF(Hoja6!C30="*","Canceló",Hoja6!D30)</f>
        <v>Canceló</v>
      </c>
      <c r="E73" s="180" t="str">
        <f>IF(Hoja6!G30="*","Canceló",Hoja6!H30)</f>
        <v>Canceló</v>
      </c>
      <c r="F73" s="180" t="str">
        <f>IF(Hoja6!K30="*","Canceló",Hoja6!L30)</f>
        <v>Canceló</v>
      </c>
      <c r="G73" s="180" t="str">
        <f>IF(Hoja6!O30="*","Canceló",Hoja6!P30)</f>
        <v>Canceló</v>
      </c>
      <c r="H73" s="180" t="str">
        <f>IF(Hoja6!S30="*","Canceló",Hoja6!T30)</f>
        <v>Canceló</v>
      </c>
      <c r="I73" s="180" t="str">
        <f>IF(Hoja6!W30="*","Canceló",Hoja6!V30)</f>
        <v>Canceló</v>
      </c>
      <c r="J73" s="180" t="str">
        <f>IF(Hoja6!AA30="*","Canceló",Hoja6!Z30)</f>
        <v>Canceló</v>
      </c>
      <c r="K73" s="180" t="str">
        <f>IF(Hoja6!AE30="*","Canceló",Hoja6!AD30)</f>
        <v>Canceló</v>
      </c>
      <c r="L73" s="180" t="str">
        <f>IF(Hoja6!AI30="*","Canceló",Hoja6!AH30)</f>
        <v>Canceló</v>
      </c>
      <c r="M73" s="180" t="str">
        <f>IF(Hoja6!AM30="*","Canceló",Hoja6!AL30)</f>
        <v>Canceló</v>
      </c>
      <c r="N73" s="180">
        <f>IF(Hoja6!AQ30="*","Canceló",Hoja6!AP30)</f>
        <v>44.237942857142855</v>
      </c>
      <c r="O73" s="180">
        <f>IF(Hoja6!AU30="*","Canceló",Hoja6!AT30)</f>
        <v>130.29242857143001</v>
      </c>
      <c r="P73" s="180">
        <f>IF(Hoja6!AY30="*","Canceló",Hoja6!AX30)</f>
        <v>122.13</v>
      </c>
      <c r="Q73" s="180">
        <f>IF(Hoja6!BC30="*","Canceló",Hoja6!BB30)</f>
        <v>82.028242857142857</v>
      </c>
      <c r="R73" s="180">
        <f>IF(Hoja6!BG30="*","Canceló",Hoja6!BF30)</f>
        <v>74.020042857142855</v>
      </c>
      <c r="S73" s="180">
        <f>IF(Hoja6!BK30="*","Canceló",Hoja6!BJ30)</f>
        <v>75.947942857142877</v>
      </c>
      <c r="T73" s="180">
        <f>IF(Hoja6!BO30="*","Canceló",Hoja6!BN30)</f>
        <v>79.689442857142865</v>
      </c>
      <c r="U73" s="180">
        <f>IF(Hoja6!BS30="*","Canceló",Hoja6!BR30)</f>
        <v>100.41744285714287</v>
      </c>
      <c r="V73" s="180">
        <f>IF(Hoja6!BW30="*","Canceló",Hoja6!BV30)</f>
        <v>83.362942857142869</v>
      </c>
      <c r="W73" s="180">
        <f>IF(Hoja6!CA30="*","Canceló",Hoja6!BZ30)</f>
        <v>81.138442857142863</v>
      </c>
      <c r="X73" s="180">
        <f>IF(Hoja6!CE30="*","Canceló",Hoja6!CD30)</f>
        <v>73.723442857142857</v>
      </c>
      <c r="Y73" s="180">
        <f>IF(Hoja6!CI30="*","Canceló",Hoja6!CH30)</f>
        <v>93.595642857142863</v>
      </c>
      <c r="Z73" s="180">
        <f>IF(Hoja6!CM30="*","Canceló",Hoja6!CL30)</f>
        <v>120.53174285714287</v>
      </c>
      <c r="AA73" s="180">
        <f>IF(Hoja6!CQ30="*","Canceló",Hoja6!CP30)</f>
        <v>108.87054285714287</v>
      </c>
      <c r="AB73" s="180">
        <f>IF(Hoja6!CU30="*","Canceló",Hoja6!CT30)</f>
        <v>98.862342857142863</v>
      </c>
      <c r="AC73" s="180">
        <f>IF(Hoja6!CY30="*","Canceló",Hoja6!CX30)</f>
        <v>91.222842857142851</v>
      </c>
      <c r="AD73" s="180">
        <f>IF(Hoja6!DC30="*","Canceló",Hoja6!DB30)</f>
        <v>82.324842857142855</v>
      </c>
      <c r="AE73" s="180">
        <f>IF(Hoja6!DG30="*","Canceló",Hoja6!DF30)</f>
        <v>96.413342857142865</v>
      </c>
      <c r="AF73" s="180">
        <f>IF(Hoja6!DK30="*","Canceló",Hoja6!DJ30)</f>
        <v>123.84884285714286</v>
      </c>
      <c r="AG73" s="180">
        <f>IF(Hoja6!DO30="*","Canceló",Hoja6!DN30)</f>
        <v>94.188842857142859</v>
      </c>
      <c r="AH73" s="180">
        <f>IF(Hoja6!DS30="*","Canceló",Hoja6!DR30)</f>
        <v>94.188842857142873</v>
      </c>
      <c r="AI73" s="180">
        <f>IF(Hoja6!DW30="*","Canceló",Hoja6!DV30)</f>
        <v>91.222842857142851</v>
      </c>
      <c r="AJ73" s="180">
        <f>IF(Hoja6!EA30="*","Canceló",Hoja6!DZ30)</f>
        <v>97.354142857142861</v>
      </c>
      <c r="AK73" s="180">
        <f>IF(Hoja6!EE30="*","Canceló",Hoja6!ED30)</f>
        <v>119.54814285714286</v>
      </c>
      <c r="AL73" s="180">
        <f>IF(Hoja6!EI30="*","Canceló",Hoja6!EH30)</f>
        <v>86.180642857142857</v>
      </c>
      <c r="AM73" s="180">
        <f>IF(Hoja6!EM30="*","Canceló",Hoja6!EL30)</f>
        <v>116.58214285714286</v>
      </c>
      <c r="AN73" s="180">
        <f>IF(Hoja6!EQ30="*","Canceló",Hoja6!EP30)</f>
        <v>100.95621428571428</v>
      </c>
      <c r="AO73" s="180">
        <f>IF(Hoja6!EU30="*","Canceló",Hoja6!ET30)</f>
        <v>108.37121428571429</v>
      </c>
      <c r="AP73" s="180">
        <f>IF(Hoja6!EY30="*","Canceló",Hoja6!EX30)</f>
        <v>107.62971428571429</v>
      </c>
      <c r="AQ73" s="180">
        <f>IF(Hoja6!FC30="*","Canceló",Hoja6!FB30)</f>
        <v>106.69771428571428</v>
      </c>
      <c r="AR73" s="180">
        <f>IF(Hoja6!FG30="*","Canceló",Hoja6!FF30)</f>
        <v>134.02711428571428</v>
      </c>
      <c r="AS73" s="180">
        <f>IF(Hoja6!FK30="*","Canceló",Hoja6!FJ30)</f>
        <v>115.04471428571428</v>
      </c>
      <c r="AT73" s="180">
        <f>IF(Hoja6!FO30="*","Canceló",Hoja6!FN30)</f>
        <v>97.756878571428572</v>
      </c>
    </row>
    <row r="74" spans="1:46">
      <c r="A74" s="51">
        <f t="shared" si="0"/>
        <v>0</v>
      </c>
      <c r="B74" s="14">
        <f>Hoja6!HL31</f>
        <v>0</v>
      </c>
      <c r="C74" s="177" t="s">
        <v>70</v>
      </c>
      <c r="D74" s="180" t="str">
        <f>IF(Hoja6!C31="*","Canceló",Hoja6!D31)</f>
        <v>Canceló</v>
      </c>
      <c r="E74" s="180" t="str">
        <f>IF(Hoja6!G31="*","Canceló",Hoja6!H31)</f>
        <v>Canceló</v>
      </c>
      <c r="F74" s="180" t="str">
        <f>IF(Hoja6!K31="*","Canceló",Hoja6!L31)</f>
        <v>Canceló</v>
      </c>
      <c r="G74" s="180" t="str">
        <f>IF(Hoja6!O31="*","Canceló",Hoja6!P31)</f>
        <v>Canceló</v>
      </c>
      <c r="H74" s="180" t="str">
        <f>IF(Hoja6!S31="*","Canceló",Hoja6!T31)</f>
        <v>Canceló</v>
      </c>
      <c r="I74" s="180" t="str">
        <f>IF(Hoja6!W31="*","Canceló",Hoja6!V31)</f>
        <v>Canceló</v>
      </c>
      <c r="J74" s="180" t="str">
        <f>IF(Hoja6!AA31="*","Canceló",Hoja6!Z31)</f>
        <v>Canceló</v>
      </c>
      <c r="K74" s="180" t="str">
        <f>IF(Hoja6!AE31="*","Canceló",Hoja6!AD31)</f>
        <v>Canceló</v>
      </c>
      <c r="L74" s="180" t="str">
        <f>IF(Hoja6!AI31="*","Canceló",Hoja6!AH31)</f>
        <v>Canceló</v>
      </c>
      <c r="M74" s="180" t="str">
        <f>IF(Hoja6!AM31="*","Canceló",Hoja6!AL31)</f>
        <v>Canceló</v>
      </c>
      <c r="N74" s="180" t="str">
        <f>IF(Hoja6!AQ31="*","Canceló",Hoja6!AP31)</f>
        <v>Canceló</v>
      </c>
      <c r="O74" s="180" t="str">
        <f>IF(Hoja6!AU31="*","Canceló",Hoja6!AT31)</f>
        <v>Canceló</v>
      </c>
      <c r="P74" s="180" t="str">
        <f>IF(Hoja6!AY31="*","Canceló",Hoja6!AX31)</f>
        <v>Canceló</v>
      </c>
      <c r="Q74" s="180" t="str">
        <f>IF(Hoja6!BC31="*","Canceló",Hoja6!BB31)</f>
        <v>Canceló</v>
      </c>
      <c r="R74" s="180" t="str">
        <f>IF(Hoja6!BG31="*","Canceló",Hoja6!BF31)</f>
        <v>Canceló</v>
      </c>
      <c r="S74" s="180" t="str">
        <f>IF(Hoja6!BK31="*","Canceló",Hoja6!BJ31)</f>
        <v>Canceló</v>
      </c>
      <c r="T74" s="180" t="str">
        <f>IF(Hoja6!BO31="*","Canceló",Hoja6!BN31)</f>
        <v>Canceló</v>
      </c>
      <c r="U74" s="180" t="str">
        <f>IF(Hoja6!BS31="*","Canceló",Hoja6!BR31)</f>
        <v>Canceló</v>
      </c>
      <c r="V74" s="180" t="str">
        <f>IF(Hoja6!BW31="*","Canceló",Hoja6!BV31)</f>
        <v>Canceló</v>
      </c>
      <c r="W74" s="180" t="str">
        <f>IF(Hoja6!CA31="*","Canceló",Hoja6!BZ31)</f>
        <v>Canceló</v>
      </c>
      <c r="X74" s="180" t="str">
        <f>IF(Hoja6!CE31="*","Canceló",Hoja6!CD31)</f>
        <v>Canceló</v>
      </c>
      <c r="Y74" s="180" t="str">
        <f>IF(Hoja6!CI31="*","Canceló",Hoja6!CH31)</f>
        <v>Canceló</v>
      </c>
      <c r="Z74" s="180" t="str">
        <f>IF(Hoja6!CM31="*","Canceló",Hoja6!CL31)</f>
        <v>Canceló</v>
      </c>
      <c r="AA74" s="180" t="str">
        <f>IF(Hoja6!CQ31="*","Canceló",Hoja6!CP31)</f>
        <v>Canceló</v>
      </c>
      <c r="AB74" s="180" t="str">
        <f>IF(Hoja6!CU31="*","Canceló",Hoja6!CT31)</f>
        <v>Canceló</v>
      </c>
      <c r="AC74" s="180" t="str">
        <f>IF(Hoja6!CY31="*","Canceló",Hoja6!CX31)</f>
        <v>Canceló</v>
      </c>
      <c r="AD74" s="180" t="str">
        <f>IF(Hoja6!DC31="*","Canceló",Hoja6!DB31)</f>
        <v>Canceló</v>
      </c>
      <c r="AE74" s="180" t="str">
        <f>IF(Hoja6!DG31="*","Canceló",Hoja6!DF31)</f>
        <v>Canceló</v>
      </c>
      <c r="AF74" s="180" t="str">
        <f>IF(Hoja6!DK31="*","Canceló",Hoja6!DJ31)</f>
        <v>Canceló</v>
      </c>
      <c r="AG74" s="180" t="str">
        <f>IF(Hoja6!DO31="*","Canceló",Hoja6!DN31)</f>
        <v>Canceló</v>
      </c>
      <c r="AH74" s="180" t="str">
        <f>IF(Hoja6!DS31="*","Canceló",Hoja6!DR31)</f>
        <v>Canceló</v>
      </c>
      <c r="AI74" s="180" t="str">
        <f>IF(Hoja6!DW31="*","Canceló",Hoja6!DV31)</f>
        <v>Canceló</v>
      </c>
      <c r="AJ74" s="180" t="str">
        <f>IF(Hoja6!EA31="*","Canceló",Hoja6!DZ31)</f>
        <v>Canceló</v>
      </c>
      <c r="AK74" s="180" t="str">
        <f>IF(Hoja6!EE31="*","Canceló",Hoja6!ED31)</f>
        <v>Canceló</v>
      </c>
      <c r="AL74" s="180" t="str">
        <f>IF(Hoja6!EI31="*","Canceló",Hoja6!EH31)</f>
        <v>Canceló</v>
      </c>
      <c r="AM74" s="180" t="str">
        <f>IF(Hoja6!EM31="*","Canceló",Hoja6!EL31)</f>
        <v>Canceló</v>
      </c>
      <c r="AN74" s="180" t="str">
        <f>IF(Hoja6!EQ31="*","Canceló",Hoja6!EP31)</f>
        <v>Canceló</v>
      </c>
      <c r="AO74" s="180" t="str">
        <f>IF(Hoja6!EU31="*","Canceló",Hoja6!ET31)</f>
        <v>Canceló</v>
      </c>
      <c r="AP74" s="180" t="str">
        <f>IF(Hoja6!EY31="*","Canceló",Hoja6!EX31)</f>
        <v>Canceló</v>
      </c>
      <c r="AQ74" s="180" t="str">
        <f>IF(Hoja6!FC31="*","Canceló",Hoja6!FB31)</f>
        <v>Canceló</v>
      </c>
      <c r="AR74" s="180" t="str">
        <f>IF(Hoja6!FG31="*","Canceló",Hoja6!FF31)</f>
        <v>Canceló</v>
      </c>
      <c r="AS74" s="180" t="str">
        <f>IF(Hoja6!FK31="*","Canceló",Hoja6!FJ31)</f>
        <v>Canceló</v>
      </c>
      <c r="AT74" s="180">
        <f>IF(Hoja6!FO31="*","Canceló",Hoja6!FN31)</f>
        <v>36.779528571428571</v>
      </c>
    </row>
    <row r="75" spans="1:46">
      <c r="A75" s="51">
        <f t="shared" si="0"/>
        <v>0</v>
      </c>
      <c r="B75" s="14">
        <f>Hoja6!HL32</f>
        <v>0</v>
      </c>
      <c r="C75" s="177" t="s">
        <v>51</v>
      </c>
      <c r="D75" s="180" t="str">
        <f>IF(Hoja6!C32="*","Canceló",Hoja6!D32)</f>
        <v>Canceló</v>
      </c>
      <c r="E75" s="180" t="str">
        <f>IF(Hoja6!G32="*","Canceló",Hoja6!H32)</f>
        <v>Canceló</v>
      </c>
      <c r="F75" s="180" t="str">
        <f>IF(Hoja6!K32="*","Canceló",Hoja6!L32)</f>
        <v>Canceló</v>
      </c>
      <c r="G75" s="180" t="str">
        <f>IF(Hoja6!O32="*","Canceló",Hoja6!P32)</f>
        <v>Canceló</v>
      </c>
      <c r="H75" s="180" t="str">
        <f>IF(Hoja6!S32="*","Canceló",Hoja6!T32)</f>
        <v>Canceló</v>
      </c>
      <c r="I75" s="180" t="str">
        <f>IF(Hoja6!W32="*","Canceló",Hoja6!V32)</f>
        <v>Canceló</v>
      </c>
      <c r="J75" s="180" t="str">
        <f>IF(Hoja6!AA32="*","Canceló",Hoja6!Z32)</f>
        <v>Canceló</v>
      </c>
      <c r="K75" s="180" t="str">
        <f>IF(Hoja6!AE32="*","Canceló",Hoja6!AD32)</f>
        <v>Canceló</v>
      </c>
      <c r="L75" s="180" t="str">
        <f>IF(Hoja6!AI32="*","Canceló",Hoja6!AH32)</f>
        <v>Canceló</v>
      </c>
      <c r="M75" s="180" t="str">
        <f>IF(Hoja6!AM32="*","Canceló",Hoja6!AL32)</f>
        <v>Canceló</v>
      </c>
      <c r="N75" s="180" t="str">
        <f>IF(Hoja6!AQ32="*","Canceló",Hoja6!AP32)</f>
        <v>Canceló</v>
      </c>
      <c r="O75" s="180" t="str">
        <f>IF(Hoja6!AU32="*","Canceló",Hoja6!AT32)</f>
        <v>Canceló</v>
      </c>
      <c r="P75" s="180" t="str">
        <f>IF(Hoja6!AY32="*","Canceló",Hoja6!AX32)</f>
        <v>Canceló</v>
      </c>
      <c r="Q75" s="180" t="str">
        <f>IF(Hoja6!BC32="*","Canceló",Hoja6!BB32)</f>
        <v>Canceló</v>
      </c>
      <c r="R75" s="180" t="str">
        <f>IF(Hoja6!BG32="*","Canceló",Hoja6!BF32)</f>
        <v>Canceló</v>
      </c>
      <c r="S75" s="180" t="str">
        <f>IF(Hoja6!BK32="*","Canceló",Hoja6!BJ32)</f>
        <v>Canceló</v>
      </c>
      <c r="T75" s="180" t="str">
        <f>IF(Hoja6!BO32="*","Canceló",Hoja6!BN32)</f>
        <v>Canceló</v>
      </c>
      <c r="U75" s="180" t="str">
        <f>IF(Hoja6!BS32="*","Canceló",Hoja6!BR32)</f>
        <v>Canceló</v>
      </c>
      <c r="V75" s="180" t="str">
        <f>IF(Hoja6!BW32="*","Canceló",Hoja6!BV32)</f>
        <v>Canceló</v>
      </c>
      <c r="W75" s="180" t="str">
        <f>IF(Hoja6!CA32="*","Canceló",Hoja6!BZ32)</f>
        <v>Canceló</v>
      </c>
      <c r="X75" s="180" t="str">
        <f>IF(Hoja6!CE32="*","Canceló",Hoja6!CD32)</f>
        <v>Canceló</v>
      </c>
      <c r="Y75" s="180" t="str">
        <f>IF(Hoja6!CI32="*","Canceló",Hoja6!CH32)</f>
        <v>Canceló</v>
      </c>
      <c r="Z75" s="180" t="str">
        <f>IF(Hoja6!CM32="*","Canceló",Hoja6!CL32)</f>
        <v>Canceló</v>
      </c>
      <c r="AA75" s="180" t="str">
        <f>IF(Hoja6!CQ32="*","Canceló",Hoja6!CP32)</f>
        <v>Canceló</v>
      </c>
      <c r="AB75" s="180" t="str">
        <f>IF(Hoja6!CU32="*","Canceló",Hoja6!CT32)</f>
        <v>Canceló</v>
      </c>
      <c r="AC75" s="180" t="str">
        <f>IF(Hoja6!CY32="*","Canceló",Hoja6!CX32)</f>
        <v>Canceló</v>
      </c>
      <c r="AD75" s="180" t="str">
        <f>IF(Hoja6!DC32="*","Canceló",Hoja6!DB32)</f>
        <v>Canceló</v>
      </c>
      <c r="AE75" s="180" t="str">
        <f>IF(Hoja6!DG32="*","Canceló",Hoja6!DF32)</f>
        <v>Canceló</v>
      </c>
      <c r="AF75" s="180" t="str">
        <f>IF(Hoja6!DK32="*","Canceló",Hoja6!DJ32)</f>
        <v>Canceló</v>
      </c>
      <c r="AG75" s="180" t="str">
        <f>IF(Hoja6!DO32="*","Canceló",Hoja6!DN32)</f>
        <v>Canceló</v>
      </c>
      <c r="AH75" s="180" t="str">
        <f>IF(Hoja6!DS32="*","Canceló",Hoja6!DR32)</f>
        <v>Canceló</v>
      </c>
      <c r="AI75" s="180" t="str">
        <f>IF(Hoja6!DW32="*","Canceló",Hoja6!DV32)</f>
        <v>Canceló</v>
      </c>
      <c r="AJ75" s="180" t="str">
        <f>IF(Hoja6!EA32="*","Canceló",Hoja6!DZ32)</f>
        <v>Canceló</v>
      </c>
      <c r="AK75" s="180" t="str">
        <f>IF(Hoja6!EE32="*","Canceló",Hoja6!ED32)</f>
        <v>Canceló</v>
      </c>
      <c r="AL75" s="180" t="str">
        <f>IF(Hoja6!EI32="*","Canceló",Hoja6!EH32)</f>
        <v>Canceló</v>
      </c>
      <c r="AM75" s="180" t="str">
        <f>IF(Hoja6!EM32="*","Canceló",Hoja6!EL32)</f>
        <v>Canceló</v>
      </c>
      <c r="AN75" s="180" t="str">
        <f>IF(Hoja6!EQ32="*","Canceló",Hoja6!EP32)</f>
        <v>Canceló</v>
      </c>
      <c r="AO75" s="180" t="str">
        <f>IF(Hoja6!EU32="*","Canceló",Hoja6!ET32)</f>
        <v>Canceló</v>
      </c>
      <c r="AP75" s="180" t="str">
        <f>IF(Hoja6!EY32="*","Canceló",Hoja6!EX32)</f>
        <v>Canceló</v>
      </c>
      <c r="AQ75" s="180" t="str">
        <f>IF(Hoja6!FC32="*","Canceló",Hoja6!FB32)</f>
        <v>Canceló</v>
      </c>
      <c r="AR75" s="180" t="str">
        <f>IF(Hoja6!FG32="*","Canceló",Hoja6!FF32)</f>
        <v>Canceló</v>
      </c>
      <c r="AS75" s="180" t="str">
        <f>IF(Hoja6!FK32="*","Canceló",Hoja6!FJ32)</f>
        <v>Canceló</v>
      </c>
      <c r="AT75" s="180">
        <f>IF(Hoja6!FO32="*","Canceló",Hoja6!FN32)</f>
        <v>24.427228571428568</v>
      </c>
    </row>
    <row r="76" spans="1:46">
      <c r="A76" s="51">
        <f t="shared" si="0"/>
        <v>0</v>
      </c>
      <c r="B76" s="14">
        <f>Hoja6!HL33</f>
        <v>0</v>
      </c>
      <c r="C76" s="177" t="s">
        <v>53</v>
      </c>
      <c r="D76" s="180" t="str">
        <f>IF(Hoja6!C33="*","Canceló",Hoja6!D33)</f>
        <v>Canceló</v>
      </c>
      <c r="E76" s="180" t="str">
        <f>IF(Hoja6!G33="*","Canceló",Hoja6!H33)</f>
        <v>Canceló</v>
      </c>
      <c r="F76" s="180" t="str">
        <f>IF(Hoja6!K33="*","Canceló",Hoja6!L33)</f>
        <v>Canceló</v>
      </c>
      <c r="G76" s="180" t="str">
        <f>IF(Hoja6!O33="*","Canceló",Hoja6!P33)</f>
        <v>Canceló</v>
      </c>
      <c r="H76" s="180" t="str">
        <f>IF(Hoja6!S33="*","Canceló",Hoja6!T33)</f>
        <v>Canceló</v>
      </c>
      <c r="I76" s="180" t="str">
        <f>IF(Hoja6!W33="*","Canceló",Hoja6!V33)</f>
        <v>Canceló</v>
      </c>
      <c r="J76" s="180" t="str">
        <f>IF(Hoja6!AA33="*","Canceló",Hoja6!Z33)</f>
        <v>Canceló</v>
      </c>
      <c r="K76" s="180" t="str">
        <f>IF(Hoja6!AE33="*","Canceló",Hoja6!AD33)</f>
        <v>Canceló</v>
      </c>
      <c r="L76" s="180" t="str">
        <f>IF(Hoja6!AI33="*","Canceló",Hoja6!AH33)</f>
        <v>Canceló</v>
      </c>
      <c r="M76" s="180" t="str">
        <f>IF(Hoja6!AM33="*","Canceló",Hoja6!AL33)</f>
        <v>Canceló</v>
      </c>
      <c r="N76" s="180" t="str">
        <f>IF(Hoja6!AQ33="*","Canceló",Hoja6!AP33)</f>
        <v>Canceló</v>
      </c>
      <c r="O76" s="180" t="str">
        <f>IF(Hoja6!AU33="*","Canceló",Hoja6!AT33)</f>
        <v>Canceló</v>
      </c>
      <c r="P76" s="180" t="str">
        <f>IF(Hoja6!AY33="*","Canceló",Hoja6!AX33)</f>
        <v>Canceló</v>
      </c>
      <c r="Q76" s="180" t="str">
        <f>IF(Hoja6!BC33="*","Canceló",Hoja6!BB33)</f>
        <v>Canceló</v>
      </c>
      <c r="R76" s="180" t="str">
        <f>IF(Hoja6!BG33="*","Canceló",Hoja6!BF33)</f>
        <v>Canceló</v>
      </c>
      <c r="S76" s="180" t="str">
        <f>IF(Hoja6!BK33="*","Canceló",Hoja6!BJ33)</f>
        <v>Canceló</v>
      </c>
      <c r="T76" s="180" t="str">
        <f>IF(Hoja6!BO33="*","Canceló",Hoja6!BN33)</f>
        <v>Canceló</v>
      </c>
      <c r="U76" s="180" t="str">
        <f>IF(Hoja6!BS33="*","Canceló",Hoja6!BR33)</f>
        <v>Canceló</v>
      </c>
      <c r="V76" s="180" t="str">
        <f>IF(Hoja6!BW33="*","Canceló",Hoja6!BV33)</f>
        <v>Canceló</v>
      </c>
      <c r="W76" s="180" t="str">
        <f>IF(Hoja6!CA33="*","Canceló",Hoja6!BZ33)</f>
        <v>Canceló</v>
      </c>
      <c r="X76" s="180" t="str">
        <f>IF(Hoja6!CE33="*","Canceló",Hoja6!CD33)</f>
        <v>Canceló</v>
      </c>
      <c r="Y76" s="180" t="str">
        <f>IF(Hoja6!CI33="*","Canceló",Hoja6!CH33)</f>
        <v>Canceló</v>
      </c>
      <c r="Z76" s="180" t="str">
        <f>IF(Hoja6!CM33="*","Canceló",Hoja6!CL33)</f>
        <v>Canceló</v>
      </c>
      <c r="AA76" s="180" t="str">
        <f>IF(Hoja6!CQ33="*","Canceló",Hoja6!CP33)</f>
        <v>Canceló</v>
      </c>
      <c r="AB76" s="180" t="str">
        <f>IF(Hoja6!CU33="*","Canceló",Hoja6!CT33)</f>
        <v>Canceló</v>
      </c>
      <c r="AC76" s="180" t="str">
        <f>IF(Hoja6!CY33="*","Canceló",Hoja6!CX33)</f>
        <v>Canceló</v>
      </c>
      <c r="AD76" s="180" t="str">
        <f>IF(Hoja6!DC33="*","Canceló",Hoja6!DB33)</f>
        <v>Canceló</v>
      </c>
      <c r="AE76" s="180" t="str">
        <f>IF(Hoja6!DG33="*","Canceló",Hoja6!DF33)</f>
        <v>Canceló</v>
      </c>
      <c r="AF76" s="180" t="str">
        <f>IF(Hoja6!DK33="*","Canceló",Hoja6!DJ33)</f>
        <v>Canceló</v>
      </c>
      <c r="AG76" s="180" t="str">
        <f>IF(Hoja6!DO33="*","Canceló",Hoja6!DN33)</f>
        <v>Canceló</v>
      </c>
      <c r="AH76" s="180" t="str">
        <f>IF(Hoja6!DS33="*","Canceló",Hoja6!DR33)</f>
        <v>Canceló</v>
      </c>
      <c r="AI76" s="180" t="str">
        <f>IF(Hoja6!DW33="*","Canceló",Hoja6!DV33)</f>
        <v>Canceló</v>
      </c>
      <c r="AJ76" s="180" t="str">
        <f>IF(Hoja6!EA33="*","Canceló",Hoja6!DZ33)</f>
        <v>Canceló</v>
      </c>
      <c r="AK76" s="180" t="str">
        <f>IF(Hoja6!EE33="*","Canceló",Hoja6!ED33)</f>
        <v>Canceló</v>
      </c>
      <c r="AL76" s="180" t="str">
        <f>IF(Hoja6!EI33="*","Canceló",Hoja6!EH33)</f>
        <v>Canceló</v>
      </c>
      <c r="AM76" s="180" t="str">
        <f>IF(Hoja6!EM33="*","Canceló",Hoja6!EL33)</f>
        <v>Canceló</v>
      </c>
      <c r="AN76" s="180" t="str">
        <f>IF(Hoja6!EQ33="*","Canceló",Hoja6!EP33)</f>
        <v>Canceló</v>
      </c>
      <c r="AO76" s="180" t="str">
        <f>IF(Hoja6!EU33="*","Canceló",Hoja6!ET33)</f>
        <v>Canceló</v>
      </c>
      <c r="AP76" s="180" t="str">
        <f>IF(Hoja6!EY33="*","Canceló",Hoja6!EX33)</f>
        <v>Canceló</v>
      </c>
      <c r="AQ76" s="180" t="str">
        <f>IF(Hoja6!FC33="*","Canceló",Hoja6!FB33)</f>
        <v>Canceló</v>
      </c>
      <c r="AR76" s="180" t="str">
        <f>IF(Hoja6!FG33="*","Canceló",Hoja6!FF33)</f>
        <v>Canceló</v>
      </c>
      <c r="AS76" s="180" t="str">
        <f>IF(Hoja6!FK33="*","Canceló",Hoja6!FJ33)</f>
        <v>Canceló</v>
      </c>
      <c r="AT76" s="180">
        <f>IF(Hoja6!FO33="*","Canceló",Hoja6!FN33)</f>
        <v>23.938028571428571</v>
      </c>
    </row>
    <row r="77" spans="1:46">
      <c r="A77" s="51">
        <f t="shared" si="0"/>
        <v>0</v>
      </c>
      <c r="B77" s="14">
        <f>Hoja6!HL34</f>
        <v>0</v>
      </c>
      <c r="C77" s="177" t="s">
        <v>54</v>
      </c>
      <c r="D77" s="180" t="str">
        <f>IF(Hoja6!C34="*","Canceló",Hoja6!D34)</f>
        <v>Canceló</v>
      </c>
      <c r="E77" s="180" t="str">
        <f>IF(Hoja6!G34="*","Canceló",Hoja6!H34)</f>
        <v>Canceló</v>
      </c>
      <c r="F77" s="180" t="str">
        <f>IF(Hoja6!K34="*","Canceló",Hoja6!L34)</f>
        <v>Canceló</v>
      </c>
      <c r="G77" s="180" t="str">
        <f>IF(Hoja6!O34="*","Canceló",Hoja6!P34)</f>
        <v>Canceló</v>
      </c>
      <c r="H77" s="180" t="str">
        <f>IF(Hoja6!S34="*","Canceló",Hoja6!T34)</f>
        <v>Canceló</v>
      </c>
      <c r="I77" s="180" t="str">
        <f>IF(Hoja6!W34="*","Canceló",Hoja6!V34)</f>
        <v>Canceló</v>
      </c>
      <c r="J77" s="180" t="str">
        <f>IF(Hoja6!AA34="*","Canceló",Hoja6!Z34)</f>
        <v>Canceló</v>
      </c>
      <c r="K77" s="180" t="str">
        <f>IF(Hoja6!AE34="*","Canceló",Hoja6!AD34)</f>
        <v>Canceló</v>
      </c>
      <c r="L77" s="180" t="str">
        <f>IF(Hoja6!AI34="*","Canceló",Hoja6!AH34)</f>
        <v>Canceló</v>
      </c>
      <c r="M77" s="180" t="str">
        <f>IF(Hoja6!AM34="*","Canceló",Hoja6!AL34)</f>
        <v>Canceló</v>
      </c>
      <c r="N77" s="180" t="str">
        <f>IF(Hoja6!AQ34="*","Canceló",Hoja6!AP34)</f>
        <v>Canceló</v>
      </c>
      <c r="O77" s="180" t="str">
        <f>IF(Hoja6!AU34="*","Canceló",Hoja6!AT34)</f>
        <v>Canceló</v>
      </c>
      <c r="P77" s="180" t="str">
        <f>IF(Hoja6!AY34="*","Canceló",Hoja6!AX34)</f>
        <v>Canceló</v>
      </c>
      <c r="Q77" s="180" t="str">
        <f>IF(Hoja6!BC34="*","Canceló",Hoja6!BB34)</f>
        <v>Canceló</v>
      </c>
      <c r="R77" s="180" t="str">
        <f>IF(Hoja6!BG34="*","Canceló",Hoja6!BF34)</f>
        <v>Canceló</v>
      </c>
      <c r="S77" s="180" t="str">
        <f>IF(Hoja6!BK34="*","Canceló",Hoja6!BJ34)</f>
        <v>Canceló</v>
      </c>
      <c r="T77" s="180" t="str">
        <f>IF(Hoja6!BO34="*","Canceló",Hoja6!BN34)</f>
        <v>Canceló</v>
      </c>
      <c r="U77" s="180" t="str">
        <f>IF(Hoja6!BS34="*","Canceló",Hoja6!BR34)</f>
        <v>Canceló</v>
      </c>
      <c r="V77" s="180" t="str">
        <f>IF(Hoja6!BW34="*","Canceló",Hoja6!BV34)</f>
        <v>Canceló</v>
      </c>
      <c r="W77" s="180" t="str">
        <f>IF(Hoja6!CA34="*","Canceló",Hoja6!BZ34)</f>
        <v>Canceló</v>
      </c>
      <c r="X77" s="180" t="str">
        <f>IF(Hoja6!CE34="*","Canceló",Hoja6!CD34)</f>
        <v>Canceló</v>
      </c>
      <c r="Y77" s="180" t="str">
        <f>IF(Hoja6!CI34="*","Canceló",Hoja6!CH34)</f>
        <v>Canceló</v>
      </c>
      <c r="Z77" s="180" t="str">
        <f>IF(Hoja6!CM34="*","Canceló",Hoja6!CL34)</f>
        <v>Canceló</v>
      </c>
      <c r="AA77" s="180" t="str">
        <f>IF(Hoja6!CQ34="*","Canceló",Hoja6!CP34)</f>
        <v>Canceló</v>
      </c>
      <c r="AB77" s="180" t="str">
        <f>IF(Hoja6!CU34="*","Canceló",Hoja6!CT34)</f>
        <v>Canceló</v>
      </c>
      <c r="AC77" s="180" t="str">
        <f>IF(Hoja6!CY34="*","Canceló",Hoja6!CX34)</f>
        <v>Canceló</v>
      </c>
      <c r="AD77" s="180" t="str">
        <f>IF(Hoja6!DC34="*","Canceló",Hoja6!DB34)</f>
        <v>Canceló</v>
      </c>
      <c r="AE77" s="180" t="str">
        <f>IF(Hoja6!DG34="*","Canceló",Hoja6!DF34)</f>
        <v>Canceló</v>
      </c>
      <c r="AF77" s="180" t="str">
        <f>IF(Hoja6!DK34="*","Canceló",Hoja6!DJ34)</f>
        <v>Canceló</v>
      </c>
      <c r="AG77" s="180" t="str">
        <f>IF(Hoja6!DO34="*","Canceló",Hoja6!DN34)</f>
        <v>Canceló</v>
      </c>
      <c r="AH77" s="180" t="str">
        <f>IF(Hoja6!DS34="*","Canceló",Hoja6!DR34)</f>
        <v>Canceló</v>
      </c>
      <c r="AI77" s="180" t="str">
        <f>IF(Hoja6!DW34="*","Canceló",Hoja6!DV34)</f>
        <v>Canceló</v>
      </c>
      <c r="AJ77" s="180" t="str">
        <f>IF(Hoja6!EA34="*","Canceló",Hoja6!DZ34)</f>
        <v>Canceló</v>
      </c>
      <c r="AK77" s="180" t="str">
        <f>IF(Hoja6!EE34="*","Canceló",Hoja6!ED34)</f>
        <v>Canceló</v>
      </c>
      <c r="AL77" s="180" t="str">
        <f>IF(Hoja6!EI34="*","Canceló",Hoja6!EH34)</f>
        <v>Canceló</v>
      </c>
      <c r="AM77" s="180" t="str">
        <f>IF(Hoja6!EM34="*","Canceló",Hoja6!EL34)</f>
        <v>Canceló</v>
      </c>
      <c r="AN77" s="180" t="str">
        <f>IF(Hoja6!EQ34="*","Canceló",Hoja6!EP34)</f>
        <v>Canceló</v>
      </c>
      <c r="AO77" s="180" t="str">
        <f>IF(Hoja6!EU34="*","Canceló",Hoja6!ET34)</f>
        <v>Canceló</v>
      </c>
      <c r="AP77" s="180" t="str">
        <f>IF(Hoja6!EY34="*","Canceló",Hoja6!EX34)</f>
        <v>Canceló</v>
      </c>
      <c r="AQ77" s="180" t="str">
        <f>IF(Hoja6!FC34="*","Canceló",Hoja6!FB34)</f>
        <v>Canceló</v>
      </c>
      <c r="AR77" s="180" t="str">
        <f>IF(Hoja6!FG34="*","Canceló",Hoja6!FF34)</f>
        <v>Canceló</v>
      </c>
      <c r="AS77" s="180" t="str">
        <f>IF(Hoja6!FK34="*","Canceló",Hoja6!FJ34)</f>
        <v>Canceló</v>
      </c>
      <c r="AT77" s="180">
        <f>IF(Hoja6!FO34="*","Canceló",Hoja6!FN34)</f>
        <v>24.427228571428568</v>
      </c>
    </row>
    <row r="78" spans="1:46">
      <c r="A78" s="51">
        <f t="shared" si="0"/>
        <v>0</v>
      </c>
      <c r="B78" s="14">
        <f>Hoja6!HL35</f>
        <v>0</v>
      </c>
      <c r="C78" s="177" t="s">
        <v>56</v>
      </c>
      <c r="D78" s="180" t="str">
        <f>IF(Hoja6!C35="*","Canceló",Hoja6!D35)</f>
        <v>Canceló</v>
      </c>
      <c r="E78" s="180" t="str">
        <f>IF(Hoja6!G35="*","Canceló",Hoja6!H35)</f>
        <v>Canceló</v>
      </c>
      <c r="F78" s="180" t="str">
        <f>IF(Hoja6!K35="*","Canceló",Hoja6!L35)</f>
        <v>Canceló</v>
      </c>
      <c r="G78" s="180" t="str">
        <f>IF(Hoja6!O35="*","Canceló",Hoja6!P35)</f>
        <v>Canceló</v>
      </c>
      <c r="H78" s="180" t="str">
        <f>IF(Hoja6!S35="*","Canceló",Hoja6!T35)</f>
        <v>Canceló</v>
      </c>
      <c r="I78" s="180" t="str">
        <f>IF(Hoja6!W35="*","Canceló",Hoja6!V35)</f>
        <v>Canceló</v>
      </c>
      <c r="J78" s="180" t="str">
        <f>IF(Hoja6!AA35="*","Canceló",Hoja6!Z35)</f>
        <v>Canceló</v>
      </c>
      <c r="K78" s="180" t="str">
        <f>IF(Hoja6!AE35="*","Canceló",Hoja6!AD35)</f>
        <v>Canceló</v>
      </c>
      <c r="L78" s="180" t="str">
        <f>IF(Hoja6!AI35="*","Canceló",Hoja6!AH35)</f>
        <v>Canceló</v>
      </c>
      <c r="M78" s="180" t="str">
        <f>IF(Hoja6!AM35="*","Canceló",Hoja6!AL35)</f>
        <v>Canceló</v>
      </c>
      <c r="N78" s="180" t="str">
        <f>IF(Hoja6!AQ35="*","Canceló",Hoja6!AP35)</f>
        <v>Canceló</v>
      </c>
      <c r="O78" s="180" t="str">
        <f>IF(Hoja6!AU35="*","Canceló",Hoja6!AT35)</f>
        <v>Canceló</v>
      </c>
      <c r="P78" s="180" t="str">
        <f>IF(Hoja6!AY35="*","Canceló",Hoja6!AX35)</f>
        <v>Canceló</v>
      </c>
      <c r="Q78" s="180" t="str">
        <f>IF(Hoja6!BC35="*","Canceló",Hoja6!BB35)</f>
        <v>Canceló</v>
      </c>
      <c r="R78" s="180" t="str">
        <f>IF(Hoja6!BG35="*","Canceló",Hoja6!BF35)</f>
        <v>Canceló</v>
      </c>
      <c r="S78" s="180" t="str">
        <f>IF(Hoja6!BK35="*","Canceló",Hoja6!BJ35)</f>
        <v>Canceló</v>
      </c>
      <c r="T78" s="180" t="str">
        <f>IF(Hoja6!BO35="*","Canceló",Hoja6!BN35)</f>
        <v>Canceló</v>
      </c>
      <c r="U78" s="180" t="str">
        <f>IF(Hoja6!BS35="*","Canceló",Hoja6!BR35)</f>
        <v>Canceló</v>
      </c>
      <c r="V78" s="180" t="str">
        <f>IF(Hoja6!BW35="*","Canceló",Hoja6!BV35)</f>
        <v>Canceló</v>
      </c>
      <c r="W78" s="180" t="str">
        <f>IF(Hoja6!CA35="*","Canceló",Hoja6!BZ35)</f>
        <v>Canceló</v>
      </c>
      <c r="X78" s="180" t="str">
        <f>IF(Hoja6!CE35="*","Canceló",Hoja6!CD35)</f>
        <v>Canceló</v>
      </c>
      <c r="Y78" s="180" t="str">
        <f>IF(Hoja6!CI35="*","Canceló",Hoja6!CH35)</f>
        <v>Canceló</v>
      </c>
      <c r="Z78" s="180" t="str">
        <f>IF(Hoja6!CM35="*","Canceló",Hoja6!CL35)</f>
        <v>Canceló</v>
      </c>
      <c r="AA78" s="180" t="str">
        <f>IF(Hoja6!CQ35="*","Canceló",Hoja6!CP35)</f>
        <v>Canceló</v>
      </c>
      <c r="AB78" s="180" t="str">
        <f>IF(Hoja6!CU35="*","Canceló",Hoja6!CT35)</f>
        <v>Canceló</v>
      </c>
      <c r="AC78" s="180" t="str">
        <f>IF(Hoja6!CY35="*","Canceló",Hoja6!CX35)</f>
        <v>Canceló</v>
      </c>
      <c r="AD78" s="180" t="str">
        <f>IF(Hoja6!DC35="*","Canceló",Hoja6!DB35)</f>
        <v>Canceló</v>
      </c>
      <c r="AE78" s="180" t="str">
        <f>IF(Hoja6!DG35="*","Canceló",Hoja6!DF35)</f>
        <v>Canceló</v>
      </c>
      <c r="AF78" s="180" t="str">
        <f>IF(Hoja6!DK35="*","Canceló",Hoja6!DJ35)</f>
        <v>Canceló</v>
      </c>
      <c r="AG78" s="180" t="str">
        <f>IF(Hoja6!DO35="*","Canceló",Hoja6!DN35)</f>
        <v>Canceló</v>
      </c>
      <c r="AH78" s="180" t="str">
        <f>IF(Hoja6!DS35="*","Canceló",Hoja6!DR35)</f>
        <v>Canceló</v>
      </c>
      <c r="AI78" s="180" t="str">
        <f>IF(Hoja6!DW35="*","Canceló",Hoja6!DV35)</f>
        <v>Canceló</v>
      </c>
      <c r="AJ78" s="180" t="str">
        <f>IF(Hoja6!EA35="*","Canceló",Hoja6!DZ35)</f>
        <v>Canceló</v>
      </c>
      <c r="AK78" s="180" t="str">
        <f>IF(Hoja6!EE35="*","Canceló",Hoja6!ED35)</f>
        <v>Canceló</v>
      </c>
      <c r="AL78" s="180" t="str">
        <f>IF(Hoja6!EI35="*","Canceló",Hoja6!EH35)</f>
        <v>Canceló</v>
      </c>
      <c r="AM78" s="180" t="str">
        <f>IF(Hoja6!EM35="*","Canceló",Hoja6!EL35)</f>
        <v>Canceló</v>
      </c>
      <c r="AN78" s="180" t="str">
        <f>IF(Hoja6!EQ35="*","Canceló",Hoja6!EP35)</f>
        <v>Canceló</v>
      </c>
      <c r="AO78" s="180" t="str">
        <f>IF(Hoja6!EU35="*","Canceló",Hoja6!ET35)</f>
        <v>Canceló</v>
      </c>
      <c r="AP78" s="180" t="str">
        <f>IF(Hoja6!EY35="*","Canceló",Hoja6!EX35)</f>
        <v>Canceló</v>
      </c>
      <c r="AQ78" s="180" t="str">
        <f>IF(Hoja6!FC35="*","Canceló",Hoja6!FB35)</f>
        <v>Canceló</v>
      </c>
      <c r="AR78" s="180" t="str">
        <f>IF(Hoja6!FG35="*","Canceló",Hoja6!FF35)</f>
        <v>Canceló</v>
      </c>
      <c r="AS78" s="180" t="str">
        <f>IF(Hoja6!FK35="*","Canceló",Hoja6!FJ35)</f>
        <v>Canceló</v>
      </c>
      <c r="AT78" s="180">
        <f>IF(Hoja6!FO35="*","Canceló",Hoja6!FN35)</f>
        <v>25.955978571428567</v>
      </c>
    </row>
    <row r="79" spans="1:46">
      <c r="A79" s="51">
        <f t="shared" si="0"/>
        <v>0</v>
      </c>
      <c r="B79" s="14">
        <f>Hoja6!HL36</f>
        <v>0</v>
      </c>
      <c r="C79" s="177" t="s">
        <v>58</v>
      </c>
      <c r="D79" s="180" t="str">
        <f>IF(Hoja6!C36="*","Canceló",Hoja6!D36)</f>
        <v>Canceló</v>
      </c>
      <c r="E79" s="180" t="str">
        <f>IF(Hoja6!G36="*","Canceló",Hoja6!H36)</f>
        <v>Canceló</v>
      </c>
      <c r="F79" s="180" t="str">
        <f>IF(Hoja6!K36="*","Canceló",Hoja6!L36)</f>
        <v>Canceló</v>
      </c>
      <c r="G79" s="180" t="str">
        <f>IF(Hoja6!O36="*","Canceló",Hoja6!P36)</f>
        <v>Canceló</v>
      </c>
      <c r="H79" s="180" t="str">
        <f>IF(Hoja6!S36="*","Canceló",Hoja6!T36)</f>
        <v>Canceló</v>
      </c>
      <c r="I79" s="180" t="str">
        <f>IF(Hoja6!W36="*","Canceló",Hoja6!V36)</f>
        <v>Canceló</v>
      </c>
      <c r="J79" s="180" t="str">
        <f>IF(Hoja6!AA36="*","Canceló",Hoja6!Z36)</f>
        <v>Canceló</v>
      </c>
      <c r="K79" s="180" t="str">
        <f>IF(Hoja6!AE36="*","Canceló",Hoja6!AD36)</f>
        <v>Canceló</v>
      </c>
      <c r="L79" s="180" t="str">
        <f>IF(Hoja6!AI36="*","Canceló",Hoja6!AH36)</f>
        <v>Canceló</v>
      </c>
      <c r="M79" s="180" t="str">
        <f>IF(Hoja6!AM36="*","Canceló",Hoja6!AL36)</f>
        <v>Canceló</v>
      </c>
      <c r="N79" s="180" t="str">
        <f>IF(Hoja6!AQ36="*","Canceló",Hoja6!AP36)</f>
        <v>Canceló</v>
      </c>
      <c r="O79" s="180" t="str">
        <f>IF(Hoja6!AU36="*","Canceló",Hoja6!AT36)</f>
        <v>Canceló</v>
      </c>
      <c r="P79" s="180" t="str">
        <f>IF(Hoja6!AY36="*","Canceló",Hoja6!AX36)</f>
        <v>Canceló</v>
      </c>
      <c r="Q79" s="180" t="str">
        <f>IF(Hoja6!BC36="*","Canceló",Hoja6!BB36)</f>
        <v>Canceló</v>
      </c>
      <c r="R79" s="180" t="str">
        <f>IF(Hoja6!BG36="*","Canceló",Hoja6!BF36)</f>
        <v>Canceló</v>
      </c>
      <c r="S79" s="180" t="str">
        <f>IF(Hoja6!BK36="*","Canceló",Hoja6!BJ36)</f>
        <v>Canceló</v>
      </c>
      <c r="T79" s="180" t="str">
        <f>IF(Hoja6!BO36="*","Canceló",Hoja6!BN36)</f>
        <v>Canceló</v>
      </c>
      <c r="U79" s="180" t="str">
        <f>IF(Hoja6!BS36="*","Canceló",Hoja6!BR36)</f>
        <v>Canceló</v>
      </c>
      <c r="V79" s="180" t="str">
        <f>IF(Hoja6!BW36="*","Canceló",Hoja6!BV36)</f>
        <v>Canceló</v>
      </c>
      <c r="W79" s="180" t="str">
        <f>IF(Hoja6!CA36="*","Canceló",Hoja6!BZ36)</f>
        <v>Canceló</v>
      </c>
      <c r="X79" s="180" t="str">
        <f>IF(Hoja6!CE36="*","Canceló",Hoja6!CD36)</f>
        <v>Canceló</v>
      </c>
      <c r="Y79" s="180" t="str">
        <f>IF(Hoja6!CI36="*","Canceló",Hoja6!CH36)</f>
        <v>Canceló</v>
      </c>
      <c r="Z79" s="180" t="str">
        <f>IF(Hoja6!CM36="*","Canceló",Hoja6!CL36)</f>
        <v>Canceló</v>
      </c>
      <c r="AA79" s="180" t="str">
        <f>IF(Hoja6!CQ36="*","Canceló",Hoja6!CP36)</f>
        <v>Canceló</v>
      </c>
      <c r="AB79" s="180" t="str">
        <f>IF(Hoja6!CU36="*","Canceló",Hoja6!CT36)</f>
        <v>Canceló</v>
      </c>
      <c r="AC79" s="180" t="str">
        <f>IF(Hoja6!CY36="*","Canceló",Hoja6!CX36)</f>
        <v>Canceló</v>
      </c>
      <c r="AD79" s="180" t="str">
        <f>IF(Hoja6!DC36="*","Canceló",Hoja6!DB36)</f>
        <v>Canceló</v>
      </c>
      <c r="AE79" s="180" t="str">
        <f>IF(Hoja6!DG36="*","Canceló",Hoja6!DF36)</f>
        <v>Canceló</v>
      </c>
      <c r="AF79" s="180" t="str">
        <f>IF(Hoja6!DK36="*","Canceló",Hoja6!DJ36)</f>
        <v>Canceló</v>
      </c>
      <c r="AG79" s="180" t="str">
        <f>IF(Hoja6!DO36="*","Canceló",Hoja6!DN36)</f>
        <v>Canceló</v>
      </c>
      <c r="AH79" s="180" t="str">
        <f>IF(Hoja6!DS36="*","Canceló",Hoja6!DR36)</f>
        <v>Canceló</v>
      </c>
      <c r="AI79" s="180" t="str">
        <f>IF(Hoja6!DW36="*","Canceló",Hoja6!DV36)</f>
        <v>Canceló</v>
      </c>
      <c r="AJ79" s="180" t="str">
        <f>IF(Hoja6!EA36="*","Canceló",Hoja6!DZ36)</f>
        <v>Canceló</v>
      </c>
      <c r="AK79" s="180" t="str">
        <f>IF(Hoja6!EE36="*","Canceló",Hoja6!ED36)</f>
        <v>Canceló</v>
      </c>
      <c r="AL79" s="180" t="str">
        <f>IF(Hoja6!EI36="*","Canceló",Hoja6!EH36)</f>
        <v>Canceló</v>
      </c>
      <c r="AM79" s="180" t="str">
        <f>IF(Hoja6!EM36="*","Canceló",Hoja6!EL36)</f>
        <v>Canceló</v>
      </c>
      <c r="AN79" s="180" t="str">
        <f>IF(Hoja6!EQ36="*","Canceló",Hoja6!EP36)</f>
        <v>Canceló</v>
      </c>
      <c r="AO79" s="180" t="str">
        <f>IF(Hoja6!EU36="*","Canceló",Hoja6!ET36)</f>
        <v>Canceló</v>
      </c>
      <c r="AP79" s="180" t="str">
        <f>IF(Hoja6!EY36="*","Canceló",Hoja6!EX36)</f>
        <v>Canceló</v>
      </c>
      <c r="AQ79" s="180" t="str">
        <f>IF(Hoja6!FC36="*","Canceló",Hoja6!FB36)</f>
        <v>Canceló</v>
      </c>
      <c r="AR79" s="180" t="str">
        <f>IF(Hoja6!FG36="*","Canceló",Hoja6!FF36)</f>
        <v>Canceló</v>
      </c>
      <c r="AS79" s="180" t="str">
        <f>IF(Hoja6!FK36="*","Canceló",Hoja6!FJ36)</f>
        <v>Canceló</v>
      </c>
      <c r="AT79" s="180">
        <f>IF(Hoja6!FO36="*","Canceló",Hoja6!FN36)</f>
        <v>34.02777857142857</v>
      </c>
    </row>
    <row r="80" spans="1:46">
      <c r="A80" s="51">
        <f t="shared" si="0"/>
        <v>0</v>
      </c>
      <c r="B80" s="14">
        <f>Hoja6!HL37</f>
        <v>0</v>
      </c>
      <c r="C80" s="177" t="s">
        <v>60</v>
      </c>
      <c r="D80" s="180" t="str">
        <f>IF(Hoja6!C37="*","Canceló",Hoja6!D37)</f>
        <v>Canceló</v>
      </c>
      <c r="E80" s="180" t="str">
        <f>IF(Hoja6!G37="*","Canceló",Hoja6!H37)</f>
        <v>Canceló</v>
      </c>
      <c r="F80" s="180" t="str">
        <f>IF(Hoja6!K37="*","Canceló",Hoja6!L37)</f>
        <v>Canceló</v>
      </c>
      <c r="G80" s="180" t="str">
        <f>IF(Hoja6!O37="*","Canceló",Hoja6!P37)</f>
        <v>Canceló</v>
      </c>
      <c r="H80" s="180" t="str">
        <f>IF(Hoja6!S37="*","Canceló",Hoja6!T37)</f>
        <v>Canceló</v>
      </c>
      <c r="I80" s="180" t="str">
        <f>IF(Hoja6!W37="*","Canceló",Hoja6!V37)</f>
        <v>Canceló</v>
      </c>
      <c r="J80" s="180" t="str">
        <f>IF(Hoja6!AA37="*","Canceló",Hoja6!Z37)</f>
        <v>Canceló</v>
      </c>
      <c r="K80" s="180" t="str">
        <f>IF(Hoja6!AE37="*","Canceló",Hoja6!AD37)</f>
        <v>Canceló</v>
      </c>
      <c r="L80" s="180" t="str">
        <f>IF(Hoja6!AI37="*","Canceló",Hoja6!AH37)</f>
        <v>Canceló</v>
      </c>
      <c r="M80" s="180" t="str">
        <f>IF(Hoja6!AM37="*","Canceló",Hoja6!AL37)</f>
        <v>Canceló</v>
      </c>
      <c r="N80" s="180" t="str">
        <f>IF(Hoja6!AQ37="*","Canceló",Hoja6!AP37)</f>
        <v>Canceló</v>
      </c>
      <c r="O80" s="180" t="str">
        <f>IF(Hoja6!AU37="*","Canceló",Hoja6!AT37)</f>
        <v>Canceló</v>
      </c>
      <c r="P80" s="180" t="str">
        <f>IF(Hoja6!AY37="*","Canceló",Hoja6!AX37)</f>
        <v>Canceló</v>
      </c>
      <c r="Q80" s="180" t="str">
        <f>IF(Hoja6!BC37="*","Canceló",Hoja6!BB37)</f>
        <v>Canceló</v>
      </c>
      <c r="R80" s="180" t="str">
        <f>IF(Hoja6!BG37="*","Canceló",Hoja6!BF37)</f>
        <v>Canceló</v>
      </c>
      <c r="S80" s="180" t="str">
        <f>IF(Hoja6!BK37="*","Canceló",Hoja6!BJ37)</f>
        <v>Canceló</v>
      </c>
      <c r="T80" s="180" t="str">
        <f>IF(Hoja6!BO37="*","Canceló",Hoja6!BN37)</f>
        <v>Canceló</v>
      </c>
      <c r="U80" s="180" t="str">
        <f>IF(Hoja6!BS37="*","Canceló",Hoja6!BR37)</f>
        <v>Canceló</v>
      </c>
      <c r="V80" s="180" t="str">
        <f>IF(Hoja6!BW37="*","Canceló",Hoja6!BV37)</f>
        <v>Canceló</v>
      </c>
      <c r="W80" s="180" t="str">
        <f>IF(Hoja6!CA37="*","Canceló",Hoja6!BZ37)</f>
        <v>Canceló</v>
      </c>
      <c r="X80" s="180" t="str">
        <f>IF(Hoja6!CE37="*","Canceló",Hoja6!CD37)</f>
        <v>Canceló</v>
      </c>
      <c r="Y80" s="180" t="str">
        <f>IF(Hoja6!CI37="*","Canceló",Hoja6!CH37)</f>
        <v>Canceló</v>
      </c>
      <c r="Z80" s="180" t="str">
        <f>IF(Hoja6!CM37="*","Canceló",Hoja6!CL37)</f>
        <v>Canceló</v>
      </c>
      <c r="AA80" s="180" t="str">
        <f>IF(Hoja6!CQ37="*","Canceló",Hoja6!CP37)</f>
        <v>Canceló</v>
      </c>
      <c r="AB80" s="180" t="str">
        <f>IF(Hoja6!CU37="*","Canceló",Hoja6!CT37)</f>
        <v>Canceló</v>
      </c>
      <c r="AC80" s="180" t="str">
        <f>IF(Hoja6!CY37="*","Canceló",Hoja6!CX37)</f>
        <v>Canceló</v>
      </c>
      <c r="AD80" s="180" t="str">
        <f>IF(Hoja6!DC37="*","Canceló",Hoja6!DB37)</f>
        <v>Canceló</v>
      </c>
      <c r="AE80" s="180" t="str">
        <f>IF(Hoja6!DG37="*","Canceló",Hoja6!DF37)</f>
        <v>Canceló</v>
      </c>
      <c r="AF80" s="180" t="str">
        <f>IF(Hoja6!DK37="*","Canceló",Hoja6!DJ37)</f>
        <v>Canceló</v>
      </c>
      <c r="AG80" s="180" t="str">
        <f>IF(Hoja6!DO37="*","Canceló",Hoja6!DN37)</f>
        <v>Canceló</v>
      </c>
      <c r="AH80" s="180" t="str">
        <f>IF(Hoja6!DS37="*","Canceló",Hoja6!DR37)</f>
        <v>Canceló</v>
      </c>
      <c r="AI80" s="180" t="str">
        <f>IF(Hoja6!DW37="*","Canceló",Hoja6!DV37)</f>
        <v>Canceló</v>
      </c>
      <c r="AJ80" s="180" t="str">
        <f>IF(Hoja6!EA37="*","Canceló",Hoja6!DZ37)</f>
        <v>Canceló</v>
      </c>
      <c r="AK80" s="180" t="str">
        <f>IF(Hoja6!EE37="*","Canceló",Hoja6!ED37)</f>
        <v>Canceló</v>
      </c>
      <c r="AL80" s="180" t="str">
        <f>IF(Hoja6!EI37="*","Canceló",Hoja6!EH37)</f>
        <v>Canceló</v>
      </c>
      <c r="AM80" s="180" t="str">
        <f>IF(Hoja6!EM37="*","Canceló",Hoja6!EL37)</f>
        <v>Canceló</v>
      </c>
      <c r="AN80" s="180" t="str">
        <f>IF(Hoja6!EQ37="*","Canceló",Hoja6!EP37)</f>
        <v>Canceló</v>
      </c>
      <c r="AO80" s="180" t="str">
        <f>IF(Hoja6!EU37="*","Canceló",Hoja6!ET37)</f>
        <v>Canceló</v>
      </c>
      <c r="AP80" s="180" t="str">
        <f>IF(Hoja6!EY37="*","Canceló",Hoja6!EX37)</f>
        <v>Canceló</v>
      </c>
      <c r="AQ80" s="180" t="str">
        <f>IF(Hoja6!FC37="*","Canceló",Hoja6!FB37)</f>
        <v>Canceló</v>
      </c>
      <c r="AR80" s="180" t="str">
        <f>IF(Hoja6!FG37="*","Canceló",Hoja6!FF37)</f>
        <v>Canceló</v>
      </c>
      <c r="AS80" s="180" t="str">
        <f>IF(Hoja6!FK37="*","Canceló",Hoja6!FJ37)</f>
        <v>Canceló</v>
      </c>
      <c r="AT80" s="180">
        <f>IF(Hoja6!FO37="*","Canceló",Hoja6!FN37)</f>
        <v>26.445178571428571</v>
      </c>
    </row>
    <row r="81" spans="1:46">
      <c r="A81" s="51">
        <f t="shared" si="0"/>
        <v>0</v>
      </c>
      <c r="B81" s="14">
        <f>Hoja6!HL38</f>
        <v>0</v>
      </c>
      <c r="C81" s="177" t="s">
        <v>61</v>
      </c>
      <c r="D81" s="180" t="str">
        <f>IF(Hoja6!C38="*","Canceló",Hoja6!D38)</f>
        <v>Canceló</v>
      </c>
      <c r="E81" s="180" t="str">
        <f>IF(Hoja6!G38="*","Canceló",Hoja6!H38)</f>
        <v>Canceló</v>
      </c>
      <c r="F81" s="180" t="str">
        <f>IF(Hoja6!K38="*","Canceló",Hoja6!L38)</f>
        <v>Canceló</v>
      </c>
      <c r="G81" s="180" t="str">
        <f>IF(Hoja6!O38="*","Canceló",Hoja6!P38)</f>
        <v>Canceló</v>
      </c>
      <c r="H81" s="180" t="str">
        <f>IF(Hoja6!S38="*","Canceló",Hoja6!T38)</f>
        <v>Canceló</v>
      </c>
      <c r="I81" s="180" t="str">
        <f>IF(Hoja6!W38="*","Canceló",Hoja6!V38)</f>
        <v>Canceló</v>
      </c>
      <c r="J81" s="180" t="str">
        <f>IF(Hoja6!AA38="*","Canceló",Hoja6!Z38)</f>
        <v>Canceló</v>
      </c>
      <c r="K81" s="180" t="str">
        <f>IF(Hoja6!AE38="*","Canceló",Hoja6!AD38)</f>
        <v>Canceló</v>
      </c>
      <c r="L81" s="180" t="str">
        <f>IF(Hoja6!AI38="*","Canceló",Hoja6!AH38)</f>
        <v>Canceló</v>
      </c>
      <c r="M81" s="180" t="str">
        <f>IF(Hoja6!AM38="*","Canceló",Hoja6!AL38)</f>
        <v>Canceló</v>
      </c>
      <c r="N81" s="180" t="str">
        <f>IF(Hoja6!AQ38="*","Canceló",Hoja6!AP38)</f>
        <v>Canceló</v>
      </c>
      <c r="O81" s="180" t="str">
        <f>IF(Hoja6!AU38="*","Canceló",Hoja6!AT38)</f>
        <v>Canceló</v>
      </c>
      <c r="P81" s="180" t="str">
        <f>IF(Hoja6!AY38="*","Canceló",Hoja6!AX38)</f>
        <v>Canceló</v>
      </c>
      <c r="Q81" s="180" t="str">
        <f>IF(Hoja6!BC38="*","Canceló",Hoja6!BB38)</f>
        <v>Canceló</v>
      </c>
      <c r="R81" s="180" t="str">
        <f>IF(Hoja6!BG38="*","Canceló",Hoja6!BF38)</f>
        <v>Canceló</v>
      </c>
      <c r="S81" s="180" t="str">
        <f>IF(Hoja6!BK38="*","Canceló",Hoja6!BJ38)</f>
        <v>Canceló</v>
      </c>
      <c r="T81" s="180" t="str">
        <f>IF(Hoja6!BO38="*","Canceló",Hoja6!BN38)</f>
        <v>Canceló</v>
      </c>
      <c r="U81" s="180" t="str">
        <f>IF(Hoja6!BS38="*","Canceló",Hoja6!BR38)</f>
        <v>Canceló</v>
      </c>
      <c r="V81" s="180" t="str">
        <f>IF(Hoja6!BW38="*","Canceló",Hoja6!BV38)</f>
        <v>Canceló</v>
      </c>
      <c r="W81" s="180" t="str">
        <f>IF(Hoja6!CA38="*","Canceló",Hoja6!BZ38)</f>
        <v>Canceló</v>
      </c>
      <c r="X81" s="180" t="str">
        <f>IF(Hoja6!CE38="*","Canceló",Hoja6!CD38)</f>
        <v>Canceló</v>
      </c>
      <c r="Y81" s="180" t="str">
        <f>IF(Hoja6!CI38="*","Canceló",Hoja6!CH38)</f>
        <v>Canceló</v>
      </c>
      <c r="Z81" s="180" t="str">
        <f>IF(Hoja6!CM38="*","Canceló",Hoja6!CL38)</f>
        <v>Canceló</v>
      </c>
      <c r="AA81" s="180" t="str">
        <f>IF(Hoja6!CQ38="*","Canceló",Hoja6!CP38)</f>
        <v>Canceló</v>
      </c>
      <c r="AB81" s="180" t="str">
        <f>IF(Hoja6!CU38="*","Canceló",Hoja6!CT38)</f>
        <v>Canceló</v>
      </c>
      <c r="AC81" s="180" t="str">
        <f>IF(Hoja6!CY38="*","Canceló",Hoja6!CX38)</f>
        <v>Canceló</v>
      </c>
      <c r="AD81" s="180" t="str">
        <f>IF(Hoja6!DC38="*","Canceló",Hoja6!DB38)</f>
        <v>Canceló</v>
      </c>
      <c r="AE81" s="180" t="str">
        <f>IF(Hoja6!DG38="*","Canceló",Hoja6!DF38)</f>
        <v>Canceló</v>
      </c>
      <c r="AF81" s="180" t="str">
        <f>IF(Hoja6!DK38="*","Canceló",Hoja6!DJ38)</f>
        <v>Canceló</v>
      </c>
      <c r="AG81" s="180" t="str">
        <f>IF(Hoja6!DO38="*","Canceló",Hoja6!DN38)</f>
        <v>Canceló</v>
      </c>
      <c r="AH81" s="180" t="str">
        <f>IF(Hoja6!DS38="*","Canceló",Hoja6!DR38)</f>
        <v>Canceló</v>
      </c>
      <c r="AI81" s="180" t="str">
        <f>IF(Hoja6!DW38="*","Canceló",Hoja6!DV38)</f>
        <v>Canceló</v>
      </c>
      <c r="AJ81" s="180" t="str">
        <f>IF(Hoja6!EA38="*","Canceló",Hoja6!DZ38)</f>
        <v>Canceló</v>
      </c>
      <c r="AK81" s="180" t="str">
        <f>IF(Hoja6!EE38="*","Canceló",Hoja6!ED38)</f>
        <v>Canceló</v>
      </c>
      <c r="AL81" s="180" t="str">
        <f>IF(Hoja6!EI38="*","Canceló",Hoja6!EH38)</f>
        <v>Canceló</v>
      </c>
      <c r="AM81" s="180" t="str">
        <f>IF(Hoja6!EM38="*","Canceló",Hoja6!EL38)</f>
        <v>Canceló</v>
      </c>
      <c r="AN81" s="180" t="str">
        <f>IF(Hoja6!EQ38="*","Canceló",Hoja6!EP38)</f>
        <v>Canceló</v>
      </c>
      <c r="AO81" s="180" t="str">
        <f>IF(Hoja6!EU38="*","Canceló",Hoja6!ET38)</f>
        <v>Canceló</v>
      </c>
      <c r="AP81" s="180" t="str">
        <f>IF(Hoja6!EY38="*","Canceló",Hoja6!EX38)</f>
        <v>Canceló</v>
      </c>
      <c r="AQ81" s="180" t="str">
        <f>IF(Hoja6!FC38="*","Canceló",Hoja6!FB38)</f>
        <v>Canceló</v>
      </c>
      <c r="AR81" s="180" t="str">
        <f>IF(Hoja6!FG38="*","Canceló",Hoja6!FF38)</f>
        <v>Canceló</v>
      </c>
      <c r="AS81" s="180" t="str">
        <f>IF(Hoja6!FK38="*","Canceló",Hoja6!FJ38)</f>
        <v>Canceló</v>
      </c>
      <c r="AT81" s="180">
        <f>IF(Hoja6!FO38="*","Canceló",Hoja6!FN38)</f>
        <v>26.995528571428569</v>
      </c>
    </row>
    <row r="82" spans="1:46">
      <c r="E82" s="180"/>
      <c r="F82" s="180"/>
    </row>
    <row r="83" spans="1:46">
      <c r="C83" s="177" t="s">
        <v>339</v>
      </c>
      <c r="D83" s="179">
        <f>Hoja6!B40</f>
        <v>0</v>
      </c>
      <c r="E83" s="179">
        <f>Hoja6!F40</f>
        <v>0</v>
      </c>
      <c r="F83" s="179">
        <f>Hoja6!J40</f>
        <v>0</v>
      </c>
      <c r="G83" s="179">
        <f>Hoja6!N40</f>
        <v>0</v>
      </c>
      <c r="H83" s="179">
        <f>Hoja6!R40</f>
        <v>0</v>
      </c>
      <c r="I83" s="179">
        <f>Hoja6!V40</f>
        <v>0</v>
      </c>
      <c r="J83" s="179">
        <f>Hoja6!Z40</f>
        <v>0</v>
      </c>
      <c r="K83" s="179">
        <f>Hoja6!AD40</f>
        <v>0</v>
      </c>
      <c r="L83" s="179">
        <f>Hoja6!AH40</f>
        <v>0</v>
      </c>
      <c r="M83" s="179">
        <f>Hoja6!AL40</f>
        <v>0</v>
      </c>
      <c r="N83" s="179">
        <f>Hoja6!AP40</f>
        <v>44.237942857142855</v>
      </c>
      <c r="O83" s="179">
        <f>Hoja6!AT40</f>
        <v>130.29242857143001</v>
      </c>
      <c r="P83" s="179">
        <f>Hoja6!AX40</f>
        <v>122.13</v>
      </c>
      <c r="Q83" s="179">
        <f>Hoja6!BB40</f>
        <v>82.028242857142857</v>
      </c>
      <c r="R83" s="179">
        <f>Hoja6!BF40</f>
        <v>74.020042857142855</v>
      </c>
      <c r="S83" s="179">
        <f>Hoja6!BJ40</f>
        <v>75.947942857142877</v>
      </c>
      <c r="T83" s="179">
        <f>Hoja6!BN40</f>
        <v>79.689442857142865</v>
      </c>
      <c r="U83" s="179">
        <f>Hoja6!BR40</f>
        <v>100.41744285714287</v>
      </c>
      <c r="V83" s="179">
        <f>Hoja6!BV40</f>
        <v>83.362942857142869</v>
      </c>
      <c r="W83" s="179">
        <f>Hoja6!BZ40</f>
        <v>81.138442857142863</v>
      </c>
      <c r="X83" s="179">
        <f>Hoja6!CD40</f>
        <v>73.723442857142857</v>
      </c>
      <c r="Y83" s="179">
        <f>Hoja6!CH40</f>
        <v>93.595642857142863</v>
      </c>
      <c r="Z83" s="179">
        <f>Hoja6!CL40</f>
        <v>120.53174285714287</v>
      </c>
      <c r="AA83" s="179">
        <f>Hoja6!CP40</f>
        <v>108.87054285714287</v>
      </c>
      <c r="AB83" s="179">
        <f>Hoja6!CT40</f>
        <v>121.81228571428572</v>
      </c>
      <c r="AC83" s="179">
        <f>Hoja6!CX40</f>
        <v>114.14478571428572</v>
      </c>
      <c r="AD83" s="179">
        <f>Hoja6!DB40</f>
        <v>103.37478571428571</v>
      </c>
      <c r="AE83" s="179">
        <f>Hoja6!DF40</f>
        <v>120.42728571428572</v>
      </c>
      <c r="AF83" s="179">
        <f>Hoja6!DJ40</f>
        <v>153.63478571428573</v>
      </c>
      <c r="AG83" s="179">
        <f>Hoja6!DN40</f>
        <v>117.73478571428572</v>
      </c>
      <c r="AH83" s="179">
        <f>Hoja6!DR40</f>
        <v>117.73478571428572</v>
      </c>
      <c r="AI83" s="179">
        <f>Hoja6!DV40</f>
        <v>114.1447857142857</v>
      </c>
      <c r="AJ83" s="179">
        <f>Hoja6!DZ40</f>
        <v>125.11928571428572</v>
      </c>
      <c r="AK83" s="179">
        <f>Hoja6!ED40</f>
        <v>148.42928571428573</v>
      </c>
      <c r="AL83" s="179">
        <f>Hoja6!EH40</f>
        <v>108.04178571428571</v>
      </c>
      <c r="AM83" s="179">
        <f>Hoja6!EL40</f>
        <v>144.83928571428572</v>
      </c>
      <c r="AN83" s="179">
        <f>Hoja6!EP40</f>
        <v>127.05392857142857</v>
      </c>
      <c r="AO83" s="179">
        <f>Hoja6!ET40</f>
        <v>136.02892857142857</v>
      </c>
      <c r="AP83" s="179">
        <f>Hoja6!EX40</f>
        <v>158.57714285714286</v>
      </c>
      <c r="AQ83" s="179">
        <f>Hoja6!FB40</f>
        <v>188.40685714285712</v>
      </c>
      <c r="AR83" s="179">
        <f>Hoja6!FF40</f>
        <v>280.5696857142857</v>
      </c>
      <c r="AS83" s="179">
        <f>Hoja6!FJ40</f>
        <v>244.56328571428571</v>
      </c>
      <c r="AT83" s="179">
        <f>Hoja6!FN40</f>
        <v>843.50000000000034</v>
      </c>
    </row>
    <row r="85" spans="1:46">
      <c r="A85" s="51">
        <f>SUM(A47:A84)</f>
        <v>3894.6240000000025</v>
      </c>
      <c r="B85" s="187">
        <f>SUM(B47:B84)</f>
        <v>135.09928335714301</v>
      </c>
      <c r="C85" s="177" t="s">
        <v>340</v>
      </c>
      <c r="AC85" s="51">
        <f>SUM(D83:AN83)</f>
        <v>2886.4781000000016</v>
      </c>
    </row>
  </sheetData>
  <mergeCells count="1">
    <mergeCell ref="C44:AT44"/>
  </mergeCells>
  <conditionalFormatting sqref="D47:D81">
    <cfRule type="cellIs" dxfId="221" priority="221" operator="notEqual">
      <formula>#REF!</formula>
    </cfRule>
    <cfRule type="cellIs" dxfId="220" priority="222" operator="equal">
      <formula>"a"</formula>
    </cfRule>
    <cfRule type="cellIs" dxfId="219" priority="223" operator="equal">
      <formula>"r"</formula>
    </cfRule>
    <cfRule type="cellIs" dxfId="218" priority="224" operator="equal">
      <formula>"""a"""</formula>
    </cfRule>
  </conditionalFormatting>
  <conditionalFormatting sqref="D47:D81">
    <cfRule type="cellIs" dxfId="217" priority="217" operator="notEqual">
      <formula>#REF!</formula>
    </cfRule>
    <cfRule type="cellIs" dxfId="216" priority="218" operator="equal">
      <formula>"a"</formula>
    </cfRule>
    <cfRule type="cellIs" dxfId="215" priority="219" operator="equal">
      <formula>"r"</formula>
    </cfRule>
    <cfRule type="cellIs" dxfId="214" priority="220" operator="equal">
      <formula>"""a"""</formula>
    </cfRule>
  </conditionalFormatting>
  <conditionalFormatting sqref="E47:E82">
    <cfRule type="cellIs" dxfId="213" priority="213" operator="notEqual">
      <formula>#REF!</formula>
    </cfRule>
    <cfRule type="cellIs" dxfId="212" priority="214" operator="equal">
      <formula>"a"</formula>
    </cfRule>
    <cfRule type="cellIs" dxfId="211" priority="215" operator="equal">
      <formula>"r"</formula>
    </cfRule>
    <cfRule type="cellIs" dxfId="210" priority="216" operator="equal">
      <formula>"""a"""</formula>
    </cfRule>
  </conditionalFormatting>
  <conditionalFormatting sqref="E47:E82">
    <cfRule type="cellIs" dxfId="209" priority="209" operator="notEqual">
      <formula>#REF!</formula>
    </cfRule>
    <cfRule type="cellIs" dxfId="208" priority="210" operator="equal">
      <formula>"a"</formula>
    </cfRule>
    <cfRule type="cellIs" dxfId="207" priority="211" operator="equal">
      <formula>"r"</formula>
    </cfRule>
    <cfRule type="cellIs" dxfId="206" priority="212" operator="equal">
      <formula>"""a"""</formula>
    </cfRule>
  </conditionalFormatting>
  <conditionalFormatting sqref="F47:F82">
    <cfRule type="cellIs" dxfId="205" priority="205" operator="notEqual">
      <formula>#REF!</formula>
    </cfRule>
    <cfRule type="cellIs" dxfId="204" priority="206" operator="equal">
      <formula>"a"</formula>
    </cfRule>
    <cfRule type="cellIs" dxfId="203" priority="207" operator="equal">
      <formula>"r"</formula>
    </cfRule>
    <cfRule type="cellIs" dxfId="202" priority="208" operator="equal">
      <formula>"""a"""</formula>
    </cfRule>
  </conditionalFormatting>
  <conditionalFormatting sqref="F47:F82">
    <cfRule type="cellIs" dxfId="201" priority="201" operator="notEqual">
      <formula>#REF!</formula>
    </cfRule>
    <cfRule type="cellIs" dxfId="200" priority="202" operator="equal">
      <formula>"a"</formula>
    </cfRule>
    <cfRule type="cellIs" dxfId="199" priority="203" operator="equal">
      <formula>"r"</formula>
    </cfRule>
    <cfRule type="cellIs" dxfId="198" priority="204" operator="equal">
      <formula>"""a"""</formula>
    </cfRule>
  </conditionalFormatting>
  <conditionalFormatting sqref="G47:G81">
    <cfRule type="cellIs" dxfId="197" priority="197" operator="notEqual">
      <formula>#REF!</formula>
    </cfRule>
    <cfRule type="cellIs" dxfId="196" priority="198" operator="equal">
      <formula>"a"</formula>
    </cfRule>
    <cfRule type="cellIs" dxfId="195" priority="199" operator="equal">
      <formula>"r"</formula>
    </cfRule>
    <cfRule type="cellIs" dxfId="194" priority="200" operator="equal">
      <formula>"""a"""</formula>
    </cfRule>
  </conditionalFormatting>
  <conditionalFormatting sqref="G47:G81">
    <cfRule type="cellIs" dxfId="193" priority="193" operator="notEqual">
      <formula>#REF!</formula>
    </cfRule>
    <cfRule type="cellIs" dxfId="192" priority="194" operator="equal">
      <formula>"a"</formula>
    </cfRule>
    <cfRule type="cellIs" dxfId="191" priority="195" operator="equal">
      <formula>"r"</formula>
    </cfRule>
    <cfRule type="cellIs" dxfId="190" priority="196" operator="equal">
      <formula>"""a"""</formula>
    </cfRule>
  </conditionalFormatting>
  <conditionalFormatting sqref="H47:H81">
    <cfRule type="cellIs" dxfId="189" priority="189" operator="notEqual">
      <formula>#REF!</formula>
    </cfRule>
    <cfRule type="cellIs" dxfId="188" priority="190" operator="equal">
      <formula>"a"</formula>
    </cfRule>
    <cfRule type="cellIs" dxfId="187" priority="191" operator="equal">
      <formula>"r"</formula>
    </cfRule>
    <cfRule type="cellIs" dxfId="186" priority="192" operator="equal">
      <formula>"""a"""</formula>
    </cfRule>
  </conditionalFormatting>
  <conditionalFormatting sqref="H47:H81">
    <cfRule type="cellIs" dxfId="185" priority="185" operator="notEqual">
      <formula>#REF!</formula>
    </cfRule>
    <cfRule type="cellIs" dxfId="184" priority="186" operator="equal">
      <formula>"a"</formula>
    </cfRule>
    <cfRule type="cellIs" dxfId="183" priority="187" operator="equal">
      <formula>"r"</formula>
    </cfRule>
    <cfRule type="cellIs" dxfId="182" priority="188" operator="equal">
      <formula>"""a"""</formula>
    </cfRule>
  </conditionalFormatting>
  <conditionalFormatting sqref="I47:I81">
    <cfRule type="cellIs" dxfId="181" priority="181" operator="notEqual">
      <formula>#REF!</formula>
    </cfRule>
    <cfRule type="cellIs" dxfId="180" priority="182" operator="equal">
      <formula>"a"</formula>
    </cfRule>
    <cfRule type="cellIs" dxfId="179" priority="183" operator="equal">
      <formula>"r"</formula>
    </cfRule>
    <cfRule type="cellIs" dxfId="178" priority="184" operator="equal">
      <formula>"""a"""</formula>
    </cfRule>
  </conditionalFormatting>
  <conditionalFormatting sqref="I47:I81">
    <cfRule type="cellIs" dxfId="177" priority="177" operator="notEqual">
      <formula>#REF!</formula>
    </cfRule>
    <cfRule type="cellIs" dxfId="176" priority="178" operator="equal">
      <formula>"a"</formula>
    </cfRule>
    <cfRule type="cellIs" dxfId="175" priority="179" operator="equal">
      <formula>"r"</formula>
    </cfRule>
    <cfRule type="cellIs" dxfId="174" priority="180" operator="equal">
      <formula>"""a"""</formula>
    </cfRule>
  </conditionalFormatting>
  <conditionalFormatting sqref="J47:J81">
    <cfRule type="cellIs" dxfId="173" priority="173" operator="notEqual">
      <formula>#REF!</formula>
    </cfRule>
    <cfRule type="cellIs" dxfId="172" priority="174" operator="equal">
      <formula>"a"</formula>
    </cfRule>
    <cfRule type="cellIs" dxfId="171" priority="175" operator="equal">
      <formula>"r"</formula>
    </cfRule>
    <cfRule type="cellIs" dxfId="170" priority="176" operator="equal">
      <formula>"""a"""</formula>
    </cfRule>
  </conditionalFormatting>
  <conditionalFormatting sqref="J47:J81">
    <cfRule type="cellIs" dxfId="169" priority="169" operator="notEqual">
      <formula>#REF!</formula>
    </cfRule>
    <cfRule type="cellIs" dxfId="168" priority="170" operator="equal">
      <formula>"a"</formula>
    </cfRule>
    <cfRule type="cellIs" dxfId="167" priority="171" operator="equal">
      <formula>"r"</formula>
    </cfRule>
    <cfRule type="cellIs" dxfId="166" priority="172" operator="equal">
      <formula>"""a"""</formula>
    </cfRule>
  </conditionalFormatting>
  <conditionalFormatting sqref="K47:K81">
    <cfRule type="cellIs" dxfId="165" priority="165" operator="notEqual">
      <formula>#REF!</formula>
    </cfRule>
    <cfRule type="cellIs" dxfId="164" priority="166" operator="equal">
      <formula>"a"</formula>
    </cfRule>
    <cfRule type="cellIs" dxfId="163" priority="167" operator="equal">
      <formula>"r"</formula>
    </cfRule>
    <cfRule type="cellIs" dxfId="162" priority="168" operator="equal">
      <formula>"""a"""</formula>
    </cfRule>
  </conditionalFormatting>
  <conditionalFormatting sqref="K47:K81">
    <cfRule type="cellIs" dxfId="161" priority="161" operator="notEqual">
      <formula>#REF!</formula>
    </cfRule>
    <cfRule type="cellIs" dxfId="160" priority="162" operator="equal">
      <formula>"a"</formula>
    </cfRule>
    <cfRule type="cellIs" dxfId="159" priority="163" operator="equal">
      <formula>"r"</formula>
    </cfRule>
    <cfRule type="cellIs" dxfId="158" priority="164" operator="equal">
      <formula>"""a"""</formula>
    </cfRule>
  </conditionalFormatting>
  <conditionalFormatting sqref="L47:L81">
    <cfRule type="cellIs" dxfId="157" priority="157" operator="notEqual">
      <formula>#REF!</formula>
    </cfRule>
    <cfRule type="cellIs" dxfId="156" priority="158" operator="equal">
      <formula>"a"</formula>
    </cfRule>
    <cfRule type="cellIs" dxfId="155" priority="159" operator="equal">
      <formula>"r"</formula>
    </cfRule>
    <cfRule type="cellIs" dxfId="154" priority="160" operator="equal">
      <formula>"""a"""</formula>
    </cfRule>
  </conditionalFormatting>
  <conditionalFormatting sqref="L47:L81">
    <cfRule type="cellIs" dxfId="153" priority="153" operator="notEqual">
      <formula>#REF!</formula>
    </cfRule>
    <cfRule type="cellIs" dxfId="152" priority="154" operator="equal">
      <formula>"a"</formula>
    </cfRule>
    <cfRule type="cellIs" dxfId="151" priority="155" operator="equal">
      <formula>"r"</formula>
    </cfRule>
    <cfRule type="cellIs" dxfId="150" priority="156" operator="equal">
      <formula>"""a"""</formula>
    </cfRule>
  </conditionalFormatting>
  <conditionalFormatting sqref="M47:M81">
    <cfRule type="cellIs" dxfId="149" priority="149" operator="notEqual">
      <formula>#REF!</formula>
    </cfRule>
    <cfRule type="cellIs" dxfId="148" priority="150" operator="equal">
      <formula>"a"</formula>
    </cfRule>
    <cfRule type="cellIs" dxfId="147" priority="151" operator="equal">
      <formula>"r"</formula>
    </cfRule>
    <cfRule type="cellIs" dxfId="146" priority="152" operator="equal">
      <formula>"""a"""</formula>
    </cfRule>
  </conditionalFormatting>
  <conditionalFormatting sqref="M47:M81">
    <cfRule type="cellIs" dxfId="145" priority="145" operator="notEqual">
      <formula>#REF!</formula>
    </cfRule>
    <cfRule type="cellIs" dxfId="144" priority="146" operator="equal">
      <formula>"a"</formula>
    </cfRule>
    <cfRule type="cellIs" dxfId="143" priority="147" operator="equal">
      <formula>"r"</formula>
    </cfRule>
    <cfRule type="cellIs" dxfId="142" priority="148" operator="equal">
      <formula>"""a"""</formula>
    </cfRule>
  </conditionalFormatting>
  <conditionalFormatting sqref="N47:N81">
    <cfRule type="cellIs" dxfId="141" priority="141" operator="notEqual">
      <formula>#REF!</formula>
    </cfRule>
    <cfRule type="cellIs" dxfId="140" priority="142" operator="equal">
      <formula>"a"</formula>
    </cfRule>
    <cfRule type="cellIs" dxfId="139" priority="143" operator="equal">
      <formula>"r"</formula>
    </cfRule>
    <cfRule type="cellIs" dxfId="138" priority="144" operator="equal">
      <formula>"""a"""</formula>
    </cfRule>
  </conditionalFormatting>
  <conditionalFormatting sqref="N47:N81">
    <cfRule type="cellIs" dxfId="137" priority="137" operator="notEqual">
      <formula>#REF!</formula>
    </cfRule>
    <cfRule type="cellIs" dxfId="136" priority="138" operator="equal">
      <formula>"a"</formula>
    </cfRule>
    <cfRule type="cellIs" dxfId="135" priority="139" operator="equal">
      <formula>"r"</formula>
    </cfRule>
    <cfRule type="cellIs" dxfId="134" priority="140" operator="equal">
      <formula>"""a"""</formula>
    </cfRule>
  </conditionalFormatting>
  <conditionalFormatting sqref="O47:O81">
    <cfRule type="cellIs" dxfId="133" priority="133" operator="notEqual">
      <formula>#REF!</formula>
    </cfRule>
    <cfRule type="cellIs" dxfId="132" priority="134" operator="equal">
      <formula>"a"</formula>
    </cfRule>
    <cfRule type="cellIs" dxfId="131" priority="135" operator="equal">
      <formula>"r"</formula>
    </cfRule>
    <cfRule type="cellIs" dxfId="130" priority="136" operator="equal">
      <formula>"""a"""</formula>
    </cfRule>
  </conditionalFormatting>
  <conditionalFormatting sqref="O47:O81">
    <cfRule type="cellIs" dxfId="129" priority="129" operator="notEqual">
      <formula>#REF!</formula>
    </cfRule>
    <cfRule type="cellIs" dxfId="128" priority="130" operator="equal">
      <formula>"a"</formula>
    </cfRule>
    <cfRule type="cellIs" dxfId="127" priority="131" operator="equal">
      <formula>"r"</formula>
    </cfRule>
    <cfRule type="cellIs" dxfId="126" priority="132" operator="equal">
      <formula>"""a"""</formula>
    </cfRule>
  </conditionalFormatting>
  <conditionalFormatting sqref="P47:AA81">
    <cfRule type="cellIs" dxfId="125" priority="39" operator="notEqual">
      <formula>$P$47</formula>
    </cfRule>
    <cfRule type="cellIs" dxfId="124" priority="40" operator="equal">
      <formula>$P$47</formula>
    </cfRule>
  </conditionalFormatting>
  <conditionalFormatting sqref="AB47:AB81">
    <cfRule type="cellIs" dxfId="123" priority="37" operator="notEqual">
      <formula>$P$47</formula>
    </cfRule>
    <cfRule type="cellIs" dxfId="122" priority="38" operator="equal">
      <formula>$P$47</formula>
    </cfRule>
  </conditionalFormatting>
  <conditionalFormatting sqref="AC47:AC81">
    <cfRule type="cellIs" dxfId="121" priority="35" operator="notEqual">
      <formula>$P$47</formula>
    </cfRule>
    <cfRule type="cellIs" dxfId="120" priority="36" operator="equal">
      <formula>$P$47</formula>
    </cfRule>
  </conditionalFormatting>
  <conditionalFormatting sqref="AD47:AD81">
    <cfRule type="cellIs" dxfId="119" priority="33" operator="notEqual">
      <formula>$P$47</formula>
    </cfRule>
    <cfRule type="cellIs" dxfId="118" priority="34" operator="equal">
      <formula>$P$47</formula>
    </cfRule>
  </conditionalFormatting>
  <conditionalFormatting sqref="AE47:AE81 AF47">
    <cfRule type="cellIs" dxfId="117" priority="31" operator="notEqual">
      <formula>$P$47</formula>
    </cfRule>
    <cfRule type="cellIs" dxfId="116" priority="32" operator="equal">
      <formula>$P$47</formula>
    </cfRule>
  </conditionalFormatting>
  <conditionalFormatting sqref="AF48:AF81">
    <cfRule type="cellIs" dxfId="115" priority="29" operator="notEqual">
      <formula>$P$47</formula>
    </cfRule>
    <cfRule type="cellIs" dxfId="114" priority="30" operator="equal">
      <formula>$P$47</formula>
    </cfRule>
  </conditionalFormatting>
  <conditionalFormatting sqref="AG47:AG81">
    <cfRule type="cellIs" dxfId="113" priority="27" operator="notEqual">
      <formula>$P$47</formula>
    </cfRule>
    <cfRule type="cellIs" dxfId="112" priority="28" operator="equal">
      <formula>$P$47</formula>
    </cfRule>
  </conditionalFormatting>
  <conditionalFormatting sqref="AH47:AH81">
    <cfRule type="cellIs" dxfId="111" priority="25" operator="notEqual">
      <formula>$P$47</formula>
    </cfRule>
    <cfRule type="cellIs" dxfId="110" priority="26" operator="equal">
      <formula>$P$47</formula>
    </cfRule>
  </conditionalFormatting>
  <conditionalFormatting sqref="AI47:AI81">
    <cfRule type="cellIs" dxfId="109" priority="23" operator="notEqual">
      <formula>$P$47</formula>
    </cfRule>
    <cfRule type="cellIs" dxfId="108" priority="24" operator="equal">
      <formula>$P$47</formula>
    </cfRule>
  </conditionalFormatting>
  <conditionalFormatting sqref="AJ47:AJ81">
    <cfRule type="cellIs" dxfId="107" priority="21" operator="notEqual">
      <formula>$P$47</formula>
    </cfRule>
    <cfRule type="cellIs" dxfId="106" priority="22" operator="equal">
      <formula>$P$47</formula>
    </cfRule>
  </conditionalFormatting>
  <conditionalFormatting sqref="AK47:AK81">
    <cfRule type="cellIs" dxfId="105" priority="19" operator="notEqual">
      <formula>$P$47</formula>
    </cfRule>
    <cfRule type="cellIs" dxfId="104" priority="20" operator="equal">
      <formula>$P$47</formula>
    </cfRule>
  </conditionalFormatting>
  <conditionalFormatting sqref="AL47:AL81">
    <cfRule type="cellIs" dxfId="103" priority="17" operator="notEqual">
      <formula>$P$47</formula>
    </cfRule>
    <cfRule type="cellIs" dxfId="102" priority="18" operator="equal">
      <formula>$P$47</formula>
    </cfRule>
  </conditionalFormatting>
  <conditionalFormatting sqref="AM47:AM81">
    <cfRule type="cellIs" dxfId="101" priority="15" operator="notEqual">
      <formula>$P$47</formula>
    </cfRule>
    <cfRule type="cellIs" dxfId="100" priority="16" operator="equal">
      <formula>$P$47</formula>
    </cfRule>
  </conditionalFormatting>
  <conditionalFormatting sqref="AN47:AN81">
    <cfRule type="cellIs" dxfId="99" priority="13" operator="notEqual">
      <formula>$P$47</formula>
    </cfRule>
    <cfRule type="cellIs" dxfId="98" priority="14" operator="equal">
      <formula>$P$47</formula>
    </cfRule>
  </conditionalFormatting>
  <conditionalFormatting sqref="AO47:AO81">
    <cfRule type="cellIs" dxfId="97" priority="11" operator="notEqual">
      <formula>$P$47</formula>
    </cfRule>
    <cfRule type="cellIs" dxfId="96" priority="12" operator="equal">
      <formula>$P$47</formula>
    </cfRule>
  </conditionalFormatting>
  <conditionalFormatting sqref="AP47:AP81">
    <cfRule type="cellIs" dxfId="95" priority="9" operator="notEqual">
      <formula>$P$47</formula>
    </cfRule>
    <cfRule type="cellIs" dxfId="94" priority="10" operator="equal">
      <formula>$P$47</formula>
    </cfRule>
  </conditionalFormatting>
  <conditionalFormatting sqref="AQ47:AQ81">
    <cfRule type="cellIs" dxfId="93" priority="7" operator="notEqual">
      <formula>$P$47</formula>
    </cfRule>
    <cfRule type="cellIs" dxfId="92" priority="8" operator="equal">
      <formula>$P$47</formula>
    </cfRule>
  </conditionalFormatting>
  <conditionalFormatting sqref="AR47:AR81">
    <cfRule type="cellIs" dxfId="91" priority="5" operator="notEqual">
      <formula>$P$47</formula>
    </cfRule>
    <cfRule type="cellIs" dxfId="90" priority="6" operator="equal">
      <formula>$P$47</formula>
    </cfRule>
  </conditionalFormatting>
  <conditionalFormatting sqref="AS47:AS81">
    <cfRule type="cellIs" dxfId="89" priority="3" operator="notEqual">
      <formula>$P$47</formula>
    </cfRule>
    <cfRule type="cellIs" dxfId="88" priority="4" operator="equal">
      <formula>$P$47</formula>
    </cfRule>
  </conditionalFormatting>
  <conditionalFormatting sqref="AT47:AT81">
    <cfRule type="cellIs" dxfId="1" priority="1" operator="notEqual">
      <formula>$P$47</formula>
    </cfRule>
    <cfRule type="cellIs" dxfId="0" priority="2" operator="equal">
      <formula>$P$47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H161"/>
  <sheetViews>
    <sheetView workbookViewId="0">
      <pane xSplit="2" ySplit="1" topLeftCell="BQ2" activePane="bottomRight" state="frozen"/>
      <selection pane="topRight" activeCell="C1" sqref="C1"/>
      <selection pane="bottomLeft" activeCell="A2" sqref="A2"/>
      <selection pane="bottomRight" activeCell="BT2" sqref="BT2:BT36"/>
    </sheetView>
  </sheetViews>
  <sheetFormatPr baseColWidth="10" defaultRowHeight="15"/>
  <cols>
    <col min="1" max="1" width="19.85546875" customWidth="1"/>
    <col min="2" max="2" width="34.5703125" customWidth="1"/>
    <col min="3" max="3" width="12.140625" customWidth="1"/>
    <col min="4" max="22" width="16.85546875" customWidth="1"/>
    <col min="29" max="29" width="14.5703125" customWidth="1"/>
    <col min="30" max="30" width="14.5703125" bestFit="1" customWidth="1"/>
    <col min="31" max="31" width="16.42578125" customWidth="1"/>
    <col min="32" max="32" width="14.140625" customWidth="1"/>
    <col min="39" max="39" width="15.140625" bestFit="1" customWidth="1"/>
    <col min="40" max="40" width="14.5703125" bestFit="1" customWidth="1"/>
    <col min="41" max="41" width="17.140625" customWidth="1"/>
    <col min="43" max="44" width="13.5703125" bestFit="1" customWidth="1"/>
    <col min="48" max="48" width="16.140625" bestFit="1" customWidth="1"/>
    <col min="54" max="54" width="16.140625" bestFit="1" customWidth="1"/>
    <col min="57" max="57" width="14.5703125" customWidth="1"/>
    <col min="64" max="64" width="12.5703125" bestFit="1" customWidth="1"/>
    <col min="65" max="65" width="15.140625" customWidth="1"/>
    <col min="66" max="66" width="13.5703125" bestFit="1" customWidth="1"/>
    <col min="67" max="67" width="13.42578125" customWidth="1"/>
    <col min="69" max="69" width="15.140625" bestFit="1" customWidth="1"/>
    <col min="70" max="70" width="12.5703125" bestFit="1" customWidth="1"/>
    <col min="71" max="71" width="19.140625" customWidth="1"/>
    <col min="72" max="72" width="17.140625" bestFit="1" customWidth="1"/>
    <col min="73" max="73" width="37.140625" bestFit="1" customWidth="1"/>
    <col min="74" max="74" width="30.140625" bestFit="1" customWidth="1"/>
    <col min="75" max="75" width="15" customWidth="1"/>
    <col min="76" max="76" width="15.5703125" bestFit="1" customWidth="1"/>
    <col min="78" max="78" width="78" customWidth="1"/>
    <col min="79" max="79" width="71.140625" bestFit="1" customWidth="1"/>
    <col min="81" max="81" width="13.140625" style="14" customWidth="1"/>
    <col min="83" max="83" width="11.42578125" style="202"/>
  </cols>
  <sheetData>
    <row r="1" spans="1:85">
      <c r="A1" s="20" t="s">
        <v>177</v>
      </c>
      <c r="B1" s="20" t="s">
        <v>178</v>
      </c>
      <c r="C1" s="20" t="s">
        <v>4</v>
      </c>
      <c r="D1" s="20" t="s">
        <v>81</v>
      </c>
      <c r="E1" s="20" t="s">
        <v>111</v>
      </c>
      <c r="F1" s="20" t="s">
        <v>87</v>
      </c>
      <c r="G1" s="20" t="s">
        <v>179</v>
      </c>
      <c r="H1" s="20" t="s">
        <v>91</v>
      </c>
      <c r="I1" s="20" t="s">
        <v>94</v>
      </c>
      <c r="J1" s="20" t="s">
        <v>180</v>
      </c>
      <c r="K1" s="20" t="s">
        <v>99</v>
      </c>
      <c r="L1" s="20" t="s">
        <v>181</v>
      </c>
      <c r="M1" s="20" t="s">
        <v>103</v>
      </c>
      <c r="N1" s="20" t="s">
        <v>107</v>
      </c>
      <c r="O1" s="20" t="s">
        <v>182</v>
      </c>
      <c r="P1" s="20" t="s">
        <v>183</v>
      </c>
      <c r="Q1" s="20" t="s">
        <v>184</v>
      </c>
      <c r="R1" s="20" t="s">
        <v>185</v>
      </c>
      <c r="S1" s="20" t="s">
        <v>118</v>
      </c>
      <c r="T1" s="20" t="s">
        <v>186</v>
      </c>
      <c r="U1" s="20" t="s">
        <v>187</v>
      </c>
      <c r="V1" s="20" t="s">
        <v>89</v>
      </c>
      <c r="W1" s="20" t="s">
        <v>188</v>
      </c>
      <c r="X1" s="20" t="s">
        <v>189</v>
      </c>
      <c r="Y1" s="20" t="s">
        <v>190</v>
      </c>
      <c r="Z1" s="20" t="s">
        <v>191</v>
      </c>
      <c r="AA1" s="20" t="s">
        <v>192</v>
      </c>
      <c r="AB1" s="20" t="s">
        <v>193</v>
      </c>
      <c r="AC1" s="20" t="s">
        <v>14</v>
      </c>
      <c r="AD1" s="20" t="s">
        <v>15</v>
      </c>
      <c r="AE1" s="20" t="s">
        <v>16</v>
      </c>
      <c r="AF1" s="20" t="s">
        <v>194</v>
      </c>
      <c r="AG1" s="20" t="s">
        <v>195</v>
      </c>
      <c r="AH1" s="20" t="s">
        <v>196</v>
      </c>
      <c r="AI1" s="20" t="s">
        <v>197</v>
      </c>
      <c r="AJ1" s="20" t="s">
        <v>198</v>
      </c>
      <c r="AK1" s="20" t="s">
        <v>199</v>
      </c>
      <c r="AL1" s="20" t="s">
        <v>200</v>
      </c>
      <c r="AM1" s="20" t="s">
        <v>201</v>
      </c>
      <c r="AN1" s="20" t="s">
        <v>202</v>
      </c>
      <c r="AO1" s="20" t="s">
        <v>203</v>
      </c>
      <c r="AP1" s="20" t="s">
        <v>204</v>
      </c>
      <c r="AQ1" s="20" t="s">
        <v>205</v>
      </c>
      <c r="AR1" s="20" t="s">
        <v>206</v>
      </c>
      <c r="AS1" s="20" t="s">
        <v>207</v>
      </c>
      <c r="AT1" s="20" t="s">
        <v>208</v>
      </c>
      <c r="AU1" s="20" t="s">
        <v>209</v>
      </c>
      <c r="AV1" s="20" t="s">
        <v>210</v>
      </c>
      <c r="AW1" s="20" t="s">
        <v>211</v>
      </c>
      <c r="AX1" s="20" t="s">
        <v>212</v>
      </c>
      <c r="AY1" s="20" t="s">
        <v>213</v>
      </c>
      <c r="AZ1" s="20" t="s">
        <v>214</v>
      </c>
      <c r="BA1" s="20" t="s">
        <v>215</v>
      </c>
      <c r="BB1" s="20" t="s">
        <v>216</v>
      </c>
      <c r="BC1" s="20" t="s">
        <v>217</v>
      </c>
      <c r="BD1" s="20" t="s">
        <v>218</v>
      </c>
      <c r="BE1" s="20" t="s">
        <v>219</v>
      </c>
      <c r="BF1" s="20" t="s">
        <v>220</v>
      </c>
      <c r="BG1" s="20" t="s">
        <v>221</v>
      </c>
      <c r="BH1" s="20" t="s">
        <v>222</v>
      </c>
      <c r="BI1" s="20" t="s">
        <v>223</v>
      </c>
      <c r="BJ1" s="20" t="s">
        <v>224</v>
      </c>
      <c r="BK1" s="20" t="s">
        <v>225</v>
      </c>
      <c r="BL1" s="20" t="s">
        <v>226</v>
      </c>
      <c r="BM1" s="20" t="s">
        <v>227</v>
      </c>
      <c r="BN1" s="20" t="s">
        <v>228</v>
      </c>
      <c r="BO1" s="20" t="s">
        <v>229</v>
      </c>
      <c r="BP1" s="20" t="s">
        <v>230</v>
      </c>
      <c r="BQ1" s="20" t="s">
        <v>231</v>
      </c>
      <c r="BR1" s="20" t="s">
        <v>232</v>
      </c>
      <c r="BS1" s="20" t="s">
        <v>136</v>
      </c>
      <c r="BT1" s="20" t="s">
        <v>233</v>
      </c>
      <c r="BU1" s="20" t="s">
        <v>234</v>
      </c>
      <c r="BV1" s="20" t="s">
        <v>79</v>
      </c>
      <c r="BW1" s="20" t="s">
        <v>235</v>
      </c>
      <c r="BX1" s="20" t="s">
        <v>236</v>
      </c>
      <c r="BY1" s="20" t="s">
        <v>237</v>
      </c>
      <c r="BZ1" s="21" t="s">
        <v>238</v>
      </c>
      <c r="CA1" s="20" t="s">
        <v>239</v>
      </c>
      <c r="CB1" s="20" t="s">
        <v>165</v>
      </c>
      <c r="CC1" s="191" t="s">
        <v>376</v>
      </c>
      <c r="CD1" s="20" t="s">
        <v>378</v>
      </c>
      <c r="CE1" s="201" t="s">
        <v>420</v>
      </c>
      <c r="CF1" s="20" t="s">
        <v>562</v>
      </c>
    </row>
    <row r="2" spans="1:85" ht="18" customHeight="1">
      <c r="A2" s="22" t="s">
        <v>12</v>
      </c>
      <c r="B2" s="23" t="str">
        <f>IFERROR(VLOOKUP(A2,PROPIETARIOS!A3:D39,3),"")</f>
        <v>JOSE DAVID APONTE</v>
      </c>
      <c r="C2" s="24">
        <v>2.74</v>
      </c>
      <c r="D2" s="25">
        <f>SUMIFS(EGRESOS!$C$4:$C$593,EGRESOS!$A$4:$A$593,D$1,EGRESOS!$E$4:$E$593,GASTOS!A58)</f>
        <v>180</v>
      </c>
      <c r="E2" s="25">
        <f>SUMIFS(EGRESOS!$C$4:$C$593,EGRESOS!$A$4:$A$593,E$1,EGRESOS!$E$4:$E$593,GASTOS!A58)</f>
        <v>-85</v>
      </c>
      <c r="F2" s="25">
        <f>SUMIFS(EGRESOS!$C$4:$C$593,EGRESOS!$A$4:$A$593,F$1,EGRESOS!$E$4:$E$593,GASTOS!A58)</f>
        <v>95</v>
      </c>
      <c r="G2" s="25">
        <f>SUMIFS(EGRESOS!$C$4:$C$593,EGRESOS!$A$4:$A$593,G$1,EGRESOS!$E$4:$E$593,GASTOS!A58)</f>
        <v>0</v>
      </c>
      <c r="H2" s="25">
        <f>SUMIFS(EGRESOS!$C$4:$C$593,EGRESOS!$A$4:$A$593,H$1,EGRESOS!$E$4:$E$593,GASTOS!A58)</f>
        <v>160</v>
      </c>
      <c r="I2" s="25">
        <f>SUMIFS(EGRESOS!$C$4:$C$593,EGRESOS!$A$4:$A$593,I$1,EGRESOS!$E$4:$E$593,GASTOS!A58)</f>
        <v>95</v>
      </c>
      <c r="J2" s="25">
        <f>SUMIFS(EGRESOS!$C$4:$C$593,EGRESOS!$A$4:$A$593,J$1,EGRESOS!$E$4:$E$593,GASTOS!A58)</f>
        <v>0</v>
      </c>
      <c r="K2" s="25">
        <f>SUMIFS(EGRESOS!$C$4:$C$593,EGRESOS!$A$4:$A$593,K$1,EGRESOS!$E$4:$E$593,GASTOS!A58)</f>
        <v>15</v>
      </c>
      <c r="L2" s="25">
        <f>SUMIFS(EGRESOS!$C$4:$C$593,EGRESOS!$A$4:$A$593,L$1,EGRESOS!$E$4:$E$593,GASTOS!A58)</f>
        <v>0</v>
      </c>
      <c r="M2" s="25">
        <f>SUMIFS(EGRESOS!$C$4:$C$593,EGRESOS!$A$4:$A$593,M$1,EGRESOS!$E$4:$E$593,GASTOS!A58)</f>
        <v>40</v>
      </c>
      <c r="N2" s="25">
        <f>SUMIFS(EGRESOS!$C$4:$C$593,EGRESOS!$A$4:$A$593,N$1,EGRESOS!$E$4:$E$593,GASTOS!A58)</f>
        <v>20</v>
      </c>
      <c r="O2" s="25">
        <f>SUMIFS(EGRESOS!$C$4:$C$593,EGRESOS!$A$4:$A$593,O$1,EGRESOS!$E$4:$E$593,GASTOS!A58)</f>
        <v>0</v>
      </c>
      <c r="P2" s="25">
        <f>SUMIFS(EGRESOS!$C$4:$C$593,EGRESOS!$A$4:$A$593,P$1,EGRESOS!$E$4:$E$593,GASTOS!A58)</f>
        <v>0</v>
      </c>
      <c r="Q2" s="25">
        <f>SUMIFS(EGRESOS!$C$4:$C$593,EGRESOS!$A$4:$A$593,Q$1,EGRESOS!$E$4:$E$593,GASTOS!A58)</f>
        <v>0</v>
      </c>
      <c r="R2" s="25">
        <f>SUMIFS(EGRESOS!$C$4:$C$593,EGRESOS!$A$4:$A$593,R$1,EGRESOS!$E$4:$E$593,GASTOS!A58)</f>
        <v>0</v>
      </c>
      <c r="S2" s="25">
        <f>SUMIFS(EGRESOS!$C$4:$C$593,EGRESOS!$A$4:$A$593,S$1,EGRESOS!$E$4:$E$593,GASTOS!A58)</f>
        <v>0</v>
      </c>
      <c r="T2" s="25">
        <f>SUMIFS(EGRESOS!$C$4:$C$593,EGRESOS!$A$4:$A$593,T$1,EGRESOS!$E$4:$E$593,GASTOS!A58)</f>
        <v>0</v>
      </c>
      <c r="U2" s="25">
        <f>SUMIFS(EGRESOS!$C$4:$C$593,EGRESOS!$A$4:$A$593,U$1,EGRESOS!$E$4:$E$593,GASTOS!A58)</f>
        <v>0</v>
      </c>
      <c r="V2" s="25">
        <f>SUMIFS(EGRESOS!$C$4:$C$593,EGRESOS!$A$4:$A$593,V$1,EGRESOS!$E$4:$E$593,GASTOS!A58)</f>
        <v>15</v>
      </c>
      <c r="W2" s="25">
        <f>SUMIFS(EGRESOS!$C$4:$C$593,EGRESOS!$A$4:$A$593,W$1,EGRESOS!$E$4:$E$593,GASTOS!A58)</f>
        <v>0</v>
      </c>
      <c r="X2" s="25">
        <f>SUMIFS(EGRESOS!$C$4:$C$593,EGRESOS!$A$4:$A$593,X$1,EGRESOS!$E$4:$E$593,GASTOS!A58)</f>
        <v>0</v>
      </c>
      <c r="Y2" s="25">
        <f>SUMIFS(EGRESOS!$C$4:$C$593,EGRESOS!$A$4:$A$593,Y$1,EGRESOS!$E$4:$E$593,GASTOS!A58)</f>
        <v>0</v>
      </c>
      <c r="Z2" s="25">
        <f>SUMIFS(EGRESOS!$C$4:$C$593,EGRESOS!$A$4:$A$593,Z$1,EGRESOS!$E$4:$E$593,GASTOS!A58)</f>
        <v>0</v>
      </c>
      <c r="AA2" s="25">
        <f>SUMIFS(EGRESOS!$C$4:$C$593,EGRESOS!$A$4:$A$593,AA$1,EGRESOS!$E$4:$E$593,GASTOS!A58)</f>
        <v>0</v>
      </c>
      <c r="AB2" s="25">
        <f>SUMIFS(EGRESOS!$C$4:$C$593,EGRESOS!$A$4:$A$593,AB$1,EGRESOS!$E$4:$E$593,GASTOS!A58)</f>
        <v>0</v>
      </c>
      <c r="AC2" s="25">
        <f>IF(PROPIETARIOS!E4&lt;&gt;"",SUMIFS(EGRESOS!$C$4:$C$593,EGRESOS!$A$4:$A$593,AC$1,EGRESOS!$E$4:$E$593,GASTOS!A58),0)</f>
        <v>76.5</v>
      </c>
      <c r="AD2" s="32">
        <f>IF(PROPIETARIOS!F4&lt;&gt;"",SUMIFS(EGRESOS!$C$4:$C$593,EGRESOS!$A$4:$A$593,AD$1,EGRESOS!$E$4:$E$593,GASTOS!A58),0)</f>
        <v>0</v>
      </c>
      <c r="AE2" s="25">
        <f>SUMIFS(EGRESOS!$C$4:$C$593,EGRESOS!$A$4:$A$593,AE$1,EGRESOS!$E$4:$E$593,GASTOS!$A$58)</f>
        <v>230</v>
      </c>
      <c r="AF2" s="25">
        <f>IF(PROPIETARIOS!H4&lt;&gt;"",SUMIFS(EGRESOS!$C$4:$C$593,EGRESOS!$A$4:$A$593,AF$1,EGRESOS!$E$4:$E$593,GASTOS!A58),0)</f>
        <v>0</v>
      </c>
      <c r="AG2" s="25">
        <f>IF(PROPIETARIOS!I4&lt;&gt;"",SUMIFS(EGRESOS!$C$4:$C$593,EGRESOS!$A$4:$A$593,AG$1,EGRESOS!$E$4:$E$593,GASTOS!A58),0)</f>
        <v>0</v>
      </c>
      <c r="AH2" s="25">
        <f>IF(PROPIETARIOS!J4&lt;&gt;"",SUMIFS(EGRESOS!$C$4:$C$593,EGRESOS!$A$4:$A$593,AH$1,EGRESOS!$E$4:$E$593,GASTOS!A58),0)</f>
        <v>0</v>
      </c>
      <c r="AI2" s="25">
        <f>IF(PROPIETARIOS!K4&lt;&gt;"",SUMIFS(EGRESOS!$C$4:$C$593,EGRESOS!$A$4:$A$593,AI$1,EGRESOS!$E$4:$E$593,GASTOS!A58),0)</f>
        <v>0</v>
      </c>
      <c r="AJ2" s="25">
        <f>SUMIFS(EGRESOS!$C$4:$C$593,EGRESOS!$A$4:$A$593,AJ$1,EGRESOS!$E$4:$E$593,GASTOS!A58)</f>
        <v>0</v>
      </c>
      <c r="AK2" s="25">
        <f>SUMIFS(EGRESOS!$C$4:$C$593,EGRESOS!$A$4:$A$593,AK$1,EGRESOS!$E$4:$E$593,GASTOS!A58)</f>
        <v>0</v>
      </c>
      <c r="AL2" s="25">
        <f>SUMIFS(EGRESOS!$C$4:$C$593,EGRESOS!$A$4:$A$593,AL$1,EGRESOS!$E$4:$E$593,GASTOS!A58)</f>
        <v>0</v>
      </c>
      <c r="AM2" s="25">
        <f>D2*$C$2%</f>
        <v>4.9320000000000004</v>
      </c>
      <c r="AN2" s="25">
        <f t="shared" ref="AN2:BK2" si="0">E2*$C$2%</f>
        <v>-2.3290000000000002</v>
      </c>
      <c r="AO2" s="25">
        <f t="shared" si="0"/>
        <v>2.6030000000000002</v>
      </c>
      <c r="AP2" s="25">
        <f t="shared" si="0"/>
        <v>0</v>
      </c>
      <c r="AQ2" s="25">
        <f t="shared" si="0"/>
        <v>4.3840000000000003</v>
      </c>
      <c r="AR2" s="25">
        <f t="shared" si="0"/>
        <v>2.6030000000000002</v>
      </c>
      <c r="AS2" s="25">
        <f t="shared" si="0"/>
        <v>0</v>
      </c>
      <c r="AT2" s="25">
        <f t="shared" si="0"/>
        <v>0.41100000000000003</v>
      </c>
      <c r="AU2" s="25">
        <f t="shared" si="0"/>
        <v>0</v>
      </c>
      <c r="AV2" s="25">
        <f t="shared" si="0"/>
        <v>1.0960000000000001</v>
      </c>
      <c r="AW2" s="25">
        <f t="shared" si="0"/>
        <v>0.54800000000000004</v>
      </c>
      <c r="AX2" s="25">
        <f t="shared" si="0"/>
        <v>0</v>
      </c>
      <c r="AY2" s="25">
        <f t="shared" si="0"/>
        <v>0</v>
      </c>
      <c r="AZ2" s="25">
        <f t="shared" si="0"/>
        <v>0</v>
      </c>
      <c r="BA2" s="25">
        <f t="shared" si="0"/>
        <v>0</v>
      </c>
      <c r="BB2" s="25">
        <f t="shared" si="0"/>
        <v>0</v>
      </c>
      <c r="BC2" s="25">
        <f t="shared" si="0"/>
        <v>0</v>
      </c>
      <c r="BD2" s="25">
        <f t="shared" si="0"/>
        <v>0</v>
      </c>
      <c r="BE2" s="25">
        <f t="shared" si="0"/>
        <v>0.41100000000000003</v>
      </c>
      <c r="BF2" s="25">
        <f t="shared" si="0"/>
        <v>0</v>
      </c>
      <c r="BG2" s="25">
        <f t="shared" si="0"/>
        <v>0</v>
      </c>
      <c r="BH2" s="25">
        <f t="shared" si="0"/>
        <v>0</v>
      </c>
      <c r="BI2" s="25">
        <f t="shared" si="0"/>
        <v>0</v>
      </c>
      <c r="BJ2" s="25">
        <f t="shared" si="0"/>
        <v>0</v>
      </c>
      <c r="BK2" s="25">
        <f t="shared" si="0"/>
        <v>0</v>
      </c>
      <c r="BL2" s="25">
        <f>AC2*$C2%</f>
        <v>2.0960999999999999</v>
      </c>
      <c r="BM2" s="25">
        <f>IFERROR(AD2/COUNTIF(PROPIETARIOS!$F$4:$F$38,"GNC02"),0)</f>
        <v>0</v>
      </c>
      <c r="BN2" s="25">
        <f>IFERROR(AE2/COUNTIF(PROPIETARIOS!$G$4:$G$38,"GNC03"),0)</f>
        <v>6.5714285714285712</v>
      </c>
      <c r="BO2" s="25">
        <f>IFERROR(AF2/COUNTIF(PROPIETARIOS!$H$4:$H$38,"GNC04"),0)</f>
        <v>0</v>
      </c>
      <c r="BP2" s="25">
        <f>IFERROR(AG2/COUNTIF(PROPIETARIOS!$I$4:$I$38,"GNC05"),0)</f>
        <v>0</v>
      </c>
      <c r="BQ2" s="25">
        <v>0</v>
      </c>
      <c r="BR2" s="25">
        <v>0</v>
      </c>
      <c r="BS2" s="203">
        <f t="shared" ref="BS2:BS36" si="1">SUM(D2:AB2)+SUM(AC2:AL2)+BQ2</f>
        <v>841.5</v>
      </c>
      <c r="BT2" s="204">
        <f t="shared" ref="BT2:BT36" si="2">SUM(AM2:BK2)+SUM(BM2:BP2)+BR2+BW2+BL2</f>
        <v>23.326528571428568</v>
      </c>
      <c r="BU2" s="26" t="s">
        <v>491</v>
      </c>
      <c r="BV2" s="34">
        <f t="shared" ref="BV2:BV26" ca="1" si="3">TODAY()-15</f>
        <v>46209</v>
      </c>
      <c r="BW2" s="23">
        <v>0</v>
      </c>
      <c r="BX2" s="36">
        <f>Hoja6!FR4</f>
        <v>0</v>
      </c>
      <c r="BY2" s="23" t="str">
        <f>TEXT(C2,"0,00")</f>
        <v>2,74</v>
      </c>
      <c r="BZ2" s="27" t="s">
        <v>425</v>
      </c>
      <c r="CA2" s="28" t="str">
        <f>convertirnum(Tabla1[[#This Row],[TOTALAL]])</f>
        <v>VEINTITRES CON 33/100 DÓLARES</v>
      </c>
      <c r="CB2" s="28">
        <f>5%*Hoja6!FT4</f>
        <v>0</v>
      </c>
      <c r="CC2" s="192">
        <f>IF(Tabla1[[#This Row],[DEUDA]]&gt;0,Hoja6!HL4,0)</f>
        <v>0</v>
      </c>
      <c r="CD2" s="28">
        <f>Hoja6!HM4</f>
        <v>0</v>
      </c>
      <c r="CE2" s="200">
        <f>IF(Tabla1[[#This Row],[DEUDA]]&gt;0,Hoja6!FT4,0)</f>
        <v>0</v>
      </c>
      <c r="CF2" s="28" t="str">
        <f>"_"&amp;Tabla1[[#This Row],[APTO-LOCAL-OFIC.]]&amp;" "&amp;Tabla1[[#This Row],[PROPIETARIO]]&amp;"-"</f>
        <v>_APTO. 101 JOSE DAVID APONTE-</v>
      </c>
      <c r="CG2" s="218"/>
    </row>
    <row r="3" spans="1:85" ht="18" customHeight="1">
      <c r="A3" s="29" t="s">
        <v>17</v>
      </c>
      <c r="B3" s="30" t="s">
        <v>371</v>
      </c>
      <c r="C3" s="31">
        <v>2.74</v>
      </c>
      <c r="D3" s="32">
        <f>SUMIFS(EGRESOS!$C$4:$C$593,EGRESOS!$A$4:$A$593,D$1,EGRESOS!$E$4:$E$593,GASTOS!A58)</f>
        <v>180</v>
      </c>
      <c r="E3" s="32">
        <f>SUMIFS(EGRESOS!$C$4:$C$593,EGRESOS!$A$4:$A$593,E$1,EGRESOS!$E$4:$E$593,GASTOS!A58)</f>
        <v>-85</v>
      </c>
      <c r="F3" s="32">
        <f>SUMIFS(EGRESOS!$C$4:$C$593,EGRESOS!$A$4:$A$593,F$1,EGRESOS!$E$4:$E$593,GASTOS!A58)</f>
        <v>95</v>
      </c>
      <c r="G3" s="32">
        <f>SUMIFS(EGRESOS!$C$4:$C$593,EGRESOS!$A$4:$A$593,G$1,EGRESOS!$E$4:$E$593,GASTOS!A58)</f>
        <v>0</v>
      </c>
      <c r="H3" s="32">
        <f>SUMIFS(EGRESOS!$C$4:$C$593,EGRESOS!$A$4:$A$593,H$1,EGRESOS!$E$4:$E$593,GASTOS!A58)</f>
        <v>160</v>
      </c>
      <c r="I3" s="32">
        <f>SUMIFS(EGRESOS!$C$4:$C$593,EGRESOS!$A$4:$A$593,I$1,EGRESOS!$E$4:$E$593,GASTOS!A58)</f>
        <v>95</v>
      </c>
      <c r="J3" s="32">
        <f>SUMIFS(EGRESOS!$C$4:$C$593,EGRESOS!$A$4:$A$593,J$1,EGRESOS!$E$4:$E$593,GASTOS!A58)</f>
        <v>0</v>
      </c>
      <c r="K3" s="32">
        <f>SUMIFS(EGRESOS!$C$4:$C$593,EGRESOS!$A$4:$A$593,K$1,EGRESOS!$E$4:$E$593,GASTOS!A58)</f>
        <v>15</v>
      </c>
      <c r="L3" s="32">
        <f>SUMIFS(EGRESOS!$C$4:$C$593,EGRESOS!$A$4:$A$593,L$1,EGRESOS!$E$4:$E$593,GASTOS!A58)</f>
        <v>0</v>
      </c>
      <c r="M3" s="32">
        <f>SUMIFS(EGRESOS!$C$4:$C$593,EGRESOS!$A$4:$A$593,M$1,EGRESOS!$E$4:$E$593,GASTOS!A58)</f>
        <v>40</v>
      </c>
      <c r="N3" s="32">
        <f>SUMIFS(EGRESOS!$C$4:$C$593,EGRESOS!$A$4:$A$593,N$1,EGRESOS!$E$4:$E$593,GASTOS!A58)</f>
        <v>20</v>
      </c>
      <c r="O3" s="32">
        <f>SUMIFS(EGRESOS!$C$4:$C$593,EGRESOS!$A$4:$A$593,O$1,EGRESOS!$E$4:$E$593,GASTOS!A58)</f>
        <v>0</v>
      </c>
      <c r="P3" s="32">
        <f>SUMIFS(EGRESOS!$C$4:$C$593,EGRESOS!$A$4:$A$593,P$1,EGRESOS!$E$4:$E$593,GASTOS!A58)</f>
        <v>0</v>
      </c>
      <c r="Q3" s="32">
        <f>SUMIFS(EGRESOS!$C$4:$C$593,EGRESOS!$A$4:$A$593,Q$1,EGRESOS!$E$4:$E$593,GASTOS!A58)</f>
        <v>0</v>
      </c>
      <c r="R3" s="32">
        <f>SUMIFS(EGRESOS!$C$4:$C$593,EGRESOS!$A$4:$A$593,R$1,EGRESOS!$E$4:$E$593,GASTOS!A58)</f>
        <v>0</v>
      </c>
      <c r="S3" s="32">
        <f>SUMIFS(EGRESOS!$C$4:$C$593,EGRESOS!$A$4:$A$593,S$1,EGRESOS!$E$4:$E$593,GASTOS!A58)</f>
        <v>0</v>
      </c>
      <c r="T3" s="32">
        <f>SUMIFS(EGRESOS!$C$4:$C$593,EGRESOS!$A$4:$A$593,T$1,EGRESOS!$E$4:$E$593,GASTOS!A58)</f>
        <v>0</v>
      </c>
      <c r="U3" s="32">
        <f>SUMIFS(EGRESOS!$C$4:$C$593,EGRESOS!$A$4:$A$593,U$1,EGRESOS!$E$4:$E$593,GASTOS!A58)</f>
        <v>0</v>
      </c>
      <c r="V3" s="32">
        <f>SUMIFS(EGRESOS!$C$4:$C$593,EGRESOS!$A$4:$A$593,V$1,EGRESOS!$E$4:$E$593,GASTOS!A58)</f>
        <v>15</v>
      </c>
      <c r="W3" s="32">
        <f>SUMIFS(EGRESOS!$C$4:$C$593,EGRESOS!$A$4:$A$593,W$1,EGRESOS!$E$4:$E$593,GASTOS!A58)</f>
        <v>0</v>
      </c>
      <c r="X3" s="32">
        <f>SUMIFS(EGRESOS!$C$4:$C$593,EGRESOS!$A$4:$A$593,X$1,EGRESOS!$E$4:$E$593,GASTOS!A58)</f>
        <v>0</v>
      </c>
      <c r="Y3" s="32">
        <f>SUMIFS(EGRESOS!$C$4:$C$593,EGRESOS!$A$4:$A$593,Y$1,EGRESOS!$E$4:$E$593,GASTOS!A58)</f>
        <v>0</v>
      </c>
      <c r="Z3" s="32">
        <f>SUMIFS(EGRESOS!$C$4:$C$593,EGRESOS!$A$4:$A$593,Z$1,EGRESOS!$E$4:$E$593,GASTOS!A58)</f>
        <v>0</v>
      </c>
      <c r="AA3" s="32">
        <f>SUMIFS(EGRESOS!$C$4:$C$593,EGRESOS!$A$4:$A$593,AA$1,EGRESOS!$E$4:$E$593,GASTOS!A58)</f>
        <v>0</v>
      </c>
      <c r="AB3" s="32">
        <f>SUMIFS(EGRESOS!$C$4:$C$593,EGRESOS!$A$4:$A$593,AB$1,EGRESOS!$E$4:$E$593,GASTOS!A58)</f>
        <v>0</v>
      </c>
      <c r="AC3" s="32">
        <f>IF(PROPIETARIOS!E5&lt;&gt;"",SUMIFS(EGRESOS!$C$4:$C$593,EGRESOS!$A$4:$A$593,AC$1,EGRESOS!$E$4:$E$593,GASTOS!A58),0)</f>
        <v>76.5</v>
      </c>
      <c r="AD3" s="32">
        <f>IF(PROPIETARIOS!F5&lt;&gt;"",SUMIFS(EGRESOS!$C$4:$C$593,EGRESOS!$A$4:$A$593,AD$1,EGRESOS!$E$4:$E$593,GASTOS!A58),0)</f>
        <v>0</v>
      </c>
      <c r="AE3" s="32">
        <f>SUMIFS(EGRESOS!$C$4:$C$593,EGRESOS!$A$4:$A$593,AE$1,EGRESOS!$E$4:$E$593,GASTOS!$A$58)</f>
        <v>230</v>
      </c>
      <c r="AF3" s="32">
        <f>IF(PROPIETARIOS!H5&lt;&gt;"",SUMIFS(EGRESOS!$C$4:$C$593,EGRESOS!$A$4:$A$593,AF$1,EGRESOS!$E$4:$E$593,GASTOS!A58),0)</f>
        <v>2</v>
      </c>
      <c r="AG3" s="32">
        <f>IF(PROPIETARIOS!I5&lt;&gt;"",SUMIFS(EGRESOS!$C$4:$C$593,EGRESOS!$A$4:$A$593,AG$1,EGRESOS!$E$4:$E$593,GASTOS!A58),0)</f>
        <v>0</v>
      </c>
      <c r="AH3" s="32">
        <f>IF(PROPIETARIOS!J5&lt;&gt;"",SUMIFS(EGRESOS!$C$4:$C$593,EGRESOS!$A$4:$A$593,AH$1,EGRESOS!$E$4:$E$593,GASTOS!A58),0)</f>
        <v>0</v>
      </c>
      <c r="AI3" s="32">
        <f>IF(PROPIETARIOS!K5&lt;&gt;"",SUMIFS(EGRESOS!$C$4:$C$593,EGRESOS!$A$4:$A$593,AI$1,EGRESOS!$E$4:$E$593,GASTOS!A58),0)</f>
        <v>0</v>
      </c>
      <c r="AJ3" s="32">
        <f>SUMIFS(EGRESOS!$C$4:$C$593,EGRESOS!$A$4:$A$593,AJ$1,EGRESOS!$E$4:$E$593,GASTOS!A58)</f>
        <v>0</v>
      </c>
      <c r="AK3" s="32">
        <f>SUMIFS(EGRESOS!$C$4:$C$593,EGRESOS!$A$4:$A$593,AK$1,EGRESOS!$E$4:$E$593,GASTOS!A58)</f>
        <v>0</v>
      </c>
      <c r="AL3" s="32">
        <f>SUMIFS(EGRESOS!$C$4:$C$593,EGRESOS!$A$4:$A$593,AL$1,EGRESOS!$E$4:$E$593,GASTOS!A58)</f>
        <v>0</v>
      </c>
      <c r="AM3" s="32">
        <f>D3*$C$3%</f>
        <v>4.9320000000000004</v>
      </c>
      <c r="AN3" s="32">
        <f t="shared" ref="AN3:BK3" si="4">E3*$C$3%</f>
        <v>-2.3290000000000002</v>
      </c>
      <c r="AO3" s="32">
        <f t="shared" si="4"/>
        <v>2.6030000000000002</v>
      </c>
      <c r="AP3" s="32">
        <f t="shared" si="4"/>
        <v>0</v>
      </c>
      <c r="AQ3" s="32">
        <f t="shared" si="4"/>
        <v>4.3840000000000003</v>
      </c>
      <c r="AR3" s="32">
        <f t="shared" si="4"/>
        <v>2.6030000000000002</v>
      </c>
      <c r="AS3" s="32">
        <f t="shared" si="4"/>
        <v>0</v>
      </c>
      <c r="AT3" s="32">
        <f t="shared" si="4"/>
        <v>0.41100000000000003</v>
      </c>
      <c r="AU3" s="32">
        <f t="shared" si="4"/>
        <v>0</v>
      </c>
      <c r="AV3" s="32">
        <f t="shared" si="4"/>
        <v>1.0960000000000001</v>
      </c>
      <c r="AW3" s="32">
        <f t="shared" si="4"/>
        <v>0.54800000000000004</v>
      </c>
      <c r="AX3" s="32">
        <f t="shared" si="4"/>
        <v>0</v>
      </c>
      <c r="AY3" s="32">
        <f t="shared" si="4"/>
        <v>0</v>
      </c>
      <c r="AZ3" s="32">
        <f t="shared" si="4"/>
        <v>0</v>
      </c>
      <c r="BA3" s="32">
        <f t="shared" si="4"/>
        <v>0</v>
      </c>
      <c r="BB3" s="32">
        <f t="shared" si="4"/>
        <v>0</v>
      </c>
      <c r="BC3" s="32">
        <f t="shared" si="4"/>
        <v>0</v>
      </c>
      <c r="BD3" s="32">
        <f t="shared" si="4"/>
        <v>0</v>
      </c>
      <c r="BE3" s="32">
        <f t="shared" si="4"/>
        <v>0.41100000000000003</v>
      </c>
      <c r="BF3" s="32">
        <f t="shared" si="4"/>
        <v>0</v>
      </c>
      <c r="BG3" s="32">
        <f t="shared" si="4"/>
        <v>0</v>
      </c>
      <c r="BH3" s="32">
        <f t="shared" si="4"/>
        <v>0</v>
      </c>
      <c r="BI3" s="32">
        <f t="shared" si="4"/>
        <v>0</v>
      </c>
      <c r="BJ3" s="32">
        <f t="shared" si="4"/>
        <v>0</v>
      </c>
      <c r="BK3" s="32">
        <f t="shared" si="4"/>
        <v>0</v>
      </c>
      <c r="BL3" s="32">
        <f t="shared" ref="BL3:BL36" si="5">AC3*$C3%</f>
        <v>2.0960999999999999</v>
      </c>
      <c r="BM3" s="32">
        <f>IFERROR(AD3/COUNTIF(PROPIETARIOS!$F$4:$F$38,"GNC02"),0)</f>
        <v>0</v>
      </c>
      <c r="BN3" s="32">
        <f>IFERROR(AE3/COUNTIF(PROPIETARIOS!$G$4:$G$38,"GNC03"),0)</f>
        <v>6.5714285714285712</v>
      </c>
      <c r="BO3" s="32">
        <f>IFERROR(AF3/COUNTIF(PROPIETARIOS!$H$4:$H$38,"GNC04"),0)</f>
        <v>0.5</v>
      </c>
      <c r="BP3" s="32">
        <f>IFERROR(AG3/COUNTIF(PROPIETARIOS!$I$4:$I$38,"GNC05"),0)</f>
        <v>0</v>
      </c>
      <c r="BQ3" s="32">
        <v>0</v>
      </c>
      <c r="BR3" s="32">
        <v>0</v>
      </c>
      <c r="BS3" s="204">
        <f t="shared" si="1"/>
        <v>843.5</v>
      </c>
      <c r="BT3" s="204">
        <f>SUM(AM3:BK3)+SUM(BM3:BP3)+BR3+BW3+BL3</f>
        <v>23.826528571428568</v>
      </c>
      <c r="BU3" s="33" t="s">
        <v>240</v>
      </c>
      <c r="BV3" s="34">
        <f t="shared" ca="1" si="3"/>
        <v>46209</v>
      </c>
      <c r="BW3" s="30">
        <v>0</v>
      </c>
      <c r="BX3" s="36">
        <f>Hoja6!FR5</f>
        <v>0</v>
      </c>
      <c r="BY3" s="30" t="str">
        <f t="shared" ref="BY3:BY36" si="6">TEXT(C3,"0,00")</f>
        <v>2,74</v>
      </c>
      <c r="BZ3" s="27" t="s">
        <v>425</v>
      </c>
      <c r="CA3" s="28" t="str">
        <f>convertirnum(Tabla1[[#This Row],[TOTALAL]])</f>
        <v>VEINTITRES CON 83/100 DÓLARES</v>
      </c>
      <c r="CB3" s="28">
        <f>5%*Hoja6!FT5</f>
        <v>0</v>
      </c>
      <c r="CC3" s="192">
        <f>IF(Tabla1[[#This Row],[DEUDA]]&gt;0,Hoja6!HL5,0)</f>
        <v>0</v>
      </c>
      <c r="CD3" s="28">
        <f>Hoja6!HM5</f>
        <v>0</v>
      </c>
      <c r="CE3" s="200">
        <f>IF(Tabla1[[#This Row],[DEUDA]]&gt;0,Hoja6!FT5,0)</f>
        <v>0</v>
      </c>
      <c r="CF3" s="28" t="str">
        <f>"_"&amp;Tabla1[[#This Row],[APTO-LOCAL-OFIC.]]&amp;" "&amp;Tabla1[[#This Row],[PROPIETARIO]]&amp;"-"</f>
        <v>_APTO. 102 PEDRO CHACON-</v>
      </c>
    </row>
    <row r="4" spans="1:85" ht="18" customHeight="1">
      <c r="A4" s="22" t="s">
        <v>18</v>
      </c>
      <c r="B4" s="23" t="str">
        <f>IFERROR(VLOOKUP(A4,PROPIETARIOS!A5:D41,3),"")</f>
        <v>YEYSY ALEJANDRA TABAREZ</v>
      </c>
      <c r="C4" s="24">
        <v>2.61</v>
      </c>
      <c r="D4" s="25">
        <f>SUMIFS(EGRESOS!$C$4:$C$593,EGRESOS!$A$4:$A$593,D$1,EGRESOS!$E$4:$E$593,GASTOS!A58)</f>
        <v>180</v>
      </c>
      <c r="E4" s="25">
        <f>SUMIFS(EGRESOS!$C$4:$C$593,EGRESOS!$A$4:$A$593,E$1,EGRESOS!$E$4:$E$593,GASTOS!A58)</f>
        <v>-85</v>
      </c>
      <c r="F4" s="25">
        <f>SUMIFS(EGRESOS!$C$4:$C$593,EGRESOS!$A$4:$A$593,F$1,EGRESOS!$E$4:$E$593,GASTOS!A58)</f>
        <v>95</v>
      </c>
      <c r="G4" s="25">
        <f>SUMIFS(EGRESOS!$C$4:$C$593,EGRESOS!$A$4:$A$593,G$1,EGRESOS!$E$4:$E$593,GASTOS!A58)</f>
        <v>0</v>
      </c>
      <c r="H4" s="25">
        <f>SUMIFS(EGRESOS!$C$4:$C$593,EGRESOS!$A$4:$A$593,H$1,EGRESOS!$E$4:$E$593,GASTOS!A58)</f>
        <v>160</v>
      </c>
      <c r="I4" s="25">
        <f>SUMIFS(EGRESOS!$C$4:$C$593,EGRESOS!$A$4:$A$593,I$1,EGRESOS!$E$4:$E$593,GASTOS!A58)</f>
        <v>95</v>
      </c>
      <c r="J4" s="25">
        <f>SUMIFS(EGRESOS!$C$4:$C$593,EGRESOS!$A$4:$A$593,J$1,EGRESOS!$E$4:$E$593,GASTOS!A58)</f>
        <v>0</v>
      </c>
      <c r="K4" s="25">
        <f>SUMIFS(EGRESOS!$C$4:$C$593,EGRESOS!$A$4:$A$593,K$1,EGRESOS!$E$4:$E$593,GASTOS!A58)</f>
        <v>15</v>
      </c>
      <c r="L4" s="25">
        <f>SUMIFS(EGRESOS!$C$4:$C$593,EGRESOS!$A$4:$A$593,L$1,EGRESOS!$E$4:$E$593,GASTOS!A58)</f>
        <v>0</v>
      </c>
      <c r="M4" s="25">
        <f>SUMIFS(EGRESOS!$C$4:$C$593,EGRESOS!$A$4:$A$593,M$1,EGRESOS!$E$4:$E$593,GASTOS!A58)</f>
        <v>40</v>
      </c>
      <c r="N4" s="25">
        <f>SUMIFS(EGRESOS!$C$4:$C$593,EGRESOS!$A$4:$A$593,N$1,EGRESOS!$E$4:$E$593,GASTOS!A58)</f>
        <v>20</v>
      </c>
      <c r="O4" s="25">
        <f>SUMIFS(EGRESOS!$C$4:$C$593,EGRESOS!$A$4:$A$593,O$1,EGRESOS!$E$4:$E$593,GASTOS!A58)</f>
        <v>0</v>
      </c>
      <c r="P4" s="25">
        <f>SUMIFS(EGRESOS!$C$4:$C$593,EGRESOS!$A$4:$A$593,P$1,EGRESOS!$E$4:$E$593,GASTOS!A58)</f>
        <v>0</v>
      </c>
      <c r="Q4" s="25">
        <f>SUMIFS(EGRESOS!$C$4:$C$593,EGRESOS!$A$4:$A$593,Q$1,EGRESOS!$E$4:$E$593,GASTOS!A58)</f>
        <v>0</v>
      </c>
      <c r="R4" s="25">
        <f>SUMIFS(EGRESOS!$C$4:$C$593,EGRESOS!$A$4:$A$593,R$1,EGRESOS!$E$4:$E$593,GASTOS!A58)</f>
        <v>0</v>
      </c>
      <c r="S4" s="25">
        <f>SUMIFS(EGRESOS!$C$4:$C$593,EGRESOS!$A$4:$A$593,S$1,EGRESOS!$E$4:$E$593,GASTOS!A58)</f>
        <v>0</v>
      </c>
      <c r="T4" s="25">
        <f>SUMIFS(EGRESOS!$C$4:$C$593,EGRESOS!$A$4:$A$593,T$1,EGRESOS!$E$4:$E$593,GASTOS!A58)</f>
        <v>0</v>
      </c>
      <c r="U4" s="25">
        <f>SUMIFS(EGRESOS!$C$4:$C$593,EGRESOS!$A$4:$A$593,U$1,EGRESOS!$E$4:$E$593,GASTOS!A58)</f>
        <v>0</v>
      </c>
      <c r="V4" s="25">
        <f>SUMIFS(EGRESOS!$C$4:$C$593,EGRESOS!$A$4:$A$593,V$1,EGRESOS!$E$4:$E$593,GASTOS!A58)</f>
        <v>15</v>
      </c>
      <c r="W4" s="25">
        <f>SUMIFS(EGRESOS!$C$4:$C$593,EGRESOS!$A$4:$A$593,W$1,EGRESOS!$E$4:$E$593,GASTOS!A58)</f>
        <v>0</v>
      </c>
      <c r="X4" s="25">
        <f>SUMIFS(EGRESOS!$C$4:$C$593,EGRESOS!$A$4:$A$593,X$1,EGRESOS!$E$4:$E$593,GASTOS!A58)</f>
        <v>0</v>
      </c>
      <c r="Y4" s="25">
        <f>SUMIFS(EGRESOS!$C$4:$C$593,EGRESOS!$A$4:$A$593,Y$1,EGRESOS!$E$4:$E$593,GASTOS!A58)</f>
        <v>0</v>
      </c>
      <c r="Z4" s="25">
        <f>SUMIFS(EGRESOS!$C$4:$C$593,EGRESOS!$A$4:$A$593,Z$1,EGRESOS!$E$4:$E$593,GASTOS!A58)</f>
        <v>0</v>
      </c>
      <c r="AA4" s="25">
        <f>SUMIFS(EGRESOS!$C$4:$C$593,EGRESOS!$A$4:$A$593,AA$1,EGRESOS!$E$4:$E$593,GASTOS!A58)</f>
        <v>0</v>
      </c>
      <c r="AB4" s="25">
        <f>SUMIFS(EGRESOS!$C$4:$C$593,EGRESOS!$A$4:$A$593,AB$1,EGRESOS!$E$4:$E$593,GASTOS!A58)</f>
        <v>0</v>
      </c>
      <c r="AC4" s="25">
        <f>IF(PROPIETARIOS!E6&lt;&gt;"",SUMIFS(EGRESOS!$C$4:$C$593,EGRESOS!$A$4:$A$593,AC$1,EGRESOS!$E$4:$E$593,GASTOS!A58),0)</f>
        <v>76.5</v>
      </c>
      <c r="AD4" s="25">
        <f>IF(PROPIETARIOS!F6&lt;&gt;"",SUMIFS(EGRESOS!$C$4:$C$593,EGRESOS!$A$4:$A$593,AD$1,EGRESOS!$E$4:$E$593,GASTOS!A58),0)</f>
        <v>0</v>
      </c>
      <c r="AE4" s="25">
        <f>SUMIFS(EGRESOS!$C$4:$C$593,EGRESOS!$A$4:$A$593,AE$1,EGRESOS!$E$4:$E$593,GASTOS!$A$58)</f>
        <v>230</v>
      </c>
      <c r="AF4" s="25">
        <f>IF(PROPIETARIOS!H6&lt;&gt;"",SUMIFS(EGRESOS!$C$4:$C$593,EGRESOS!$A$4:$A$593,AF$1,EGRESOS!$E$4:$E$593,GASTOS!A58),0)</f>
        <v>0</v>
      </c>
      <c r="AG4" s="25">
        <f>IF(PROPIETARIOS!I6&lt;&gt;"",SUMIFS(EGRESOS!$C$4:$C$593,EGRESOS!$A$4:$A$593,AG$1,EGRESOS!$E$4:$E$593,GASTOS!A58),0)</f>
        <v>0</v>
      </c>
      <c r="AH4" s="25">
        <f>IF(PROPIETARIOS!J6&lt;&gt;"",SUMIFS(EGRESOS!$C$4:$C$593,EGRESOS!$A$4:$A$593,AH$1,EGRESOS!$E$4:$E$593,GASTOS!A58),0)</f>
        <v>0</v>
      </c>
      <c r="AI4" s="25">
        <f>IF(PROPIETARIOS!K6&lt;&gt;"",SUMIFS(EGRESOS!$C$4:$C$593,EGRESOS!$A$4:$A$593,AI$1,EGRESOS!$E$4:$E$593,GASTOS!A58),0)</f>
        <v>0</v>
      </c>
      <c r="AJ4" s="25">
        <f>SUMIFS(EGRESOS!$C$4:$C$593,EGRESOS!$A$4:$A$593,AJ$1,EGRESOS!$E$4:$E$593,GASTOS!A58)</f>
        <v>0</v>
      </c>
      <c r="AK4" s="25">
        <f>SUMIFS(EGRESOS!$C$4:$C$593,EGRESOS!$A$4:$A$593,AK$1,EGRESOS!$E$4:$E$593,GASTOS!A58)</f>
        <v>0</v>
      </c>
      <c r="AL4" s="25">
        <f>SUMIFS(EGRESOS!$C$4:$C$593,EGRESOS!$A$4:$A$593,AL$1,EGRESOS!$E$4:$E$593,GASTOS!A58)</f>
        <v>0</v>
      </c>
      <c r="AM4" s="25">
        <f>D4*$C$4%</f>
        <v>4.6979999999999995</v>
      </c>
      <c r="AN4" s="25">
        <f t="shared" ref="AN4:BK4" si="7">E4*$C$4%</f>
        <v>-2.2184999999999997</v>
      </c>
      <c r="AO4" s="25">
        <f t="shared" si="7"/>
        <v>2.4794999999999998</v>
      </c>
      <c r="AP4" s="25">
        <f t="shared" si="7"/>
        <v>0</v>
      </c>
      <c r="AQ4" s="25">
        <f t="shared" si="7"/>
        <v>4.1760000000000002</v>
      </c>
      <c r="AR4" s="25">
        <f t="shared" si="7"/>
        <v>2.4794999999999998</v>
      </c>
      <c r="AS4" s="25">
        <f t="shared" si="7"/>
        <v>0</v>
      </c>
      <c r="AT4" s="25">
        <f t="shared" si="7"/>
        <v>0.39149999999999996</v>
      </c>
      <c r="AU4" s="25">
        <f t="shared" si="7"/>
        <v>0</v>
      </c>
      <c r="AV4" s="25">
        <f t="shared" si="7"/>
        <v>1.044</v>
      </c>
      <c r="AW4" s="25">
        <f t="shared" si="7"/>
        <v>0.52200000000000002</v>
      </c>
      <c r="AX4" s="25">
        <f t="shared" si="7"/>
        <v>0</v>
      </c>
      <c r="AY4" s="25">
        <f t="shared" si="7"/>
        <v>0</v>
      </c>
      <c r="AZ4" s="25">
        <f t="shared" si="7"/>
        <v>0</v>
      </c>
      <c r="BA4" s="25">
        <f t="shared" si="7"/>
        <v>0</v>
      </c>
      <c r="BB4" s="25">
        <f t="shared" si="7"/>
        <v>0</v>
      </c>
      <c r="BC4" s="25">
        <f t="shared" si="7"/>
        <v>0</v>
      </c>
      <c r="BD4" s="25">
        <f t="shared" si="7"/>
        <v>0</v>
      </c>
      <c r="BE4" s="25">
        <f t="shared" si="7"/>
        <v>0.39149999999999996</v>
      </c>
      <c r="BF4" s="25">
        <f t="shared" si="7"/>
        <v>0</v>
      </c>
      <c r="BG4" s="25">
        <f t="shared" si="7"/>
        <v>0</v>
      </c>
      <c r="BH4" s="25">
        <f t="shared" si="7"/>
        <v>0</v>
      </c>
      <c r="BI4" s="25">
        <f t="shared" si="7"/>
        <v>0</v>
      </c>
      <c r="BJ4" s="25">
        <f t="shared" si="7"/>
        <v>0</v>
      </c>
      <c r="BK4" s="25">
        <f t="shared" si="7"/>
        <v>0</v>
      </c>
      <c r="BL4" s="25">
        <f t="shared" si="5"/>
        <v>1.9966499999999998</v>
      </c>
      <c r="BM4" s="25">
        <f>IFERROR(AD4/COUNTIF(PROPIETARIOS!$F$4:$F$38,"GNC02"),0)</f>
        <v>0</v>
      </c>
      <c r="BN4" s="25">
        <f>IFERROR(AE4/COUNTIF(PROPIETARIOS!$G$4:$G$38,"GNC03"),0)</f>
        <v>6.5714285714285712</v>
      </c>
      <c r="BO4" s="25">
        <f>IFERROR(AF4/COUNTIF(PROPIETARIOS!$H$4:$H$38,"GNC04"),0)</f>
        <v>0</v>
      </c>
      <c r="BP4" s="25">
        <f>IFERROR(AG4/COUNTIF(PROPIETARIOS!$I$4:$I$38,"GNC05"),0)</f>
        <v>0</v>
      </c>
      <c r="BQ4" s="25">
        <v>0</v>
      </c>
      <c r="BR4" s="25">
        <v>0</v>
      </c>
      <c r="BS4" s="203">
        <f t="shared" si="1"/>
        <v>841.5</v>
      </c>
      <c r="BT4" s="203">
        <f t="shared" si="2"/>
        <v>22.531578571428572</v>
      </c>
      <c r="BU4" s="26" t="s">
        <v>596</v>
      </c>
      <c r="BV4" s="34">
        <f t="shared" ca="1" si="3"/>
        <v>46209</v>
      </c>
      <c r="BW4" s="23">
        <v>0</v>
      </c>
      <c r="BX4" s="36">
        <f>Hoja6!FR6</f>
        <v>77.007942857142851</v>
      </c>
      <c r="BY4" s="23" t="str">
        <f t="shared" si="6"/>
        <v>2,61</v>
      </c>
      <c r="BZ4" s="27" t="s">
        <v>425</v>
      </c>
      <c r="CA4" s="28" t="str">
        <f>convertirnum(Tabla1[[#This Row],[TOTALAL]])</f>
        <v>VEINTIDOS CON 53/100 DÓLARES</v>
      </c>
      <c r="CB4" s="28">
        <f>5%*Hoja6!FT6</f>
        <v>0.15000000000000002</v>
      </c>
      <c r="CC4" s="192">
        <f>IF(Tabla1[[#This Row],[DEUDA]]&gt;0,Hoja6!HL6,0)</f>
        <v>0.37916721428571426</v>
      </c>
      <c r="CD4" s="28">
        <f>Hoja6!HM6</f>
        <v>77.387110071428566</v>
      </c>
      <c r="CE4" s="200">
        <f>IF(Tabla1[[#This Row],[DEUDA]]&gt;0,Hoja6!FT6,0)</f>
        <v>3</v>
      </c>
      <c r="CF4" s="28" t="str">
        <f>"_"&amp;Tabla1[[#This Row],[APTO-LOCAL-OFIC.]]&amp;" "&amp;Tabla1[[#This Row],[PROPIETARIO]]&amp;"-"</f>
        <v>_APTO. 103 YEYSY ALEJANDRA TABAREZ-</v>
      </c>
    </row>
    <row r="5" spans="1:85" ht="18" customHeight="1">
      <c r="A5" s="29" t="s">
        <v>19</v>
      </c>
      <c r="B5" s="30" t="str">
        <f>IFERROR(VLOOKUP(A5,PROPIETARIOS!A6:D42,3),"")</f>
        <v>MIRIAN DE SUAREZ</v>
      </c>
      <c r="C5" s="31">
        <v>2.61</v>
      </c>
      <c r="D5" s="32">
        <f>SUMIFS(EGRESOS!$C$4:$C$593,EGRESOS!$A$4:$A$593,D$1,EGRESOS!$E$4:$E$593,GASTOS!A58)</f>
        <v>180</v>
      </c>
      <c r="E5" s="32">
        <f>SUMIFS(EGRESOS!$C$4:$C$593,EGRESOS!$A$4:$A$593,E$1,EGRESOS!$E$4:$E$593,GASTOS!A58)</f>
        <v>-85</v>
      </c>
      <c r="F5" s="32">
        <f>SUMIFS(EGRESOS!$C$4:$C$593,EGRESOS!$A$4:$A$593,F$1,EGRESOS!$E$4:$E$593,GASTOS!A58)</f>
        <v>95</v>
      </c>
      <c r="G5" s="32">
        <f>SUMIFS(EGRESOS!$C$4:$C$593,EGRESOS!$A$4:$A$593,G$1,EGRESOS!$E$4:$E$593,GASTOS!A58)</f>
        <v>0</v>
      </c>
      <c r="H5" s="32">
        <f>SUMIFS(EGRESOS!$C$4:$C$593,EGRESOS!$A$4:$A$593,H$1,EGRESOS!$E$4:$E$593,GASTOS!A58)</f>
        <v>160</v>
      </c>
      <c r="I5" s="32">
        <f>SUMIFS(EGRESOS!$C$4:$C$593,EGRESOS!$A$4:$A$593,I$1,EGRESOS!$E$4:$E$593,GASTOS!A58)</f>
        <v>95</v>
      </c>
      <c r="J5" s="32">
        <f>SUMIFS(EGRESOS!$C$4:$C$593,EGRESOS!$A$4:$A$593,J$1,EGRESOS!$E$4:$E$593,GASTOS!A58)</f>
        <v>0</v>
      </c>
      <c r="K5" s="32">
        <f>SUMIFS(EGRESOS!$C$4:$C$593,EGRESOS!$A$4:$A$593,K$1,EGRESOS!$E$4:$E$593,GASTOS!A58)</f>
        <v>15</v>
      </c>
      <c r="L5" s="32">
        <f>SUMIFS(EGRESOS!$C$4:$C$593,EGRESOS!$A$4:$A$593,L$1,EGRESOS!$E$4:$E$593,GASTOS!A58)</f>
        <v>0</v>
      </c>
      <c r="M5" s="32">
        <f>SUMIFS(EGRESOS!$C$4:$C$593,EGRESOS!$A$4:$A$593,M$1,EGRESOS!$E$4:$E$593,GASTOS!A58)</f>
        <v>40</v>
      </c>
      <c r="N5" s="32">
        <f>SUMIFS(EGRESOS!$C$4:$C$593,EGRESOS!$A$4:$A$593,N$1,EGRESOS!$E$4:$E$593,GASTOS!A58)</f>
        <v>20</v>
      </c>
      <c r="O5" s="32">
        <f>SUMIFS(EGRESOS!$C$4:$C$593,EGRESOS!$A$4:$A$593,O$1,EGRESOS!$E$4:$E$593,GASTOS!A58)</f>
        <v>0</v>
      </c>
      <c r="P5" s="32">
        <f>SUMIFS(EGRESOS!$C$4:$C$593,EGRESOS!$A$4:$A$593,P$1,EGRESOS!$E$4:$E$593,GASTOS!A58)</f>
        <v>0</v>
      </c>
      <c r="Q5" s="32">
        <f>SUMIFS(EGRESOS!$C$4:$C$593,EGRESOS!$A$4:$A$593,Q$1,EGRESOS!$E$4:$E$593,GASTOS!A58)</f>
        <v>0</v>
      </c>
      <c r="R5" s="32">
        <f>SUMIFS(EGRESOS!$C$4:$C$593,EGRESOS!$A$4:$A$593,R$1,EGRESOS!$E$4:$E$593,GASTOS!A58)</f>
        <v>0</v>
      </c>
      <c r="S5" s="32">
        <f>SUMIFS(EGRESOS!$C$4:$C$593,EGRESOS!$A$4:$A$593,S$1,EGRESOS!$E$4:$E$593,GASTOS!A58)</f>
        <v>0</v>
      </c>
      <c r="T5" s="32">
        <f>SUMIFS(EGRESOS!$C$4:$C$593,EGRESOS!$A$4:$A$593,T$1,EGRESOS!$E$4:$E$593,GASTOS!A58)</f>
        <v>0</v>
      </c>
      <c r="U5" s="32">
        <f>SUMIFS(EGRESOS!$C$4:$C$593,EGRESOS!$A$4:$A$593,U$1,EGRESOS!$E$4:$E$593,GASTOS!A58)</f>
        <v>0</v>
      </c>
      <c r="V5" s="32">
        <f>SUMIFS(EGRESOS!$C$4:$C$593,EGRESOS!$A$4:$A$593,V$1,EGRESOS!$E$4:$E$593,GASTOS!A58)</f>
        <v>15</v>
      </c>
      <c r="W5" s="32">
        <f>SUMIFS(EGRESOS!$C$4:$C$593,EGRESOS!$A$4:$A$593,W$1,EGRESOS!$E$4:$E$593,GASTOS!A58)</f>
        <v>0</v>
      </c>
      <c r="X5" s="32">
        <f>SUMIFS(EGRESOS!$C$4:$C$593,EGRESOS!$A$4:$A$593,X$1,EGRESOS!$E$4:$E$593,GASTOS!A58)</f>
        <v>0</v>
      </c>
      <c r="Y5" s="32">
        <f>SUMIFS(EGRESOS!$C$4:$C$593,EGRESOS!$A$4:$A$593,Y$1,EGRESOS!$E$4:$E$593,GASTOS!A58)</f>
        <v>0</v>
      </c>
      <c r="Z5" s="32">
        <f>SUMIFS(EGRESOS!$C$4:$C$593,EGRESOS!$A$4:$A$593,Z$1,EGRESOS!$E$4:$E$593,GASTOS!A58)</f>
        <v>0</v>
      </c>
      <c r="AA5" s="32">
        <f>SUMIFS(EGRESOS!$C$4:$C$593,EGRESOS!$A$4:$A$593,AA$1,EGRESOS!$E$4:$E$593,GASTOS!A58)</f>
        <v>0</v>
      </c>
      <c r="AB5" s="32">
        <f>SUMIFS(EGRESOS!$C$4:$C$593,EGRESOS!$A$4:$A$593,AB$1,EGRESOS!$E$4:$E$593,GASTOS!A58)</f>
        <v>0</v>
      </c>
      <c r="AC5" s="32">
        <f>IF(PROPIETARIOS!E7&lt;&gt;"",SUMIFS(EGRESOS!$C$4:$C$593,EGRESOS!$A$4:$A$593,AC$1,EGRESOS!$E$4:$E$593,GASTOS!A58),0)</f>
        <v>76.5</v>
      </c>
      <c r="AD5" s="32">
        <f>IF(PROPIETARIOS!F7&lt;&gt;"",SUMIFS(EGRESOS!$C$4:$C$593,EGRESOS!$A$4:$A$593,AD$1,EGRESOS!$E$4:$E$593,GASTOS!A58),0)</f>
        <v>0</v>
      </c>
      <c r="AE5" s="32">
        <f>SUMIFS(EGRESOS!$C$4:$C$593,EGRESOS!$A$4:$A$593,AE$1,EGRESOS!$E$4:$E$593,GASTOS!$A$58)</f>
        <v>230</v>
      </c>
      <c r="AF5" s="32">
        <f>IF(PROPIETARIOS!H7&lt;&gt;"",SUMIFS(EGRESOS!$C$4:$C$593,EGRESOS!$A$4:$A$593,AF$1,EGRESOS!$E$4:$E$593,GASTOS!A58),0)</f>
        <v>0</v>
      </c>
      <c r="AG5" s="32">
        <f>IF(PROPIETARIOS!I7&lt;&gt;"",SUMIFS(EGRESOS!$C$4:$C$593,EGRESOS!$A$4:$A$593,AG$1,EGRESOS!$E$4:$E$593,GASTOS!A58),0)</f>
        <v>0</v>
      </c>
      <c r="AH5" s="32">
        <f>IF(PROPIETARIOS!J7&lt;&gt;"",SUMIFS(EGRESOS!$C$4:$C$593,EGRESOS!$A$4:$A$593,AH$1,EGRESOS!$E$4:$E$593,GASTOS!A58),0)</f>
        <v>0</v>
      </c>
      <c r="AI5" s="32">
        <f>IF(PROPIETARIOS!K7&lt;&gt;"",SUMIFS(EGRESOS!$C$4:$C$593,EGRESOS!$A$4:$A$593,AI$1,EGRESOS!$E$4:$E$593,GASTOS!A58),0)</f>
        <v>0</v>
      </c>
      <c r="AJ5" s="32">
        <f>SUMIFS(EGRESOS!$C$4:$C$593,EGRESOS!$A$4:$A$593,AJ$1,EGRESOS!$E$4:$E$593,GASTOS!A58)</f>
        <v>0</v>
      </c>
      <c r="AK5" s="32">
        <f>SUMIFS(EGRESOS!$C$4:$C$593,EGRESOS!$A$4:$A$593,AK$1,EGRESOS!$E$4:$E$593,GASTOS!A58)</f>
        <v>0</v>
      </c>
      <c r="AL5" s="32">
        <f>SUMIFS(EGRESOS!$C$4:$C$593,EGRESOS!$A$4:$A$593,AL$1,EGRESOS!$E$4:$E$593,GASTOS!A58)</f>
        <v>0</v>
      </c>
      <c r="AM5" s="32">
        <f>D5*$C$5%</f>
        <v>4.6979999999999995</v>
      </c>
      <c r="AN5" s="32">
        <f t="shared" ref="AN5:BK5" si="8">E5*$C$5%</f>
        <v>-2.2184999999999997</v>
      </c>
      <c r="AO5" s="32">
        <f t="shared" si="8"/>
        <v>2.4794999999999998</v>
      </c>
      <c r="AP5" s="32">
        <f t="shared" si="8"/>
        <v>0</v>
      </c>
      <c r="AQ5" s="32">
        <f t="shared" si="8"/>
        <v>4.1760000000000002</v>
      </c>
      <c r="AR5" s="32">
        <f t="shared" si="8"/>
        <v>2.4794999999999998</v>
      </c>
      <c r="AS5" s="32">
        <f t="shared" si="8"/>
        <v>0</v>
      </c>
      <c r="AT5" s="32">
        <f t="shared" si="8"/>
        <v>0.39149999999999996</v>
      </c>
      <c r="AU5" s="32">
        <f t="shared" si="8"/>
        <v>0</v>
      </c>
      <c r="AV5" s="32">
        <f t="shared" si="8"/>
        <v>1.044</v>
      </c>
      <c r="AW5" s="32">
        <f t="shared" si="8"/>
        <v>0.52200000000000002</v>
      </c>
      <c r="AX5" s="32">
        <f t="shared" si="8"/>
        <v>0</v>
      </c>
      <c r="AY5" s="32">
        <f t="shared" si="8"/>
        <v>0</v>
      </c>
      <c r="AZ5" s="32">
        <f t="shared" si="8"/>
        <v>0</v>
      </c>
      <c r="BA5" s="32">
        <f t="shared" si="8"/>
        <v>0</v>
      </c>
      <c r="BB5" s="32">
        <f t="shared" si="8"/>
        <v>0</v>
      </c>
      <c r="BC5" s="32">
        <f t="shared" si="8"/>
        <v>0</v>
      </c>
      <c r="BD5" s="32">
        <f t="shared" si="8"/>
        <v>0</v>
      </c>
      <c r="BE5" s="32">
        <f t="shared" si="8"/>
        <v>0.39149999999999996</v>
      </c>
      <c r="BF5" s="32">
        <f t="shared" si="8"/>
        <v>0</v>
      </c>
      <c r="BG5" s="32">
        <f t="shared" si="8"/>
        <v>0</v>
      </c>
      <c r="BH5" s="32">
        <f t="shared" si="8"/>
        <v>0</v>
      </c>
      <c r="BI5" s="32">
        <f t="shared" si="8"/>
        <v>0</v>
      </c>
      <c r="BJ5" s="32">
        <f t="shared" si="8"/>
        <v>0</v>
      </c>
      <c r="BK5" s="32">
        <f t="shared" si="8"/>
        <v>0</v>
      </c>
      <c r="BL5" s="32">
        <f t="shared" si="5"/>
        <v>1.9966499999999998</v>
      </c>
      <c r="BM5" s="32">
        <f>IFERROR(AD5/COUNTIF(PROPIETARIOS!$F$4:$F$38,"GNC02"),0)</f>
        <v>0</v>
      </c>
      <c r="BN5" s="32">
        <f>IFERROR(AE5/COUNTIF(PROPIETARIOS!$G$4:$G$38,"GNC03"),0)</f>
        <v>6.5714285714285712</v>
      </c>
      <c r="BO5" s="32">
        <f>IFERROR(AF5/COUNTIF(PROPIETARIOS!$H$4:$H$38,"GNC04"),0)</f>
        <v>0</v>
      </c>
      <c r="BP5" s="32">
        <f>IFERROR(AG5/COUNTIF(PROPIETARIOS!$I$4:$I$38,"GNC05"),0)</f>
        <v>0</v>
      </c>
      <c r="BQ5" s="32">
        <v>0</v>
      </c>
      <c r="BR5" s="32">
        <v>0</v>
      </c>
      <c r="BS5" s="204">
        <f t="shared" si="1"/>
        <v>841.5</v>
      </c>
      <c r="BT5" s="204">
        <f t="shared" si="2"/>
        <v>22.531578571428572</v>
      </c>
      <c r="BU5" s="26" t="s">
        <v>242</v>
      </c>
      <c r="BV5" s="34">
        <f t="shared" ca="1" si="3"/>
        <v>46209</v>
      </c>
      <c r="BW5" s="30">
        <v>0</v>
      </c>
      <c r="BX5" s="36">
        <f>Hoja6!FR7</f>
        <v>0</v>
      </c>
      <c r="BY5" s="30" t="str">
        <f t="shared" si="6"/>
        <v>2,61</v>
      </c>
      <c r="BZ5" s="27" t="s">
        <v>425</v>
      </c>
      <c r="CA5" s="28" t="str">
        <f>convertirnum(Tabla1[[#This Row],[TOTALAL]])</f>
        <v>VEINTIDOS CON 53/100 DÓLARES</v>
      </c>
      <c r="CB5" s="28">
        <f>5%*Hoja6!FT7</f>
        <v>0</v>
      </c>
      <c r="CC5" s="192">
        <f>IF(Tabla1[[#This Row],[DEUDA]]&gt;0,Hoja6!HL7,0)</f>
        <v>0</v>
      </c>
      <c r="CD5" s="28">
        <f>Hoja6!HM7</f>
        <v>0</v>
      </c>
      <c r="CE5" s="200">
        <f>IF(Tabla1[[#This Row],[DEUDA]]&gt;0,Hoja6!FT7,0)</f>
        <v>0</v>
      </c>
      <c r="CF5" s="28" t="str">
        <f>"_"&amp;Tabla1[[#This Row],[APTO-LOCAL-OFIC.]]&amp;" "&amp;Tabla1[[#This Row],[PROPIETARIO]]&amp;"-"</f>
        <v>_APTO. 104 MIRIAN DE SUAREZ-</v>
      </c>
    </row>
    <row r="6" spans="1:85" ht="18" customHeight="1">
      <c r="A6" s="22" t="s">
        <v>21</v>
      </c>
      <c r="B6" s="23" t="str">
        <f>IFERROR(VLOOKUP(A6,PROPIETARIOS!A7:D43,3),"")</f>
        <v>JESENIA FUENTES DE JIMENEZ</v>
      </c>
      <c r="C6" s="24">
        <v>1.71</v>
      </c>
      <c r="D6" s="25">
        <f>SUMIFS(EGRESOS!$C$4:$C$593,EGRESOS!$A$4:$A$593,D$1,EGRESOS!$E$4:$E$593,GASTOS!A58)</f>
        <v>180</v>
      </c>
      <c r="E6" s="25">
        <f>SUMIFS(EGRESOS!$C$4:$C$593,EGRESOS!$A$4:$A$593,E$1,EGRESOS!$E$4:$E$593,GASTOS!A58)</f>
        <v>-85</v>
      </c>
      <c r="F6" s="25">
        <f>SUMIFS(EGRESOS!$C$4:$C$593,EGRESOS!$A$4:$A$593,F$1,EGRESOS!$E$4:$E$593,GASTOS!A58)</f>
        <v>95</v>
      </c>
      <c r="G6" s="25">
        <f>SUMIFS(EGRESOS!$C$4:$C$593,EGRESOS!$A$4:$A$593,G$1,EGRESOS!$E$4:$E$593,GASTOS!A58)</f>
        <v>0</v>
      </c>
      <c r="H6" s="25">
        <f>SUMIFS(EGRESOS!$C$4:$C$593,EGRESOS!$A$4:$A$593,H$1,EGRESOS!$E$4:$E$593,GASTOS!A58)</f>
        <v>160</v>
      </c>
      <c r="I6" s="25">
        <f>SUMIFS(EGRESOS!$C$4:$C$593,EGRESOS!$A$4:$A$593,I$1,EGRESOS!$E$4:$E$593,GASTOS!A58)</f>
        <v>95</v>
      </c>
      <c r="J6" s="25">
        <f>SUMIFS(EGRESOS!$C$4:$C$593,EGRESOS!$A$4:$A$593,J$1,EGRESOS!$E$4:$E$593,GASTOS!A58)</f>
        <v>0</v>
      </c>
      <c r="K6" s="25">
        <f>SUMIFS(EGRESOS!$C$4:$C$593,EGRESOS!$A$4:$A$593,K$1,EGRESOS!$E$4:$E$593,GASTOS!A58)</f>
        <v>15</v>
      </c>
      <c r="L6" s="25">
        <f>SUMIFS(EGRESOS!$C$4:$C$593,EGRESOS!$A$4:$A$593,L$1,EGRESOS!$E$4:$E$593,GASTOS!A58)</f>
        <v>0</v>
      </c>
      <c r="M6" s="25">
        <f>SUMIFS(EGRESOS!$C$4:$C$593,EGRESOS!$A$4:$A$593,M$1,EGRESOS!$E$4:$E$593,GASTOS!A58)</f>
        <v>40</v>
      </c>
      <c r="N6" s="25">
        <f>SUMIFS(EGRESOS!$C$4:$C$593,EGRESOS!$A$4:$A$593,N$1,EGRESOS!$E$4:$E$593,GASTOS!A58)</f>
        <v>20</v>
      </c>
      <c r="O6" s="25">
        <f>SUMIFS(EGRESOS!$C$4:$C$593,EGRESOS!$A$4:$A$593,O$1,EGRESOS!$E$4:$E$593,GASTOS!A58)</f>
        <v>0</v>
      </c>
      <c r="P6" s="25">
        <f>SUMIFS(EGRESOS!$C$4:$C$593,EGRESOS!$A$4:$A$593,P$1,EGRESOS!$E$4:$E$593,GASTOS!A58)</f>
        <v>0</v>
      </c>
      <c r="Q6" s="25">
        <f>SUMIFS(EGRESOS!$C$4:$C$593,EGRESOS!$A$4:$A$593,Q$1,EGRESOS!$E$4:$E$593,GASTOS!A58)</f>
        <v>0</v>
      </c>
      <c r="R6" s="25">
        <f>SUMIFS(EGRESOS!$C$4:$C$593,EGRESOS!$A$4:$A$593,R$1,EGRESOS!$E$4:$E$593,GASTOS!A58)</f>
        <v>0</v>
      </c>
      <c r="S6" s="25">
        <f>SUMIFS(EGRESOS!$C$4:$C$593,EGRESOS!$A$4:$A$593,S$1,EGRESOS!$E$4:$E$593,GASTOS!A58)</f>
        <v>0</v>
      </c>
      <c r="T6" s="25">
        <f>SUMIFS(EGRESOS!$C$4:$C$593,EGRESOS!$A$4:$A$593,T$1,EGRESOS!$E$4:$E$593,GASTOS!A58)</f>
        <v>0</v>
      </c>
      <c r="U6" s="25">
        <f>SUMIFS(EGRESOS!$C$4:$C$593,EGRESOS!$A$4:$A$593,U$1,EGRESOS!$E$4:$E$593,GASTOS!A58)</f>
        <v>0</v>
      </c>
      <c r="V6" s="25">
        <f>SUMIFS(EGRESOS!$C$4:$C$593,EGRESOS!$A$4:$A$593,V$1,EGRESOS!$E$4:$E$593,GASTOS!A58)</f>
        <v>15</v>
      </c>
      <c r="W6" s="25">
        <f>SUMIFS(EGRESOS!$C$4:$C$593,EGRESOS!$A$4:$A$593,W$1,EGRESOS!$E$4:$E$593,GASTOS!A58)</f>
        <v>0</v>
      </c>
      <c r="X6" s="25">
        <f>SUMIFS(EGRESOS!$C$4:$C$593,EGRESOS!$A$4:$A$593,X$1,EGRESOS!$E$4:$E$593,GASTOS!A58)</f>
        <v>0</v>
      </c>
      <c r="Y6" s="25">
        <f>SUMIFS(EGRESOS!$C$4:$C$593,EGRESOS!$A$4:$A$593,Y$1,EGRESOS!$E$4:$E$593,GASTOS!A58)</f>
        <v>0</v>
      </c>
      <c r="Z6" s="25">
        <f>SUMIFS(EGRESOS!$C$4:$C$593,EGRESOS!$A$4:$A$593,Z$1,EGRESOS!$E$4:$E$593,GASTOS!A58)</f>
        <v>0</v>
      </c>
      <c r="AA6" s="25">
        <f>SUMIFS(EGRESOS!$C$4:$C$593,EGRESOS!$A$4:$A$593,AA$1,EGRESOS!$E$4:$E$593,GASTOS!A58)</f>
        <v>0</v>
      </c>
      <c r="AB6" s="25">
        <f>SUMIFS(EGRESOS!$C$4:$C$593,EGRESOS!$A$4:$A$593,AB$1,EGRESOS!$E$4:$E$593,GASTOS!A58)</f>
        <v>0</v>
      </c>
      <c r="AC6" s="25">
        <f>IF(PROPIETARIOS!E8&lt;&gt;"",SUMIFS(EGRESOS!$C$4:$C$593,EGRESOS!$A$4:$A$593,AC$1,EGRESOS!$E$4:$E$593,GASTOS!A58),0)</f>
        <v>76.5</v>
      </c>
      <c r="AD6" s="25">
        <f>IF(PROPIETARIOS!F8&lt;&gt;"",SUMIFS(EGRESOS!$C$4:$C$593,EGRESOS!$A$4:$A$593,AD$1,EGRESOS!$E$4:$E$593,GASTOS!A58),0)</f>
        <v>0</v>
      </c>
      <c r="AE6" s="25">
        <f>SUMIFS(EGRESOS!$C$4:$C$593,EGRESOS!$A$4:$A$593,AE$1,EGRESOS!$E$4:$E$593,GASTOS!$A$58)</f>
        <v>230</v>
      </c>
      <c r="AF6" s="25">
        <f>IF(PROPIETARIOS!H8&lt;&gt;"",SUMIFS(EGRESOS!$C$4:$C$593,EGRESOS!$A$4:$A$593,AF$1,EGRESOS!$E$4:$E$593,GASTOS!A58),0)</f>
        <v>0</v>
      </c>
      <c r="AG6" s="25">
        <f>IF(PROPIETARIOS!I8&lt;&gt;"",SUMIFS(EGRESOS!$C$4:$C$593,EGRESOS!$A$4:$A$593,AG$1,EGRESOS!$E$4:$E$593,GASTOS!A58),0)</f>
        <v>0</v>
      </c>
      <c r="AH6" s="25">
        <f>IF(PROPIETARIOS!J8&lt;&gt;"",SUMIFS(EGRESOS!$C$4:$C$593,EGRESOS!$A$4:$A$593,AH$1,EGRESOS!$E$4:$E$593,GASTOS!A58),0)</f>
        <v>0</v>
      </c>
      <c r="AI6" s="25">
        <f>IF(PROPIETARIOS!K8&lt;&gt;"",SUMIFS(EGRESOS!$C$4:$C$593,EGRESOS!$A$4:$A$593,AI$1,EGRESOS!$E$4:$E$593,GASTOS!A58),0)</f>
        <v>0</v>
      </c>
      <c r="AJ6" s="25">
        <f>SUMIFS(EGRESOS!$C$4:$C$593,EGRESOS!$A$4:$A$593,AJ$1,EGRESOS!$E$4:$E$593,GASTOS!A58)</f>
        <v>0</v>
      </c>
      <c r="AK6" s="25">
        <f>SUMIFS(EGRESOS!$C$4:$C$593,EGRESOS!$A$4:$A$593,AK$1,EGRESOS!$E$4:$E$593,GASTOS!A58)</f>
        <v>0</v>
      </c>
      <c r="AL6" s="25">
        <f>SUMIFS(EGRESOS!$C$4:$C$593,EGRESOS!$A$4:$A$593,AL$1,EGRESOS!$E$4:$E$593,GASTOS!A58)</f>
        <v>0</v>
      </c>
      <c r="AM6" s="25">
        <f>D6*$C$6%</f>
        <v>3.0780000000000003</v>
      </c>
      <c r="AN6" s="25">
        <f t="shared" ref="AN6:BK6" si="9">E6*$C$6%</f>
        <v>-1.4535</v>
      </c>
      <c r="AO6" s="25">
        <f t="shared" si="9"/>
        <v>1.6245000000000001</v>
      </c>
      <c r="AP6" s="25">
        <f t="shared" si="9"/>
        <v>0</v>
      </c>
      <c r="AQ6" s="25">
        <f t="shared" si="9"/>
        <v>2.7360000000000002</v>
      </c>
      <c r="AR6" s="25">
        <f t="shared" si="9"/>
        <v>1.6245000000000001</v>
      </c>
      <c r="AS6" s="25">
        <f t="shared" si="9"/>
        <v>0</v>
      </c>
      <c r="AT6" s="25">
        <f t="shared" si="9"/>
        <v>0.25650000000000001</v>
      </c>
      <c r="AU6" s="25">
        <f t="shared" si="9"/>
        <v>0</v>
      </c>
      <c r="AV6" s="25">
        <f t="shared" si="9"/>
        <v>0.68400000000000005</v>
      </c>
      <c r="AW6" s="25">
        <f t="shared" si="9"/>
        <v>0.34200000000000003</v>
      </c>
      <c r="AX6" s="25">
        <f t="shared" si="9"/>
        <v>0</v>
      </c>
      <c r="AY6" s="25">
        <f t="shared" si="9"/>
        <v>0</v>
      </c>
      <c r="AZ6" s="25">
        <f t="shared" si="9"/>
        <v>0</v>
      </c>
      <c r="BA6" s="25">
        <f t="shared" si="9"/>
        <v>0</v>
      </c>
      <c r="BB6" s="25">
        <f t="shared" si="9"/>
        <v>0</v>
      </c>
      <c r="BC6" s="25">
        <f t="shared" si="9"/>
        <v>0</v>
      </c>
      <c r="BD6" s="25">
        <f t="shared" si="9"/>
        <v>0</v>
      </c>
      <c r="BE6" s="25">
        <f t="shared" si="9"/>
        <v>0.25650000000000001</v>
      </c>
      <c r="BF6" s="25">
        <f t="shared" si="9"/>
        <v>0</v>
      </c>
      <c r="BG6" s="25">
        <f t="shared" si="9"/>
        <v>0</v>
      </c>
      <c r="BH6" s="25">
        <f t="shared" si="9"/>
        <v>0</v>
      </c>
      <c r="BI6" s="25">
        <f t="shared" si="9"/>
        <v>0</v>
      </c>
      <c r="BJ6" s="25">
        <f t="shared" si="9"/>
        <v>0</v>
      </c>
      <c r="BK6" s="25">
        <f t="shared" si="9"/>
        <v>0</v>
      </c>
      <c r="BL6" s="25">
        <f t="shared" si="5"/>
        <v>1.3081500000000001</v>
      </c>
      <c r="BM6" s="25">
        <f>IFERROR(AD6/COUNTIF(PROPIETARIOS!$F$4:$F$38,"GNC02"),0)</f>
        <v>0</v>
      </c>
      <c r="BN6" s="25">
        <f>IFERROR(AE6/COUNTIF(PROPIETARIOS!$G$4:$G$38,"GNC03"),0)</f>
        <v>6.5714285714285712</v>
      </c>
      <c r="BO6" s="25">
        <f>IFERROR(AF6/COUNTIF(PROPIETARIOS!$H$4:$H$38,"GNC04"),0)</f>
        <v>0</v>
      </c>
      <c r="BP6" s="25">
        <f>IFERROR(AG6/COUNTIF(PROPIETARIOS!$I$4:$I$38,"GNC05"),0)</f>
        <v>0</v>
      </c>
      <c r="BQ6" s="25">
        <v>0</v>
      </c>
      <c r="BR6" s="25">
        <v>0</v>
      </c>
      <c r="BS6" s="203">
        <f t="shared" si="1"/>
        <v>841.5</v>
      </c>
      <c r="BT6" s="203">
        <f t="shared" si="2"/>
        <v>17.028078571428573</v>
      </c>
      <c r="BU6" s="26" t="s">
        <v>243</v>
      </c>
      <c r="BV6" s="34">
        <f t="shared" ca="1" si="3"/>
        <v>46209</v>
      </c>
      <c r="BW6" s="23">
        <v>0</v>
      </c>
      <c r="BX6" s="36">
        <f>Hoja6!FR8</f>
        <v>0</v>
      </c>
      <c r="BY6" s="23" t="str">
        <f t="shared" si="6"/>
        <v>1,71</v>
      </c>
      <c r="BZ6" s="27" t="s">
        <v>425</v>
      </c>
      <c r="CA6" s="28" t="str">
        <f>convertirnum(Tabla1[[#This Row],[TOTALAL]])</f>
        <v>DIECISIETE CON 03/100 DÓLARES</v>
      </c>
      <c r="CB6" s="28">
        <f>5%*Hoja6!FT8</f>
        <v>0</v>
      </c>
      <c r="CC6" s="192">
        <f>IF(Tabla1[[#This Row],[DEUDA]]&gt;0,Hoja6!HL8,0)</f>
        <v>0</v>
      </c>
      <c r="CD6" s="28">
        <f>Hoja6!HM8</f>
        <v>0</v>
      </c>
      <c r="CE6" s="200">
        <f>IF(Tabla1[[#This Row],[DEUDA]]&gt;0,Hoja6!FT8,0)</f>
        <v>0</v>
      </c>
      <c r="CF6" s="28" t="str">
        <f>"_"&amp;Tabla1[[#This Row],[APTO-LOCAL-OFIC.]]&amp;" "&amp;Tabla1[[#This Row],[PROPIETARIO]]&amp;"-"</f>
        <v>_APTO. 201 JESENIA FUENTES DE JIMENEZ-</v>
      </c>
    </row>
    <row r="7" spans="1:85" ht="18" customHeight="1">
      <c r="A7" s="29" t="s">
        <v>23</v>
      </c>
      <c r="B7" s="30" t="str">
        <f>IFERROR(VLOOKUP(A7,PROPIETARIOS!A8:D44,3),"")</f>
        <v>ANDREINA</v>
      </c>
      <c r="C7" s="31">
        <v>1.71</v>
      </c>
      <c r="D7" s="32">
        <f>SUMIFS(EGRESOS!$C$4:$C$593,EGRESOS!$A$4:$A$593,D$1,EGRESOS!$E$4:$E$593,GASTOS!A58)</f>
        <v>180</v>
      </c>
      <c r="E7" s="32">
        <f>SUMIFS(EGRESOS!$C$4:$C$593,EGRESOS!$A$4:$A$593,E$1,EGRESOS!$E$4:$E$593,GASTOS!A58)</f>
        <v>-85</v>
      </c>
      <c r="F7" s="32">
        <f>SUMIFS(EGRESOS!$C$4:$C$593,EGRESOS!$A$4:$A$593,F$1,EGRESOS!$E$4:$E$593,GASTOS!A58)</f>
        <v>95</v>
      </c>
      <c r="G7" s="32">
        <f>SUMIFS(EGRESOS!$C$4:$C$593,EGRESOS!$A$4:$A$593,G$1,EGRESOS!$E$4:$E$593,GASTOS!A58)</f>
        <v>0</v>
      </c>
      <c r="H7" s="32">
        <f>SUMIFS(EGRESOS!$C$4:$C$593,EGRESOS!$A$4:$A$593,H$1,EGRESOS!$E$4:$E$593,GASTOS!A58)</f>
        <v>160</v>
      </c>
      <c r="I7" s="32">
        <f>SUMIFS(EGRESOS!$C$4:$C$593,EGRESOS!$A$4:$A$593,I$1,EGRESOS!$E$4:$E$593,GASTOS!A58)</f>
        <v>95</v>
      </c>
      <c r="J7" s="32">
        <f>SUMIFS(EGRESOS!$C$4:$C$593,EGRESOS!$A$4:$A$593,J$1,EGRESOS!$E$4:$E$593,GASTOS!A58)</f>
        <v>0</v>
      </c>
      <c r="K7" s="32">
        <f>SUMIFS(EGRESOS!$C$4:$C$593,EGRESOS!$A$4:$A$593,K$1,EGRESOS!$E$4:$E$593,GASTOS!A58)</f>
        <v>15</v>
      </c>
      <c r="L7" s="32">
        <f>SUMIFS(EGRESOS!$C$4:$C$593,EGRESOS!$A$4:$A$593,L$1,EGRESOS!$E$4:$E$593,GASTOS!A58)</f>
        <v>0</v>
      </c>
      <c r="M7" s="32">
        <f>SUMIFS(EGRESOS!$C$4:$C$593,EGRESOS!$A$4:$A$593,M$1,EGRESOS!$E$4:$E$593,GASTOS!A58)</f>
        <v>40</v>
      </c>
      <c r="N7" s="32">
        <f>SUMIFS(EGRESOS!$C$4:$C$593,EGRESOS!$A$4:$A$593,N$1,EGRESOS!$E$4:$E$593,GASTOS!A58)</f>
        <v>20</v>
      </c>
      <c r="O7" s="32">
        <f>SUMIFS(EGRESOS!$C$4:$C$593,EGRESOS!$A$4:$A$593,O$1,EGRESOS!$E$4:$E$593,GASTOS!A58)</f>
        <v>0</v>
      </c>
      <c r="P7" s="32">
        <f>SUMIFS(EGRESOS!$C$4:$C$593,EGRESOS!$A$4:$A$593,P$1,EGRESOS!$E$4:$E$593,GASTOS!A58)</f>
        <v>0</v>
      </c>
      <c r="Q7" s="32">
        <f>SUMIFS(EGRESOS!$C$4:$C$593,EGRESOS!$A$4:$A$593,Q$1,EGRESOS!$E$4:$E$593,GASTOS!A58)</f>
        <v>0</v>
      </c>
      <c r="R7" s="32">
        <f>SUMIFS(EGRESOS!$C$4:$C$593,EGRESOS!$A$4:$A$593,R$1,EGRESOS!$E$4:$E$593,GASTOS!A58)</f>
        <v>0</v>
      </c>
      <c r="S7" s="32">
        <f>SUMIFS(EGRESOS!$C$4:$C$593,EGRESOS!$A$4:$A$593,S$1,EGRESOS!$E$4:$E$593,GASTOS!A58)</f>
        <v>0</v>
      </c>
      <c r="T7" s="32">
        <f>SUMIFS(EGRESOS!$C$4:$C$593,EGRESOS!$A$4:$A$593,T$1,EGRESOS!$E$4:$E$593,GASTOS!A58)</f>
        <v>0</v>
      </c>
      <c r="U7" s="32">
        <f>SUMIFS(EGRESOS!$C$4:$C$593,EGRESOS!$A$4:$A$593,U$1,EGRESOS!$E$4:$E$593,GASTOS!A58)</f>
        <v>0</v>
      </c>
      <c r="V7" s="32">
        <f>SUMIFS(EGRESOS!$C$4:$C$593,EGRESOS!$A$4:$A$593,V$1,EGRESOS!$E$4:$E$593,GASTOS!A58)</f>
        <v>15</v>
      </c>
      <c r="W7" s="32">
        <f>SUMIFS(EGRESOS!$C$4:$C$593,EGRESOS!$A$4:$A$593,W$1,EGRESOS!$E$4:$E$593,GASTOS!A58)</f>
        <v>0</v>
      </c>
      <c r="X7" s="32">
        <f>SUMIFS(EGRESOS!$C$4:$C$593,EGRESOS!$A$4:$A$593,X$1,EGRESOS!$E$4:$E$593,GASTOS!A58)</f>
        <v>0</v>
      </c>
      <c r="Y7" s="32">
        <f>SUMIFS(EGRESOS!$C$4:$C$593,EGRESOS!$A$4:$A$593,Y$1,EGRESOS!$E$4:$E$593,GASTOS!A58)</f>
        <v>0</v>
      </c>
      <c r="Z7" s="32">
        <f>SUMIFS(EGRESOS!$C$4:$C$593,EGRESOS!$A$4:$A$593,Z$1,EGRESOS!$E$4:$E$593,GASTOS!A58)</f>
        <v>0</v>
      </c>
      <c r="AA7" s="32">
        <f>SUMIFS(EGRESOS!$C$4:$C$593,EGRESOS!$A$4:$A$593,AA$1,EGRESOS!$E$4:$E$593,GASTOS!A58)</f>
        <v>0</v>
      </c>
      <c r="AB7" s="32">
        <f>SUMIFS(EGRESOS!$C$4:$C$593,EGRESOS!$A$4:$A$593,AB$1,EGRESOS!$E$4:$E$593,GASTOS!A58)</f>
        <v>0</v>
      </c>
      <c r="AC7" s="32">
        <f>IF(PROPIETARIOS!E9&lt;&gt;"",SUMIFS(EGRESOS!$C$4:$C$593,EGRESOS!$A$4:$A$593,AC$1,EGRESOS!$E$4:$E$593,GASTOS!A58),0)</f>
        <v>76.5</v>
      </c>
      <c r="AD7" s="32">
        <f>IF(PROPIETARIOS!F9&lt;&gt;"",SUMIFS(EGRESOS!$C$4:$C$593,EGRESOS!$A$4:$A$593,AD$1,EGRESOS!$E$4:$E$593,GASTOS!A58),0)</f>
        <v>0</v>
      </c>
      <c r="AE7" s="32">
        <f>SUMIFS(EGRESOS!$C$4:$C$593,EGRESOS!$A$4:$A$593,AE$1,EGRESOS!$E$4:$E$593,GASTOS!$A$58)</f>
        <v>230</v>
      </c>
      <c r="AF7" s="32">
        <f>IF(PROPIETARIOS!H9&lt;&gt;"",SUMIFS(EGRESOS!$C$4:$C$593,EGRESOS!$A$4:$A$593,AF$1,EGRESOS!$E$4:$E$593,GASTOS!A58),0)</f>
        <v>0</v>
      </c>
      <c r="AG7" s="32">
        <f>IF(PROPIETARIOS!I9&lt;&gt;"",SUMIFS(EGRESOS!$C$4:$C$593,EGRESOS!$A$4:$A$593,AG$1,EGRESOS!$E$4:$E$593,GASTOS!A58),0)</f>
        <v>0</v>
      </c>
      <c r="AH7" s="32">
        <f>IF(PROPIETARIOS!J9&lt;&gt;"",SUMIFS(EGRESOS!$C$4:$C$593,EGRESOS!$A$4:$A$593,AH$1,EGRESOS!$E$4:$E$593,GASTOS!A58),0)</f>
        <v>0</v>
      </c>
      <c r="AI7" s="32">
        <f>IF(PROPIETARIOS!K9&lt;&gt;"",SUMIFS(EGRESOS!$C$4:$C$593,EGRESOS!$A$4:$A$593,AI$1,EGRESOS!$E$4:$E$593,GASTOS!A58),0)</f>
        <v>0</v>
      </c>
      <c r="AJ7" s="32">
        <f>SUMIFS(EGRESOS!$C$4:$C$593,EGRESOS!$A$4:$A$593,AJ$1,EGRESOS!$E$4:$E$593,GASTOS!A58)</f>
        <v>0</v>
      </c>
      <c r="AK7" s="32">
        <f>SUMIFS(EGRESOS!$C$4:$C$593,EGRESOS!$A$4:$A$593,AK$1,EGRESOS!$E$4:$E$593,GASTOS!A58)</f>
        <v>0</v>
      </c>
      <c r="AL7" s="32">
        <f>SUMIFS(EGRESOS!$C$4:$C$593,EGRESOS!$A$4:$A$593,AL$1,EGRESOS!$E$4:$E$593,GASTOS!A58)</f>
        <v>0</v>
      </c>
      <c r="AM7" s="32">
        <f>D7*$C$7%</f>
        <v>3.0780000000000003</v>
      </c>
      <c r="AN7" s="32">
        <f t="shared" ref="AN7:BK7" si="10">E7*$C$7%</f>
        <v>-1.4535</v>
      </c>
      <c r="AO7" s="32">
        <f t="shared" si="10"/>
        <v>1.6245000000000001</v>
      </c>
      <c r="AP7" s="32">
        <f t="shared" si="10"/>
        <v>0</v>
      </c>
      <c r="AQ7" s="32">
        <f t="shared" si="10"/>
        <v>2.7360000000000002</v>
      </c>
      <c r="AR7" s="32">
        <f t="shared" si="10"/>
        <v>1.6245000000000001</v>
      </c>
      <c r="AS7" s="32">
        <f t="shared" si="10"/>
        <v>0</v>
      </c>
      <c r="AT7" s="32">
        <f t="shared" si="10"/>
        <v>0.25650000000000001</v>
      </c>
      <c r="AU7" s="32">
        <f t="shared" si="10"/>
        <v>0</v>
      </c>
      <c r="AV7" s="32">
        <f t="shared" si="10"/>
        <v>0.68400000000000005</v>
      </c>
      <c r="AW7" s="32">
        <f t="shared" si="10"/>
        <v>0.34200000000000003</v>
      </c>
      <c r="AX7" s="32">
        <f t="shared" si="10"/>
        <v>0</v>
      </c>
      <c r="AY7" s="32">
        <f t="shared" si="10"/>
        <v>0</v>
      </c>
      <c r="AZ7" s="32">
        <f t="shared" si="10"/>
        <v>0</v>
      </c>
      <c r="BA7" s="32">
        <f t="shared" si="10"/>
        <v>0</v>
      </c>
      <c r="BB7" s="32">
        <f t="shared" si="10"/>
        <v>0</v>
      </c>
      <c r="BC7" s="32">
        <f t="shared" si="10"/>
        <v>0</v>
      </c>
      <c r="BD7" s="32">
        <f t="shared" si="10"/>
        <v>0</v>
      </c>
      <c r="BE7" s="32">
        <f t="shared" si="10"/>
        <v>0.25650000000000001</v>
      </c>
      <c r="BF7" s="32">
        <f t="shared" si="10"/>
        <v>0</v>
      </c>
      <c r="BG7" s="32">
        <f t="shared" si="10"/>
        <v>0</v>
      </c>
      <c r="BH7" s="32">
        <f t="shared" si="10"/>
        <v>0</v>
      </c>
      <c r="BI7" s="32">
        <f t="shared" si="10"/>
        <v>0</v>
      </c>
      <c r="BJ7" s="32">
        <f t="shared" si="10"/>
        <v>0</v>
      </c>
      <c r="BK7" s="32">
        <f t="shared" si="10"/>
        <v>0</v>
      </c>
      <c r="BL7" s="32">
        <f t="shared" si="5"/>
        <v>1.3081500000000001</v>
      </c>
      <c r="BM7" s="32">
        <f>IFERROR(AD7/COUNTIF(PROPIETARIOS!$F$4:$F$38,"GNC02"),0)</f>
        <v>0</v>
      </c>
      <c r="BN7" s="32">
        <f>IFERROR(AE7/COUNTIF(PROPIETARIOS!$G$4:$G$38,"GNC03"),0)</f>
        <v>6.5714285714285712</v>
      </c>
      <c r="BO7" s="32">
        <f>IFERROR(AF7/COUNTIF(PROPIETARIOS!$H$4:$H$38,"GNC04"),0)</f>
        <v>0</v>
      </c>
      <c r="BP7" s="32">
        <f>IFERROR(AG7/COUNTIF(PROPIETARIOS!$I$4:$I$38,"GNC05"),0)</f>
        <v>0</v>
      </c>
      <c r="BQ7" s="32">
        <v>0</v>
      </c>
      <c r="BR7" s="32">
        <v>0</v>
      </c>
      <c r="BS7" s="204">
        <f t="shared" si="1"/>
        <v>841.5</v>
      </c>
      <c r="BT7" s="204">
        <f t="shared" si="2"/>
        <v>17.028078571428573</v>
      </c>
      <c r="BU7" s="33"/>
      <c r="BV7" s="34">
        <f t="shared" ca="1" si="3"/>
        <v>46209</v>
      </c>
      <c r="BW7" s="30">
        <v>0</v>
      </c>
      <c r="BX7" s="36">
        <f>Hoja6!FR9</f>
        <v>0</v>
      </c>
      <c r="BY7" s="30" t="str">
        <f t="shared" si="6"/>
        <v>1,71</v>
      </c>
      <c r="BZ7" s="27" t="s">
        <v>425</v>
      </c>
      <c r="CA7" s="28" t="str">
        <f>convertirnum(Tabla1[[#This Row],[TOTALAL]])</f>
        <v>DIECISIETE CON 03/100 DÓLARES</v>
      </c>
      <c r="CB7" s="28">
        <f>5%*Hoja6!FT9</f>
        <v>0</v>
      </c>
      <c r="CC7" s="192">
        <f>IF(Tabla1[[#This Row],[DEUDA]]&gt;0,Hoja6!HL9,0)</f>
        <v>0</v>
      </c>
      <c r="CD7" s="28">
        <f>Hoja6!HM9</f>
        <v>0</v>
      </c>
      <c r="CE7" s="200">
        <f>IF(Tabla1[[#This Row],[DEUDA]]&gt;0,Hoja6!FT9,0)</f>
        <v>0</v>
      </c>
      <c r="CF7" s="28" t="str">
        <f>"_"&amp;Tabla1[[#This Row],[APTO-LOCAL-OFIC.]]&amp;" "&amp;Tabla1[[#This Row],[PROPIETARIO]]&amp;"-"</f>
        <v>_APTO. 202 ANDREINA-</v>
      </c>
    </row>
    <row r="8" spans="1:85" ht="18" customHeight="1">
      <c r="A8" s="29" t="s">
        <v>25</v>
      </c>
      <c r="B8" s="30" t="str">
        <f>IFERROR(VLOOKUP(A8,PROPIETARIOS!A9:D45,3),"")</f>
        <v>HECTOR SILVA</v>
      </c>
      <c r="C8" s="31">
        <v>1.71</v>
      </c>
      <c r="D8" s="32">
        <f>SUMIFS(EGRESOS!$C$4:$C$593,EGRESOS!$A$4:$A$593,D$1,EGRESOS!$E$4:$E$593,GASTOS!A58)</f>
        <v>180</v>
      </c>
      <c r="E8" s="32">
        <f>SUMIFS(EGRESOS!$C$4:$C$593,EGRESOS!$A$4:$A$593,E$1,EGRESOS!$E$4:$E$593,GASTOS!A58)</f>
        <v>-85</v>
      </c>
      <c r="F8" s="32">
        <f>SUMIFS(EGRESOS!$C$4:$C$593,EGRESOS!$A$4:$A$593,F$1,EGRESOS!$E$4:$E$593,GASTOS!A58)</f>
        <v>95</v>
      </c>
      <c r="G8" s="32">
        <f>SUMIFS(EGRESOS!$C$4:$C$593,EGRESOS!$A$4:$A$593,G$1,EGRESOS!$E$4:$E$593,GASTOS!A58)</f>
        <v>0</v>
      </c>
      <c r="H8" s="32">
        <f>SUMIFS(EGRESOS!$C$4:$C$593,EGRESOS!$A$4:$A$593,H$1,EGRESOS!$E$4:$E$593,GASTOS!A58)</f>
        <v>160</v>
      </c>
      <c r="I8" s="32">
        <f>SUMIFS(EGRESOS!$C$4:$C$593,EGRESOS!$A$4:$A$593,I$1,EGRESOS!$E$4:$E$593,GASTOS!A58)</f>
        <v>95</v>
      </c>
      <c r="J8" s="32">
        <f>SUMIFS(EGRESOS!$C$4:$C$593,EGRESOS!$A$4:$A$593,J$1,EGRESOS!$E$4:$E$593,GASTOS!A58)</f>
        <v>0</v>
      </c>
      <c r="K8" s="32">
        <f>SUMIFS(EGRESOS!$C$4:$C$593,EGRESOS!$A$4:$A$593,K$1,EGRESOS!$E$4:$E$593,GASTOS!A58)</f>
        <v>15</v>
      </c>
      <c r="L8" s="32">
        <f>SUMIFS(EGRESOS!$C$4:$C$593,EGRESOS!$A$4:$A$593,L$1,EGRESOS!$E$4:$E$593,GASTOS!A58)</f>
        <v>0</v>
      </c>
      <c r="M8" s="32">
        <f>SUMIFS(EGRESOS!$C$4:$C$593,EGRESOS!$A$4:$A$593,M$1,EGRESOS!$E$4:$E$593,GASTOS!A58)</f>
        <v>40</v>
      </c>
      <c r="N8" s="32">
        <f>SUMIFS(EGRESOS!$C$4:$C$593,EGRESOS!$A$4:$A$593,N$1,EGRESOS!$E$4:$E$593,GASTOS!A58)</f>
        <v>20</v>
      </c>
      <c r="O8" s="32">
        <f>SUMIFS(EGRESOS!$C$4:$C$593,EGRESOS!$A$4:$A$593,O$1,EGRESOS!$E$4:$E$593,GASTOS!A58)</f>
        <v>0</v>
      </c>
      <c r="P8" s="32">
        <f>SUMIFS(EGRESOS!$C$4:$C$593,EGRESOS!$A$4:$A$593,P$1,EGRESOS!$E$4:$E$593,GASTOS!A58)</f>
        <v>0</v>
      </c>
      <c r="Q8" s="32">
        <f>SUMIFS(EGRESOS!$C$4:$C$593,EGRESOS!$A$4:$A$593,Q$1,EGRESOS!$E$4:$E$593,GASTOS!A58)</f>
        <v>0</v>
      </c>
      <c r="R8" s="32">
        <f>SUMIFS(EGRESOS!$C$4:$C$593,EGRESOS!$A$4:$A$593,R$1,EGRESOS!$E$4:$E$593,GASTOS!A58)</f>
        <v>0</v>
      </c>
      <c r="S8" s="32">
        <f>SUMIFS(EGRESOS!$C$4:$C$593,EGRESOS!$A$4:$A$593,S$1,EGRESOS!$E$4:$E$593,GASTOS!A58)</f>
        <v>0</v>
      </c>
      <c r="T8" s="32">
        <f>SUMIFS(EGRESOS!$C$4:$C$593,EGRESOS!$A$4:$A$593,T$1,EGRESOS!$E$4:$E$593,GASTOS!A58)</f>
        <v>0</v>
      </c>
      <c r="U8" s="32">
        <f>SUMIFS(EGRESOS!$C$4:$C$593,EGRESOS!$A$4:$A$593,U$1,EGRESOS!$E$4:$E$593,GASTOS!A58)</f>
        <v>0</v>
      </c>
      <c r="V8" s="32">
        <f>SUMIFS(EGRESOS!$C$4:$C$593,EGRESOS!$A$4:$A$593,V$1,EGRESOS!$E$4:$E$593,GASTOS!A58)</f>
        <v>15</v>
      </c>
      <c r="W8" s="32">
        <f>SUMIFS(EGRESOS!$C$4:$C$593,EGRESOS!$A$4:$A$593,W$1,EGRESOS!$E$4:$E$593,GASTOS!A58)</f>
        <v>0</v>
      </c>
      <c r="X8" s="32">
        <f>SUMIFS(EGRESOS!$C$4:$C$593,EGRESOS!$A$4:$A$593,X$1,EGRESOS!$E$4:$E$593,GASTOS!A58)</f>
        <v>0</v>
      </c>
      <c r="Y8" s="32">
        <f>SUMIFS(EGRESOS!$C$4:$C$593,EGRESOS!$A$4:$A$593,Y$1,EGRESOS!$E$4:$E$593,GASTOS!A58)</f>
        <v>0</v>
      </c>
      <c r="Z8" s="32">
        <f>SUMIFS(EGRESOS!$C$4:$C$593,EGRESOS!$A$4:$A$593,Z$1,EGRESOS!$E$4:$E$593,GASTOS!A58)</f>
        <v>0</v>
      </c>
      <c r="AA8" s="32">
        <f>SUMIFS(EGRESOS!$C$4:$C$593,EGRESOS!$A$4:$A$593,AA$1,EGRESOS!$E$4:$E$593,GASTOS!A58)</f>
        <v>0</v>
      </c>
      <c r="AB8" s="32">
        <f>SUMIFS(EGRESOS!$C$4:$C$593,EGRESOS!$A$4:$A$593,AB$1,EGRESOS!$E$4:$E$593,GASTOS!A58)</f>
        <v>0</v>
      </c>
      <c r="AC8" s="32">
        <f>IF(PROPIETARIOS!E10&lt;&gt;"",SUMIFS(EGRESOS!$C$4:$C$593,EGRESOS!$A$4:$A$593,AC$1,EGRESOS!$E$4:$E$593,GASTOS!A58),0)</f>
        <v>76.5</v>
      </c>
      <c r="AD8" s="32">
        <f>IF(PROPIETARIOS!F10&lt;&gt;"",SUMIFS(EGRESOS!$C$4:$C$593,EGRESOS!$A$4:$A$593,AD$1,EGRESOS!$E$4:$E$593,GASTOS!A58),0)</f>
        <v>0</v>
      </c>
      <c r="AE8" s="32">
        <f>SUMIFS(EGRESOS!$C$4:$C$593,EGRESOS!$A$4:$A$593,AE$1,EGRESOS!$E$4:$E$593,GASTOS!$A$58)</f>
        <v>230</v>
      </c>
      <c r="AF8" s="32">
        <f>IF(PROPIETARIOS!H10&lt;&gt;"",SUMIFS(EGRESOS!$C$4:$C$593,EGRESOS!$A$4:$A$593,AF$1,EGRESOS!$E$4:$E$593,GASTOS!A58),0)</f>
        <v>0</v>
      </c>
      <c r="AG8" s="32">
        <f>IF(PROPIETARIOS!I10&lt;&gt;"",SUMIFS(EGRESOS!$C$4:$C$593,EGRESOS!$A$4:$A$593,AG$1,EGRESOS!$E$4:$E$593,GASTOS!A58),0)</f>
        <v>0</v>
      </c>
      <c r="AH8" s="32">
        <f>IF(PROPIETARIOS!J10&lt;&gt;"",SUMIFS(EGRESOS!$C$4:$C$593,EGRESOS!$A$4:$A$593,AH$1,EGRESOS!$E$4:$E$593,GASTOS!A58),0)</f>
        <v>0</v>
      </c>
      <c r="AI8" s="32">
        <f>IF(PROPIETARIOS!K10&lt;&gt;"",SUMIFS(EGRESOS!$C$4:$C$593,EGRESOS!$A$4:$A$593,AI$1,EGRESOS!$E$4:$E$593,GASTOS!A58),0)</f>
        <v>0</v>
      </c>
      <c r="AJ8" s="32">
        <f>SUMIFS(EGRESOS!$C$4:$C$593,EGRESOS!$A$4:$A$593,AJ$1,EGRESOS!$E$4:$E$593,GASTOS!A58)</f>
        <v>0</v>
      </c>
      <c r="AK8" s="32">
        <f>SUMIFS(EGRESOS!$C$4:$C$593,EGRESOS!$A$4:$A$593,AK$1,EGRESOS!$E$4:$E$593,GASTOS!A58)</f>
        <v>0</v>
      </c>
      <c r="AL8" s="32">
        <f>SUMIFS(EGRESOS!$C$4:$C$593,EGRESOS!$A$4:$A$593,AL$1,EGRESOS!$E$4:$E$593,GASTOS!A58)</f>
        <v>0</v>
      </c>
      <c r="AM8" s="32">
        <f>D8*$C$8%</f>
        <v>3.0780000000000003</v>
      </c>
      <c r="AN8" s="32">
        <f t="shared" ref="AN8:BK8" si="11">E8*$C$8%</f>
        <v>-1.4535</v>
      </c>
      <c r="AO8" s="32">
        <f t="shared" si="11"/>
        <v>1.6245000000000001</v>
      </c>
      <c r="AP8" s="32">
        <f t="shared" si="11"/>
        <v>0</v>
      </c>
      <c r="AQ8" s="32">
        <f t="shared" si="11"/>
        <v>2.7360000000000002</v>
      </c>
      <c r="AR8" s="32">
        <f t="shared" si="11"/>
        <v>1.6245000000000001</v>
      </c>
      <c r="AS8" s="32">
        <f t="shared" si="11"/>
        <v>0</v>
      </c>
      <c r="AT8" s="32">
        <f t="shared" si="11"/>
        <v>0.25650000000000001</v>
      </c>
      <c r="AU8" s="32">
        <f t="shared" si="11"/>
        <v>0</v>
      </c>
      <c r="AV8" s="32">
        <f t="shared" si="11"/>
        <v>0.68400000000000005</v>
      </c>
      <c r="AW8" s="32">
        <f t="shared" si="11"/>
        <v>0.34200000000000003</v>
      </c>
      <c r="AX8" s="32">
        <f t="shared" si="11"/>
        <v>0</v>
      </c>
      <c r="AY8" s="32">
        <f t="shared" si="11"/>
        <v>0</v>
      </c>
      <c r="AZ8" s="32">
        <f t="shared" si="11"/>
        <v>0</v>
      </c>
      <c r="BA8" s="32">
        <f t="shared" si="11"/>
        <v>0</v>
      </c>
      <c r="BB8" s="32">
        <f t="shared" si="11"/>
        <v>0</v>
      </c>
      <c r="BC8" s="32">
        <f t="shared" si="11"/>
        <v>0</v>
      </c>
      <c r="BD8" s="32">
        <f t="shared" si="11"/>
        <v>0</v>
      </c>
      <c r="BE8" s="32">
        <f t="shared" si="11"/>
        <v>0.25650000000000001</v>
      </c>
      <c r="BF8" s="32">
        <f t="shared" si="11"/>
        <v>0</v>
      </c>
      <c r="BG8" s="32">
        <f t="shared" si="11"/>
        <v>0</v>
      </c>
      <c r="BH8" s="32">
        <f t="shared" si="11"/>
        <v>0</v>
      </c>
      <c r="BI8" s="32">
        <f t="shared" si="11"/>
        <v>0</v>
      </c>
      <c r="BJ8" s="32">
        <f t="shared" si="11"/>
        <v>0</v>
      </c>
      <c r="BK8" s="32">
        <f t="shared" si="11"/>
        <v>0</v>
      </c>
      <c r="BL8" s="32">
        <f t="shared" si="5"/>
        <v>1.3081500000000001</v>
      </c>
      <c r="BM8" s="32">
        <f>IFERROR(AD8/COUNTIF(PROPIETARIOS!$F$4:$F$38,"GNC02"),0)</f>
        <v>0</v>
      </c>
      <c r="BN8" s="32">
        <f>IFERROR(AE8/COUNTIF(PROPIETARIOS!$G$4:$G$38,"GNC03"),0)</f>
        <v>6.5714285714285712</v>
      </c>
      <c r="BO8" s="32">
        <f>IFERROR(AF8/COUNTIF(PROPIETARIOS!$H$4:$H$38,"GNC04"),0)</f>
        <v>0</v>
      </c>
      <c r="BP8" s="32">
        <f>IFERROR(AG8/COUNTIF(PROPIETARIOS!$I$4:$I$38,"GNC05"),0)</f>
        <v>0</v>
      </c>
      <c r="BQ8" s="32">
        <v>0</v>
      </c>
      <c r="BR8" s="32">
        <v>0</v>
      </c>
      <c r="BS8" s="204">
        <f t="shared" si="1"/>
        <v>841.5</v>
      </c>
      <c r="BT8" s="204">
        <f t="shared" si="2"/>
        <v>17.028078571428573</v>
      </c>
      <c r="BU8" s="33" t="s">
        <v>245</v>
      </c>
      <c r="BV8" s="34">
        <f t="shared" ca="1" si="3"/>
        <v>46209</v>
      </c>
      <c r="BW8" s="30">
        <v>0</v>
      </c>
      <c r="BX8" s="36">
        <f>Hoja6!FR10</f>
        <v>0</v>
      </c>
      <c r="BY8" s="30" t="str">
        <f t="shared" si="6"/>
        <v>1,71</v>
      </c>
      <c r="BZ8" s="27" t="s">
        <v>425</v>
      </c>
      <c r="CA8" s="28" t="str">
        <f>convertirnum(Tabla1[[#This Row],[TOTALAL]])</f>
        <v>DIECISIETE CON 03/100 DÓLARES</v>
      </c>
      <c r="CB8" s="28">
        <f>5%*Hoja6!FT10</f>
        <v>0</v>
      </c>
      <c r="CC8" s="192">
        <f>IF(Tabla1[[#This Row],[DEUDA]]&gt;0,Hoja6!HL10,0)</f>
        <v>0</v>
      </c>
      <c r="CD8" s="28">
        <f>Hoja6!HM10</f>
        <v>0</v>
      </c>
      <c r="CE8" s="200">
        <f>IF(Tabla1[[#This Row],[DEUDA]]&gt;0,Hoja6!FT10,0)</f>
        <v>0</v>
      </c>
      <c r="CF8" s="28" t="str">
        <f>"_"&amp;Tabla1[[#This Row],[APTO-LOCAL-OFIC.]]&amp;" "&amp;Tabla1[[#This Row],[PROPIETARIO]]&amp;"-"</f>
        <v>_APTO. 203 HECTOR SILVA-</v>
      </c>
    </row>
    <row r="9" spans="1:85" ht="18" customHeight="1">
      <c r="A9" s="29" t="s">
        <v>27</v>
      </c>
      <c r="B9" s="30" t="str">
        <f>IFERROR(VLOOKUP(A9,PROPIETARIOS!A10:D46,3),"")</f>
        <v>MIREYA TOLEDO</v>
      </c>
      <c r="C9" s="31">
        <v>1.71</v>
      </c>
      <c r="D9" s="32">
        <f>SUMIFS(EGRESOS!$C$4:$C$593,EGRESOS!$A$4:$A$593,D$1,EGRESOS!$E$4:$E$593,GASTOS!A58)</f>
        <v>180</v>
      </c>
      <c r="E9" s="32">
        <f>SUMIFS(EGRESOS!$C$4:$C$593,EGRESOS!$A$4:$A$593,E$1,EGRESOS!$E$4:$E$593,GASTOS!A58)</f>
        <v>-85</v>
      </c>
      <c r="F9" s="32">
        <f>SUMIFS(EGRESOS!$C$4:$C$593,EGRESOS!$A$4:$A$593,F$1,EGRESOS!$E$4:$E$593,GASTOS!A58)</f>
        <v>95</v>
      </c>
      <c r="G9" s="32">
        <f>SUMIFS(EGRESOS!$C$4:$C$593,EGRESOS!$A$4:$A$593,G$1,EGRESOS!$E$4:$E$593,GASTOS!A58)</f>
        <v>0</v>
      </c>
      <c r="H9" s="32">
        <f>SUMIFS(EGRESOS!$C$4:$C$593,EGRESOS!$A$4:$A$593,H$1,EGRESOS!$E$4:$E$593,GASTOS!A58)</f>
        <v>160</v>
      </c>
      <c r="I9" s="32">
        <f>SUMIFS(EGRESOS!$C$4:$C$593,EGRESOS!$A$4:$A$593,I$1,EGRESOS!$E$4:$E$593,GASTOS!A58)</f>
        <v>95</v>
      </c>
      <c r="J9" s="32">
        <f>SUMIFS(EGRESOS!$C$4:$C$593,EGRESOS!$A$4:$A$593,J$1,EGRESOS!$E$4:$E$593,GASTOS!A58)</f>
        <v>0</v>
      </c>
      <c r="K9" s="32">
        <f>SUMIFS(EGRESOS!$C$4:$C$593,EGRESOS!$A$4:$A$593,K$1,EGRESOS!$E$4:$E$593,GASTOS!A58)</f>
        <v>15</v>
      </c>
      <c r="L9" s="32">
        <f>SUMIFS(EGRESOS!$C$4:$C$593,EGRESOS!$A$4:$A$593,L$1,EGRESOS!$E$4:$E$593,GASTOS!A58)</f>
        <v>0</v>
      </c>
      <c r="M9" s="32">
        <f>SUMIFS(EGRESOS!$C$4:$C$593,EGRESOS!$A$4:$A$593,M$1,EGRESOS!$E$4:$E$593,GASTOS!A58)</f>
        <v>40</v>
      </c>
      <c r="N9" s="32">
        <f>SUMIFS(EGRESOS!$C$4:$C$593,EGRESOS!$A$4:$A$593,N$1,EGRESOS!$E$4:$E$593,GASTOS!A58)</f>
        <v>20</v>
      </c>
      <c r="O9" s="32">
        <f>SUMIFS(EGRESOS!$C$4:$C$593,EGRESOS!$A$4:$A$593,O$1,EGRESOS!$E$4:$E$593,GASTOS!A58)</f>
        <v>0</v>
      </c>
      <c r="P9" s="32">
        <f>SUMIFS(EGRESOS!$C$4:$C$593,EGRESOS!$A$4:$A$593,P$1,EGRESOS!$E$4:$E$593,GASTOS!A58)</f>
        <v>0</v>
      </c>
      <c r="Q9" s="32">
        <f>SUMIFS(EGRESOS!$C$4:$C$593,EGRESOS!$A$4:$A$593,Q$1,EGRESOS!$E$4:$E$593,GASTOS!A58)</f>
        <v>0</v>
      </c>
      <c r="R9" s="32">
        <f>SUMIFS(EGRESOS!$C$4:$C$593,EGRESOS!$A$4:$A$593,R$1,EGRESOS!$E$4:$E$593,GASTOS!A58)</f>
        <v>0</v>
      </c>
      <c r="S9" s="32">
        <f>SUMIFS(EGRESOS!$C$4:$C$593,EGRESOS!$A$4:$A$593,S$1,EGRESOS!$E$4:$E$593,GASTOS!A58)</f>
        <v>0</v>
      </c>
      <c r="T9" s="32">
        <f>SUMIFS(EGRESOS!$C$4:$C$593,EGRESOS!$A$4:$A$593,T$1,EGRESOS!$E$4:$E$593,GASTOS!A58)</f>
        <v>0</v>
      </c>
      <c r="U9" s="32">
        <f>SUMIFS(EGRESOS!$C$4:$C$593,EGRESOS!$A$4:$A$593,U$1,EGRESOS!$E$4:$E$593,GASTOS!A58)</f>
        <v>0</v>
      </c>
      <c r="V9" s="32">
        <f>SUMIFS(EGRESOS!$C$4:$C$593,EGRESOS!$A$4:$A$593,V$1,EGRESOS!$E$4:$E$593,GASTOS!A58)</f>
        <v>15</v>
      </c>
      <c r="W9" s="32">
        <f>SUMIFS(EGRESOS!$C$4:$C$593,EGRESOS!$A$4:$A$593,W$1,EGRESOS!$E$4:$E$593,GASTOS!A58)</f>
        <v>0</v>
      </c>
      <c r="X9" s="32">
        <f>SUMIFS(EGRESOS!$C$4:$C$593,EGRESOS!$A$4:$A$593,X$1,EGRESOS!$E$4:$E$593,GASTOS!A58)</f>
        <v>0</v>
      </c>
      <c r="Y9" s="32">
        <f>SUMIFS(EGRESOS!$C$4:$C$593,EGRESOS!$A$4:$A$593,Y$1,EGRESOS!$E$4:$E$593,GASTOS!A58)</f>
        <v>0</v>
      </c>
      <c r="Z9" s="32">
        <f>SUMIFS(EGRESOS!$C$4:$C$593,EGRESOS!$A$4:$A$593,Z$1,EGRESOS!$E$4:$E$593,GASTOS!A58)</f>
        <v>0</v>
      </c>
      <c r="AA9" s="32">
        <f>SUMIFS(EGRESOS!$C$4:$C$593,EGRESOS!$A$4:$A$593,AA$1,EGRESOS!$E$4:$E$593,GASTOS!A58)</f>
        <v>0</v>
      </c>
      <c r="AB9" s="32">
        <f>SUMIFS(EGRESOS!$C$4:$C$593,EGRESOS!$A$4:$A$593,AB$1,EGRESOS!$E$4:$E$593,GASTOS!A58)</f>
        <v>0</v>
      </c>
      <c r="AC9" s="32">
        <f>IF(PROPIETARIOS!E11&lt;&gt;"",SUMIFS(EGRESOS!$C$4:$C$593,EGRESOS!$A$4:$A$593,AC$1,EGRESOS!$E$4:$E$593,GASTOS!A58),0)</f>
        <v>76.5</v>
      </c>
      <c r="AD9" s="32">
        <f>IF(PROPIETARIOS!F11&lt;&gt;"",SUMIFS(EGRESOS!$C$4:$C$593,EGRESOS!$A$4:$A$593,AD$1,EGRESOS!$E$4:$E$593,GASTOS!A58),0)</f>
        <v>0</v>
      </c>
      <c r="AE9" s="32">
        <f>SUMIFS(EGRESOS!$C$4:$C$593,EGRESOS!$A$4:$A$593,AE$1,EGRESOS!$E$4:$E$593,GASTOS!$A$58)</f>
        <v>230</v>
      </c>
      <c r="AF9" s="32">
        <f>IF(PROPIETARIOS!H11&lt;&gt;"",SUMIFS(EGRESOS!$C$4:$C$593,EGRESOS!$A$4:$A$593,AF$1,EGRESOS!$E$4:$E$593,GASTOS!A58),0)</f>
        <v>0</v>
      </c>
      <c r="AG9" s="32">
        <f>IF(PROPIETARIOS!I11&lt;&gt;"",SUMIFS(EGRESOS!$C$4:$C$593,EGRESOS!$A$4:$A$593,AG$1,EGRESOS!$E$4:$E$593,GASTOS!A58),0)</f>
        <v>0</v>
      </c>
      <c r="AH9" s="32">
        <f>IF(PROPIETARIOS!J11&lt;&gt;"",SUMIFS(EGRESOS!$C$4:$C$593,EGRESOS!$A$4:$A$593,AH$1,EGRESOS!$E$4:$E$593,GASTOS!A58),0)</f>
        <v>0</v>
      </c>
      <c r="AI9" s="32">
        <f>IF(PROPIETARIOS!K11&lt;&gt;"",SUMIFS(EGRESOS!$C$4:$C$593,EGRESOS!$A$4:$A$593,AI$1,EGRESOS!$E$4:$E$593,GASTOS!A58),0)</f>
        <v>0</v>
      </c>
      <c r="AJ9" s="32">
        <f>SUMIFS(EGRESOS!$C$4:$C$593,EGRESOS!$A$4:$A$593,AJ$1,EGRESOS!$E$4:$E$593,GASTOS!A58)</f>
        <v>0</v>
      </c>
      <c r="AK9" s="32">
        <f>SUMIFS(EGRESOS!$C$4:$C$593,EGRESOS!$A$4:$A$593,AK$1,EGRESOS!$E$4:$E$593,GASTOS!A58)</f>
        <v>0</v>
      </c>
      <c r="AL9" s="32">
        <f>SUMIFS(EGRESOS!$C$4:$C$593,EGRESOS!$A$4:$A$593,AL$1,EGRESOS!$E$4:$E$593,GASTOS!A58)</f>
        <v>0</v>
      </c>
      <c r="AM9" s="32">
        <f>D9*$C$9%</f>
        <v>3.0780000000000003</v>
      </c>
      <c r="AN9" s="32">
        <f t="shared" ref="AN9:BK9" si="12">E9*$C$9%</f>
        <v>-1.4535</v>
      </c>
      <c r="AO9" s="32">
        <f t="shared" si="12"/>
        <v>1.6245000000000001</v>
      </c>
      <c r="AP9" s="32">
        <f t="shared" si="12"/>
        <v>0</v>
      </c>
      <c r="AQ9" s="32">
        <f t="shared" si="12"/>
        <v>2.7360000000000002</v>
      </c>
      <c r="AR9" s="32">
        <f t="shared" si="12"/>
        <v>1.6245000000000001</v>
      </c>
      <c r="AS9" s="32">
        <f t="shared" si="12"/>
        <v>0</v>
      </c>
      <c r="AT9" s="32">
        <f t="shared" si="12"/>
        <v>0.25650000000000001</v>
      </c>
      <c r="AU9" s="32">
        <f t="shared" si="12"/>
        <v>0</v>
      </c>
      <c r="AV9" s="32">
        <f t="shared" si="12"/>
        <v>0.68400000000000005</v>
      </c>
      <c r="AW9" s="32">
        <f t="shared" si="12"/>
        <v>0.34200000000000003</v>
      </c>
      <c r="AX9" s="32">
        <f t="shared" si="12"/>
        <v>0</v>
      </c>
      <c r="AY9" s="32">
        <f t="shared" si="12"/>
        <v>0</v>
      </c>
      <c r="AZ9" s="32">
        <f t="shared" si="12"/>
        <v>0</v>
      </c>
      <c r="BA9" s="32">
        <f t="shared" si="12"/>
        <v>0</v>
      </c>
      <c r="BB9" s="32">
        <f t="shared" si="12"/>
        <v>0</v>
      </c>
      <c r="BC9" s="32">
        <f t="shared" si="12"/>
        <v>0</v>
      </c>
      <c r="BD9" s="32">
        <f t="shared" si="12"/>
        <v>0</v>
      </c>
      <c r="BE9" s="32">
        <f t="shared" si="12"/>
        <v>0.25650000000000001</v>
      </c>
      <c r="BF9" s="32">
        <f t="shared" si="12"/>
        <v>0</v>
      </c>
      <c r="BG9" s="32">
        <f t="shared" si="12"/>
        <v>0</v>
      </c>
      <c r="BH9" s="32">
        <f t="shared" si="12"/>
        <v>0</v>
      </c>
      <c r="BI9" s="32">
        <f t="shared" si="12"/>
        <v>0</v>
      </c>
      <c r="BJ9" s="32">
        <f t="shared" si="12"/>
        <v>0</v>
      </c>
      <c r="BK9" s="32">
        <f t="shared" si="12"/>
        <v>0</v>
      </c>
      <c r="BL9" s="32">
        <f t="shared" si="5"/>
        <v>1.3081500000000001</v>
      </c>
      <c r="BM9" s="32">
        <f>IFERROR(AD9/COUNTIF(PROPIETARIOS!$F$4:$F$38,"GNC02"),0)</f>
        <v>0</v>
      </c>
      <c r="BN9" s="32">
        <f>IFERROR(AE9/COUNTIF(PROPIETARIOS!$G$4:$G$38,"GNC03"),0)</f>
        <v>6.5714285714285712</v>
      </c>
      <c r="BO9" s="32">
        <f>IFERROR(AF9/COUNTIF(PROPIETARIOS!$H$4:$H$38,"GNC04"),0)</f>
        <v>0</v>
      </c>
      <c r="BP9" s="32">
        <f>IFERROR(AG9/COUNTIF(PROPIETARIOS!$I$4:$I$38,"GNC05"),0)</f>
        <v>0</v>
      </c>
      <c r="BQ9" s="32">
        <v>0</v>
      </c>
      <c r="BR9" s="32">
        <v>0</v>
      </c>
      <c r="BS9" s="204">
        <f t="shared" si="1"/>
        <v>841.5</v>
      </c>
      <c r="BT9" s="204">
        <f t="shared" si="2"/>
        <v>17.028078571428573</v>
      </c>
      <c r="BU9" s="33" t="s">
        <v>246</v>
      </c>
      <c r="BV9" s="34">
        <f t="shared" ca="1" si="3"/>
        <v>46209</v>
      </c>
      <c r="BW9" s="30">
        <v>0</v>
      </c>
      <c r="BX9" s="36">
        <f>Hoja6!FR11</f>
        <v>0</v>
      </c>
      <c r="BY9" s="30" t="str">
        <f t="shared" si="6"/>
        <v>1,71</v>
      </c>
      <c r="BZ9" s="27" t="s">
        <v>425</v>
      </c>
      <c r="CA9" s="28" t="str">
        <f>convertirnum(Tabla1[[#This Row],[TOTALAL]])</f>
        <v>DIECISIETE CON 03/100 DÓLARES</v>
      </c>
      <c r="CB9" s="28">
        <f>5%*Hoja6!FT11</f>
        <v>0</v>
      </c>
      <c r="CC9" s="192">
        <f>IF(Tabla1[[#This Row],[DEUDA]]&gt;0,Hoja6!HL11,0)</f>
        <v>0</v>
      </c>
      <c r="CD9" s="28">
        <f>Hoja6!HM11</f>
        <v>0</v>
      </c>
      <c r="CE9" s="200">
        <f>IF(Tabla1[[#This Row],[DEUDA]]&gt;0,Hoja6!FT11,0)</f>
        <v>0</v>
      </c>
      <c r="CF9" s="28" t="str">
        <f>"_"&amp;Tabla1[[#This Row],[APTO-LOCAL-OFIC.]]&amp;" "&amp;Tabla1[[#This Row],[PROPIETARIO]]&amp;"-"</f>
        <v>_APTO. 204 MIREYA TOLEDO-</v>
      </c>
    </row>
    <row r="10" spans="1:85" ht="18" customHeight="1">
      <c r="A10" s="22" t="s">
        <v>29</v>
      </c>
      <c r="B10" s="23" t="str">
        <f>IFERROR(VLOOKUP(A10,PROPIETARIOS!A11:D47,3),"")</f>
        <v>ANA MARIA GRATEROL DE GIL</v>
      </c>
      <c r="C10" s="24">
        <v>1.71</v>
      </c>
      <c r="D10" s="25">
        <f>SUMIFS(EGRESOS!$C$4:$C$593,EGRESOS!$A$4:$A$593,D$1,EGRESOS!$E$4:$E$593,GASTOS!A58)</f>
        <v>180</v>
      </c>
      <c r="E10" s="25">
        <f>SUMIFS(EGRESOS!$C$4:$C$593,EGRESOS!$A$4:$A$593,E$1,EGRESOS!$E$4:$E$593,GASTOS!A58)</f>
        <v>-85</v>
      </c>
      <c r="F10" s="25">
        <f>SUMIFS(EGRESOS!$C$4:$C$593,EGRESOS!$A$4:$A$593,F$1,EGRESOS!$E$4:$E$593,GASTOS!A58)</f>
        <v>95</v>
      </c>
      <c r="G10" s="25">
        <f>SUMIFS(EGRESOS!$C$4:$C$593,EGRESOS!$A$4:$A$593,G$1,EGRESOS!$E$4:$E$593,GASTOS!A58)</f>
        <v>0</v>
      </c>
      <c r="H10" s="25">
        <f>SUMIFS(EGRESOS!$C$4:$C$593,EGRESOS!$A$4:$A$593,H$1,EGRESOS!$E$4:$E$593,GASTOS!A58)</f>
        <v>160</v>
      </c>
      <c r="I10" s="25">
        <f>SUMIFS(EGRESOS!$C$4:$C$593,EGRESOS!$A$4:$A$593,I$1,EGRESOS!$E$4:$E$593,GASTOS!A58)</f>
        <v>95</v>
      </c>
      <c r="J10" s="25">
        <f>SUMIFS(EGRESOS!$C$4:$C$593,EGRESOS!$A$4:$A$593,J$1,EGRESOS!$E$4:$E$593,GASTOS!A58)</f>
        <v>0</v>
      </c>
      <c r="K10" s="25">
        <f>SUMIFS(EGRESOS!$C$4:$C$593,EGRESOS!$A$4:$A$593,K$1,EGRESOS!$E$4:$E$593,GASTOS!A58)</f>
        <v>15</v>
      </c>
      <c r="L10" s="25">
        <f>SUMIFS(EGRESOS!$C$4:$C$593,EGRESOS!$A$4:$A$593,L$1,EGRESOS!$E$4:$E$593,GASTOS!A58)</f>
        <v>0</v>
      </c>
      <c r="M10" s="25">
        <f>SUMIFS(EGRESOS!$C$4:$C$593,EGRESOS!$A$4:$A$593,M$1,EGRESOS!$E$4:$E$593,GASTOS!A58)</f>
        <v>40</v>
      </c>
      <c r="N10" s="25">
        <f>SUMIFS(EGRESOS!$C$4:$C$593,EGRESOS!$A$4:$A$593,N$1,EGRESOS!$E$4:$E$593,GASTOS!A58)</f>
        <v>20</v>
      </c>
      <c r="O10" s="25">
        <f>SUMIFS(EGRESOS!$C$4:$C$593,EGRESOS!$A$4:$A$593,O$1,EGRESOS!$E$4:$E$593,GASTOS!A58)</f>
        <v>0</v>
      </c>
      <c r="P10" s="25">
        <f>SUMIFS(EGRESOS!$C$4:$C$593,EGRESOS!$A$4:$A$593,P$1,EGRESOS!$E$4:$E$593,GASTOS!A58)</f>
        <v>0</v>
      </c>
      <c r="Q10" s="25">
        <f>SUMIFS(EGRESOS!$C$4:$C$593,EGRESOS!$A$4:$A$593,Q$1,EGRESOS!$E$4:$E$593,GASTOS!A58)</f>
        <v>0</v>
      </c>
      <c r="R10" s="25">
        <f>SUMIFS(EGRESOS!$C$4:$C$593,EGRESOS!$A$4:$A$593,R$1,EGRESOS!$E$4:$E$593,GASTOS!A58)</f>
        <v>0</v>
      </c>
      <c r="S10" s="25">
        <f>SUMIFS(EGRESOS!$C$4:$C$593,EGRESOS!$A$4:$A$593,S$1,EGRESOS!$E$4:$E$593,GASTOS!A58)</f>
        <v>0</v>
      </c>
      <c r="T10" s="25">
        <f>SUMIFS(EGRESOS!$C$4:$C$593,EGRESOS!$A$4:$A$593,T$1,EGRESOS!$E$4:$E$593,GASTOS!A58)</f>
        <v>0</v>
      </c>
      <c r="U10" s="25">
        <f>SUMIFS(EGRESOS!$C$4:$C$593,EGRESOS!$A$4:$A$593,U$1,EGRESOS!$E$4:$E$593,GASTOS!A58)</f>
        <v>0</v>
      </c>
      <c r="V10" s="25">
        <f>SUMIFS(EGRESOS!$C$4:$C$593,EGRESOS!$A$4:$A$593,V$1,EGRESOS!$E$4:$E$593,GASTOS!A58)</f>
        <v>15</v>
      </c>
      <c r="W10" s="25">
        <f>SUMIFS(EGRESOS!$C$4:$C$593,EGRESOS!$A$4:$A$593,W$1,EGRESOS!$E$4:$E$593,GASTOS!A58)</f>
        <v>0</v>
      </c>
      <c r="X10" s="25">
        <f>SUMIFS(EGRESOS!$C$4:$C$593,EGRESOS!$A$4:$A$593,X$1,EGRESOS!$E$4:$E$593,GASTOS!A58)</f>
        <v>0</v>
      </c>
      <c r="Y10" s="25">
        <f>SUMIFS(EGRESOS!$C$4:$C$593,EGRESOS!$A$4:$A$593,Y$1,EGRESOS!$E$4:$E$593,GASTOS!A58)</f>
        <v>0</v>
      </c>
      <c r="Z10" s="25">
        <f>SUMIFS(EGRESOS!$C$4:$C$593,EGRESOS!$A$4:$A$593,Z$1,EGRESOS!$E$4:$E$593,GASTOS!A58)</f>
        <v>0</v>
      </c>
      <c r="AA10" s="25">
        <f>SUMIFS(EGRESOS!$C$4:$C$593,EGRESOS!$A$4:$A$593,AA$1,EGRESOS!$E$4:$E$593,GASTOS!A58)</f>
        <v>0</v>
      </c>
      <c r="AB10" s="25">
        <f>SUMIFS(EGRESOS!$C$4:$C$593,EGRESOS!$A$4:$A$593,AB$1,EGRESOS!$E$4:$E$593,GASTOS!A58)</f>
        <v>0</v>
      </c>
      <c r="AC10" s="25">
        <f>IF(PROPIETARIOS!E12&lt;&gt;"",SUMIFS(EGRESOS!$C$4:$C$593,EGRESOS!$A$4:$A$593,AC$1,EGRESOS!$E$4:$E$593,GASTOS!A58),0)</f>
        <v>76.5</v>
      </c>
      <c r="AD10" s="25">
        <f>IF(PROPIETARIOS!F12&lt;&gt;"",SUMIFS(EGRESOS!$C$4:$C$593,EGRESOS!$A$4:$A$593,AD$1,EGRESOS!$E$4:$E$593,GASTOS!A58),0)</f>
        <v>0</v>
      </c>
      <c r="AE10" s="25">
        <f>SUMIFS(EGRESOS!$C$4:$C$593,EGRESOS!$A$4:$A$593,AE$1,EGRESOS!$E$4:$E$593,GASTOS!$A$58)</f>
        <v>230</v>
      </c>
      <c r="AF10" s="25">
        <f>IF(PROPIETARIOS!H12&lt;&gt;"",SUMIFS(EGRESOS!$C$4:$C$593,EGRESOS!$A$4:$A$593,AF$1,EGRESOS!$E$4:$E$593,GASTOS!A58),0)</f>
        <v>0</v>
      </c>
      <c r="AG10" s="25">
        <f>IF(PROPIETARIOS!I12&lt;&gt;"",SUMIFS(EGRESOS!$C$4:$C$593,EGRESOS!$A$4:$A$593,AG$1,EGRESOS!$E$4:$E$593,GASTOS!A58),0)</f>
        <v>0</v>
      </c>
      <c r="AH10" s="25">
        <f>IF(PROPIETARIOS!J12&lt;&gt;"",SUMIFS(EGRESOS!$C$4:$C$593,EGRESOS!$A$4:$A$593,AH$1,EGRESOS!$E$4:$E$593,GASTOS!A58),0)</f>
        <v>0</v>
      </c>
      <c r="AI10" s="25">
        <f>IF(PROPIETARIOS!K12&lt;&gt;"",SUMIFS(EGRESOS!$C$4:$C$593,EGRESOS!$A$4:$A$593,AI$1,EGRESOS!$E$4:$E$593,GASTOS!A58),0)</f>
        <v>0</v>
      </c>
      <c r="AJ10" s="25">
        <f>SUMIFS(EGRESOS!$C$4:$C$593,EGRESOS!$A$4:$A$593,AJ$1,EGRESOS!$E$4:$E$593,GASTOS!A58)</f>
        <v>0</v>
      </c>
      <c r="AK10" s="25">
        <f>SUMIFS(EGRESOS!$C$4:$C$593,EGRESOS!$A$4:$A$593,AK$1,EGRESOS!$E$4:$E$593,GASTOS!A58)</f>
        <v>0</v>
      </c>
      <c r="AL10" s="25">
        <f>SUMIFS(EGRESOS!$C$4:$C$593,EGRESOS!$A$4:$A$593,AL$1,EGRESOS!$E$4:$E$593,GASTOS!A58)</f>
        <v>0</v>
      </c>
      <c r="AM10" s="25">
        <f>D10*$C$10%</f>
        <v>3.0780000000000003</v>
      </c>
      <c r="AN10" s="25">
        <f t="shared" ref="AN10:BK10" si="13">E10*$C$10%</f>
        <v>-1.4535</v>
      </c>
      <c r="AO10" s="25">
        <f t="shared" si="13"/>
        <v>1.6245000000000001</v>
      </c>
      <c r="AP10" s="25">
        <f t="shared" si="13"/>
        <v>0</v>
      </c>
      <c r="AQ10" s="25">
        <f t="shared" si="13"/>
        <v>2.7360000000000002</v>
      </c>
      <c r="AR10" s="25">
        <f t="shared" si="13"/>
        <v>1.6245000000000001</v>
      </c>
      <c r="AS10" s="25">
        <f t="shared" si="13"/>
        <v>0</v>
      </c>
      <c r="AT10" s="25">
        <f t="shared" si="13"/>
        <v>0.25650000000000001</v>
      </c>
      <c r="AU10" s="25">
        <f t="shared" si="13"/>
        <v>0</v>
      </c>
      <c r="AV10" s="25">
        <f t="shared" si="13"/>
        <v>0.68400000000000005</v>
      </c>
      <c r="AW10" s="25">
        <f t="shared" si="13"/>
        <v>0.34200000000000003</v>
      </c>
      <c r="AX10" s="25">
        <f t="shared" si="13"/>
        <v>0</v>
      </c>
      <c r="AY10" s="25">
        <f t="shared" si="13"/>
        <v>0</v>
      </c>
      <c r="AZ10" s="25">
        <f t="shared" si="13"/>
        <v>0</v>
      </c>
      <c r="BA10" s="25">
        <f t="shared" si="13"/>
        <v>0</v>
      </c>
      <c r="BB10" s="25">
        <f t="shared" si="13"/>
        <v>0</v>
      </c>
      <c r="BC10" s="25">
        <f t="shared" si="13"/>
        <v>0</v>
      </c>
      <c r="BD10" s="25">
        <f t="shared" si="13"/>
        <v>0</v>
      </c>
      <c r="BE10" s="25">
        <f t="shared" si="13"/>
        <v>0.25650000000000001</v>
      </c>
      <c r="BF10" s="25">
        <f t="shared" si="13"/>
        <v>0</v>
      </c>
      <c r="BG10" s="25">
        <f t="shared" si="13"/>
        <v>0</v>
      </c>
      <c r="BH10" s="25">
        <f t="shared" si="13"/>
        <v>0</v>
      </c>
      <c r="BI10" s="25">
        <f t="shared" si="13"/>
        <v>0</v>
      </c>
      <c r="BJ10" s="25">
        <f t="shared" si="13"/>
        <v>0</v>
      </c>
      <c r="BK10" s="25">
        <f t="shared" si="13"/>
        <v>0</v>
      </c>
      <c r="BL10" s="25">
        <f t="shared" si="5"/>
        <v>1.3081500000000001</v>
      </c>
      <c r="BM10" s="25">
        <f>IFERROR(AD10/COUNTIF(PROPIETARIOS!$F$4:$F$38,"GNC02"),0)</f>
        <v>0</v>
      </c>
      <c r="BN10" s="25">
        <f>IFERROR(AE10/COUNTIF(PROPIETARIOS!$G$4:$G$38,"GNC03"),0)</f>
        <v>6.5714285714285712</v>
      </c>
      <c r="BO10" s="25">
        <f>IFERROR(AF10/COUNTIF(PROPIETARIOS!$H$4:$H$38,"GNC04"),0)</f>
        <v>0</v>
      </c>
      <c r="BP10" s="25">
        <f>IFERROR(AG10/COUNTIF(PROPIETARIOS!$I$4:$I$38,"GNC05"),0)</f>
        <v>0</v>
      </c>
      <c r="BQ10" s="25">
        <v>0</v>
      </c>
      <c r="BR10" s="25">
        <v>0</v>
      </c>
      <c r="BS10" s="203">
        <f t="shared" si="1"/>
        <v>841.5</v>
      </c>
      <c r="BT10" s="203">
        <f t="shared" si="2"/>
        <v>17.028078571428573</v>
      </c>
      <c r="BU10" s="26" t="s">
        <v>359</v>
      </c>
      <c r="BV10" s="34">
        <f t="shared" ca="1" si="3"/>
        <v>46209</v>
      </c>
      <c r="BW10" s="23">
        <v>0</v>
      </c>
      <c r="BX10" s="36">
        <f>Hoja6!FR12</f>
        <v>0</v>
      </c>
      <c r="BY10" s="23" t="str">
        <f t="shared" si="6"/>
        <v>1,71</v>
      </c>
      <c r="BZ10" s="27" t="s">
        <v>425</v>
      </c>
      <c r="CA10" s="28" t="str">
        <f>convertirnum(Tabla1[[#This Row],[TOTALAL]])</f>
        <v>DIECISIETE CON 03/100 DÓLARES</v>
      </c>
      <c r="CB10" s="28">
        <f>5%*Hoja6!FT12</f>
        <v>0</v>
      </c>
      <c r="CC10" s="192">
        <f>IF(Tabla1[[#This Row],[DEUDA]]&gt;0,Hoja6!HL12,0)</f>
        <v>0</v>
      </c>
      <c r="CD10" s="28">
        <f>Hoja6!HM12</f>
        <v>0</v>
      </c>
      <c r="CE10" s="200">
        <f>IF(Tabla1[[#This Row],[DEUDA]]&gt;0,Hoja6!FT12,0)</f>
        <v>0</v>
      </c>
      <c r="CF10" s="28" t="str">
        <f>"_"&amp;Tabla1[[#This Row],[APTO-LOCAL-OFIC.]]&amp;" "&amp;Tabla1[[#This Row],[PROPIETARIO]]&amp;"-"</f>
        <v>_APTO. 301 ANA MARIA GRATEROL DE GIL-</v>
      </c>
    </row>
    <row r="11" spans="1:85" ht="18" customHeight="1">
      <c r="A11" s="29" t="s">
        <v>31</v>
      </c>
      <c r="B11" s="30" t="s">
        <v>582</v>
      </c>
      <c r="C11" s="31">
        <v>1.71</v>
      </c>
      <c r="D11" s="32">
        <f>SUMIFS(EGRESOS!$C$4:$C$593,EGRESOS!$A$4:$A$593,D$1,EGRESOS!$E$4:$E$593,GASTOS!A58)</f>
        <v>180</v>
      </c>
      <c r="E11" s="32">
        <f>SUMIFS(EGRESOS!$C$4:$C$593,EGRESOS!$A$4:$A$593,E$1,EGRESOS!$E$4:$E$593,GASTOS!A58)</f>
        <v>-85</v>
      </c>
      <c r="F11" s="32">
        <f>SUMIFS(EGRESOS!$C$4:$C$593,EGRESOS!$A$4:$A$593,F$1,EGRESOS!$E$4:$E$593,GASTOS!A58)</f>
        <v>95</v>
      </c>
      <c r="G11" s="32">
        <f>SUMIFS(EGRESOS!$C$4:$C$593,EGRESOS!$A$4:$A$593,G$1,EGRESOS!$E$4:$E$593,GASTOS!A58)</f>
        <v>0</v>
      </c>
      <c r="H11" s="32">
        <f>SUMIFS(EGRESOS!$C$4:$C$593,EGRESOS!$A$4:$A$593,H$1,EGRESOS!$E$4:$E$593,GASTOS!A58)</f>
        <v>160</v>
      </c>
      <c r="I11" s="32">
        <f>SUMIFS(EGRESOS!$C$4:$C$593,EGRESOS!$A$4:$A$593,I$1,EGRESOS!$E$4:$E$593,GASTOS!A58)</f>
        <v>95</v>
      </c>
      <c r="J11" s="32">
        <f>SUMIFS(EGRESOS!$C$4:$C$593,EGRESOS!$A$4:$A$593,J$1,EGRESOS!$E$4:$E$593,GASTOS!A58)</f>
        <v>0</v>
      </c>
      <c r="K11" s="32">
        <f>SUMIFS(EGRESOS!$C$4:$C$593,EGRESOS!$A$4:$A$593,K$1,EGRESOS!$E$4:$E$593,GASTOS!A58)</f>
        <v>15</v>
      </c>
      <c r="L11" s="32">
        <f>SUMIFS(EGRESOS!$C$4:$C$593,EGRESOS!$A$4:$A$593,L$1,EGRESOS!$E$4:$E$593,GASTOS!A58)</f>
        <v>0</v>
      </c>
      <c r="M11" s="32">
        <f>SUMIFS(EGRESOS!$C$4:$C$593,EGRESOS!$A$4:$A$593,M$1,EGRESOS!$E$4:$E$593,GASTOS!A58)</f>
        <v>40</v>
      </c>
      <c r="N11" s="32">
        <f>SUMIFS(EGRESOS!$C$4:$C$593,EGRESOS!$A$4:$A$593,N$1,EGRESOS!$E$4:$E$593,GASTOS!A58)</f>
        <v>20</v>
      </c>
      <c r="O11" s="32">
        <f>SUMIFS(EGRESOS!$C$4:$C$593,EGRESOS!$A$4:$A$593,O$1,EGRESOS!$E$4:$E$593,GASTOS!A58)</f>
        <v>0</v>
      </c>
      <c r="P11" s="32">
        <f>SUMIFS(EGRESOS!$C$4:$C$593,EGRESOS!$A$4:$A$593,P$1,EGRESOS!$E$4:$E$593,GASTOS!A58)</f>
        <v>0</v>
      </c>
      <c r="Q11" s="32">
        <f>SUMIFS(EGRESOS!$C$4:$C$593,EGRESOS!$A$4:$A$593,Q$1,EGRESOS!$E$4:$E$593,GASTOS!A58)</f>
        <v>0</v>
      </c>
      <c r="R11" s="32">
        <f>SUMIFS(EGRESOS!$C$4:$C$593,EGRESOS!$A$4:$A$593,R$1,EGRESOS!$E$4:$E$593,GASTOS!A58)</f>
        <v>0</v>
      </c>
      <c r="S11" s="32">
        <f>SUMIFS(EGRESOS!$C$4:$C$593,EGRESOS!$A$4:$A$593,S$1,EGRESOS!$E$4:$E$593,GASTOS!A58)</f>
        <v>0</v>
      </c>
      <c r="T11" s="32">
        <f>SUMIFS(EGRESOS!$C$4:$C$593,EGRESOS!$A$4:$A$593,T$1,EGRESOS!$E$4:$E$593,GASTOS!A58)</f>
        <v>0</v>
      </c>
      <c r="U11" s="32">
        <f>SUMIFS(EGRESOS!$C$4:$C$593,EGRESOS!$A$4:$A$593,U$1,EGRESOS!$E$4:$E$593,GASTOS!A58)</f>
        <v>0</v>
      </c>
      <c r="V11" s="32">
        <f>SUMIFS(EGRESOS!$C$4:$C$593,EGRESOS!$A$4:$A$593,V$1,EGRESOS!$E$4:$E$593,GASTOS!A58)</f>
        <v>15</v>
      </c>
      <c r="W11" s="32">
        <f>SUMIFS(EGRESOS!$C$4:$C$593,EGRESOS!$A$4:$A$593,W$1,EGRESOS!$E$4:$E$593,GASTOS!A58)</f>
        <v>0</v>
      </c>
      <c r="X11" s="32">
        <f>SUMIFS(EGRESOS!$C$4:$C$593,EGRESOS!$A$4:$A$593,X$1,EGRESOS!$E$4:$E$593,GASTOS!A58)</f>
        <v>0</v>
      </c>
      <c r="Y11" s="32">
        <f>SUMIFS(EGRESOS!$C$4:$C$593,EGRESOS!$A$4:$A$593,Y$1,EGRESOS!$E$4:$E$593,GASTOS!A58)</f>
        <v>0</v>
      </c>
      <c r="Z11" s="32">
        <f>SUMIFS(EGRESOS!$C$4:$C$593,EGRESOS!$A$4:$A$593,Z$1,EGRESOS!$E$4:$E$593,GASTOS!A58)</f>
        <v>0</v>
      </c>
      <c r="AA11" s="32">
        <f>SUMIFS(EGRESOS!$C$4:$C$593,EGRESOS!$A$4:$A$593,AA$1,EGRESOS!$E$4:$E$593,GASTOS!A58)</f>
        <v>0</v>
      </c>
      <c r="AB11" s="32">
        <f>SUMIFS(EGRESOS!$C$4:$C$593,EGRESOS!$A$4:$A$593,AB$1,EGRESOS!$E$4:$E$593,GASTOS!A58)</f>
        <v>0</v>
      </c>
      <c r="AC11" s="32">
        <f>IF(PROPIETARIOS!E13&lt;&gt;"",SUMIFS(EGRESOS!$C$4:$C$593,EGRESOS!$A$4:$A$593,AC$1,EGRESOS!$E$4:$E$593,GASTOS!A58),0)</f>
        <v>76.5</v>
      </c>
      <c r="AD11" s="32">
        <f>IF(PROPIETARIOS!F13&lt;&gt;"",SUMIFS(EGRESOS!$C$4:$C$593,EGRESOS!$A$4:$A$593,AD$1,EGRESOS!$E$4:$E$593,GASTOS!A58),0)</f>
        <v>0</v>
      </c>
      <c r="AE11" s="32">
        <f>SUMIFS(EGRESOS!$C$4:$C$593,EGRESOS!$A$4:$A$593,AE$1,EGRESOS!$E$4:$E$593,GASTOS!$A$58)</f>
        <v>230</v>
      </c>
      <c r="AF11" s="32">
        <f>IF(PROPIETARIOS!H13&lt;&gt;"",SUMIFS(EGRESOS!$C$4:$C$593,EGRESOS!$A$4:$A$593,AF$1,EGRESOS!$E$4:$E$593,GASTOS!A58),0)</f>
        <v>0</v>
      </c>
      <c r="AG11" s="32">
        <f>IF(PROPIETARIOS!I13&lt;&gt;"",SUMIFS(EGRESOS!$C$4:$C$593,EGRESOS!$A$4:$A$593,AG$1,EGRESOS!$E$4:$E$593,GASTOS!A58),0)</f>
        <v>0</v>
      </c>
      <c r="AH11" s="32">
        <f>IF(PROPIETARIOS!J13&lt;&gt;"",SUMIFS(EGRESOS!$C$4:$C$593,EGRESOS!$A$4:$A$593,AH$1,EGRESOS!$E$4:$E$593,GASTOS!A58),0)</f>
        <v>0</v>
      </c>
      <c r="AI11" s="32">
        <f>IF(PROPIETARIOS!K13&lt;&gt;"",SUMIFS(EGRESOS!$C$4:$C$593,EGRESOS!$A$4:$A$593,AI$1,EGRESOS!$E$4:$E$593,GASTOS!A58),0)</f>
        <v>0</v>
      </c>
      <c r="AJ11" s="32">
        <f>SUMIFS(EGRESOS!$C$4:$C$593,EGRESOS!$A$4:$A$593,AJ$1,EGRESOS!$E$4:$E$593,GASTOS!A58)</f>
        <v>0</v>
      </c>
      <c r="AK11" s="32">
        <f>SUMIFS(EGRESOS!$C$4:$C$593,EGRESOS!$A$4:$A$593,AK$1,EGRESOS!$E$4:$E$593,GASTOS!A58)</f>
        <v>0</v>
      </c>
      <c r="AL11" s="32">
        <f>SUMIFS(EGRESOS!$C$4:$C$593,EGRESOS!$A$4:$A$593,AL$1,EGRESOS!$E$4:$E$593,GASTOS!A58)</f>
        <v>0</v>
      </c>
      <c r="AM11" s="32">
        <f>D11*$C$11%</f>
        <v>3.0780000000000003</v>
      </c>
      <c r="AN11" s="32">
        <f t="shared" ref="AN11:BK11" si="14">E11*$C$11%</f>
        <v>-1.4535</v>
      </c>
      <c r="AO11" s="32">
        <f t="shared" si="14"/>
        <v>1.6245000000000001</v>
      </c>
      <c r="AP11" s="32">
        <f t="shared" si="14"/>
        <v>0</v>
      </c>
      <c r="AQ11" s="32">
        <f t="shared" si="14"/>
        <v>2.7360000000000002</v>
      </c>
      <c r="AR11" s="32">
        <f t="shared" si="14"/>
        <v>1.6245000000000001</v>
      </c>
      <c r="AS11" s="32">
        <f t="shared" si="14"/>
        <v>0</v>
      </c>
      <c r="AT11" s="32">
        <f t="shared" si="14"/>
        <v>0.25650000000000001</v>
      </c>
      <c r="AU11" s="32">
        <f t="shared" si="14"/>
        <v>0</v>
      </c>
      <c r="AV11" s="32">
        <f t="shared" si="14"/>
        <v>0.68400000000000005</v>
      </c>
      <c r="AW11" s="32">
        <f t="shared" si="14"/>
        <v>0.34200000000000003</v>
      </c>
      <c r="AX11" s="32">
        <f t="shared" si="14"/>
        <v>0</v>
      </c>
      <c r="AY11" s="32">
        <f t="shared" si="14"/>
        <v>0</v>
      </c>
      <c r="AZ11" s="32">
        <f t="shared" si="14"/>
        <v>0</v>
      </c>
      <c r="BA11" s="32">
        <f t="shared" si="14"/>
        <v>0</v>
      </c>
      <c r="BB11" s="32">
        <f t="shared" si="14"/>
        <v>0</v>
      </c>
      <c r="BC11" s="32">
        <f t="shared" si="14"/>
        <v>0</v>
      </c>
      <c r="BD11" s="32">
        <f t="shared" si="14"/>
        <v>0</v>
      </c>
      <c r="BE11" s="32">
        <f t="shared" si="14"/>
        <v>0.25650000000000001</v>
      </c>
      <c r="BF11" s="32">
        <f t="shared" si="14"/>
        <v>0</v>
      </c>
      <c r="BG11" s="32">
        <f t="shared" si="14"/>
        <v>0</v>
      </c>
      <c r="BH11" s="32">
        <f t="shared" si="14"/>
        <v>0</v>
      </c>
      <c r="BI11" s="32">
        <f t="shared" si="14"/>
        <v>0</v>
      </c>
      <c r="BJ11" s="32">
        <f t="shared" si="14"/>
        <v>0</v>
      </c>
      <c r="BK11" s="32">
        <f t="shared" si="14"/>
        <v>0</v>
      </c>
      <c r="BL11" s="32">
        <f t="shared" si="5"/>
        <v>1.3081500000000001</v>
      </c>
      <c r="BM11" s="32">
        <f>IFERROR(AD11/COUNTIF(PROPIETARIOS!$F$4:$F$38,"GNC02"),0)</f>
        <v>0</v>
      </c>
      <c r="BN11" s="32">
        <f>IFERROR(AE11/COUNTIF(PROPIETARIOS!$G$4:$G$38,"GNC03"),0)</f>
        <v>6.5714285714285712</v>
      </c>
      <c r="BO11" s="32">
        <f>IFERROR(AF11/COUNTIF(PROPIETARIOS!$H$4:$H$38,"GNC04"),0)</f>
        <v>0</v>
      </c>
      <c r="BP11" s="32">
        <f>IFERROR(AG11/COUNTIF(PROPIETARIOS!$I$4:$I$38,"GNC05"),0)</f>
        <v>0</v>
      </c>
      <c r="BQ11" s="32">
        <v>0</v>
      </c>
      <c r="BR11" s="32">
        <v>0</v>
      </c>
      <c r="BS11" s="204">
        <f t="shared" si="1"/>
        <v>841.5</v>
      </c>
      <c r="BT11" s="204">
        <f t="shared" si="2"/>
        <v>17.028078571428573</v>
      </c>
      <c r="BU11" s="35" t="s">
        <v>597</v>
      </c>
      <c r="BV11" s="34">
        <f t="shared" ca="1" si="3"/>
        <v>46209</v>
      </c>
      <c r="BW11" s="30">
        <v>0</v>
      </c>
      <c r="BX11" s="36">
        <f>Hoja6!FR13</f>
        <v>0</v>
      </c>
      <c r="BY11" s="30" t="str">
        <f t="shared" si="6"/>
        <v>1,71</v>
      </c>
      <c r="BZ11" s="27" t="s">
        <v>425</v>
      </c>
      <c r="CA11" s="28" t="str">
        <f>convertirnum(Tabla1[[#This Row],[TOTALAL]])</f>
        <v>DIECISIETE CON 03/100 DÓLARES</v>
      </c>
      <c r="CB11" s="28">
        <f>5%*Hoja6!FT13</f>
        <v>0</v>
      </c>
      <c r="CC11" s="192">
        <f>IF(Tabla1[[#This Row],[DEUDA]]&gt;0,Hoja6!HL13,0)</f>
        <v>0</v>
      </c>
      <c r="CD11" s="28">
        <f>Hoja6!HM13</f>
        <v>0</v>
      </c>
      <c r="CE11" s="200">
        <f>IF(Tabla1[[#This Row],[DEUDA]]&gt;0,Hoja6!FT13,0)</f>
        <v>0</v>
      </c>
      <c r="CF11" s="28" t="str">
        <f>"_"&amp;Tabla1[[#This Row],[APTO-LOCAL-OFIC.]]&amp;" "&amp;Tabla1[[#This Row],[PROPIETARIO]]&amp;"-"</f>
        <v>_APTO. 302 JOSÉ ÁVILA-</v>
      </c>
    </row>
    <row r="12" spans="1:85" ht="18" customHeight="1">
      <c r="A12" s="22" t="s">
        <v>32</v>
      </c>
      <c r="B12" s="23" t="s">
        <v>33</v>
      </c>
      <c r="C12" s="24">
        <v>1.71</v>
      </c>
      <c r="D12" s="25">
        <f>SUMIFS(EGRESOS!$C$4:$C$593,EGRESOS!$A$4:$A$593,D$1,EGRESOS!$E$4:$E$593,GASTOS!A58)</f>
        <v>180</v>
      </c>
      <c r="E12" s="25">
        <f>SUMIFS(EGRESOS!$C$4:$C$593,EGRESOS!$A$4:$A$593,E$1,EGRESOS!$E$4:$E$593,GASTOS!A58)</f>
        <v>-85</v>
      </c>
      <c r="F12" s="25">
        <f>SUMIFS(EGRESOS!$C$4:$C$593,EGRESOS!$A$4:$A$593,F$1,EGRESOS!$E$4:$E$593,GASTOS!A58)</f>
        <v>95</v>
      </c>
      <c r="G12" s="25">
        <f>SUMIFS(EGRESOS!$C$4:$C$593,EGRESOS!$A$4:$A$593,G$1,EGRESOS!$E$4:$E$593,GASTOS!A58)</f>
        <v>0</v>
      </c>
      <c r="H12" s="25">
        <f>SUMIFS(EGRESOS!$C$4:$C$593,EGRESOS!$A$4:$A$593,H$1,EGRESOS!$E$4:$E$593,GASTOS!A58)</f>
        <v>160</v>
      </c>
      <c r="I12" s="25">
        <f>SUMIFS(EGRESOS!$C$4:$C$593,EGRESOS!$A$4:$A$593,I$1,EGRESOS!$E$4:$E$593,GASTOS!A58)</f>
        <v>95</v>
      </c>
      <c r="J12" s="25">
        <f>SUMIFS(EGRESOS!$C$4:$C$593,EGRESOS!$A$4:$A$593,J$1,EGRESOS!$E$4:$E$593,GASTOS!A58)</f>
        <v>0</v>
      </c>
      <c r="K12" s="25">
        <f>SUMIFS(EGRESOS!$C$4:$C$593,EGRESOS!$A$4:$A$593,K$1,EGRESOS!$E$4:$E$593,GASTOS!A58)</f>
        <v>15</v>
      </c>
      <c r="L12" s="25">
        <f>SUMIFS(EGRESOS!$C$4:$C$593,EGRESOS!$A$4:$A$593,L$1,EGRESOS!$E$4:$E$593,GASTOS!A58)</f>
        <v>0</v>
      </c>
      <c r="M12" s="25">
        <f>SUMIFS(EGRESOS!$C$4:$C$593,EGRESOS!$A$4:$A$593,M$1,EGRESOS!$E$4:$E$593,GASTOS!A58)</f>
        <v>40</v>
      </c>
      <c r="N12" s="25">
        <f>SUMIFS(EGRESOS!$C$4:$C$593,EGRESOS!$A$4:$A$593,N$1,EGRESOS!$E$4:$E$593,GASTOS!A58)</f>
        <v>20</v>
      </c>
      <c r="O12" s="25">
        <f>SUMIFS(EGRESOS!$C$4:$C$593,EGRESOS!$A$4:$A$593,O$1,EGRESOS!$E$4:$E$593,GASTOS!A58)</f>
        <v>0</v>
      </c>
      <c r="P12" s="25">
        <f>SUMIFS(EGRESOS!$C$4:$C$593,EGRESOS!$A$4:$A$593,P$1,EGRESOS!$E$4:$E$593,GASTOS!A58)</f>
        <v>0</v>
      </c>
      <c r="Q12" s="25">
        <f>SUMIFS(EGRESOS!$C$4:$C$593,EGRESOS!$A$4:$A$593,Q$1,EGRESOS!$E$4:$E$593,GASTOS!A58)</f>
        <v>0</v>
      </c>
      <c r="R12" s="25">
        <f>SUMIFS(EGRESOS!$C$4:$C$593,EGRESOS!$A$4:$A$593,R$1,EGRESOS!$E$4:$E$593,GASTOS!A58)</f>
        <v>0</v>
      </c>
      <c r="S12" s="25">
        <f>SUMIFS(EGRESOS!$C$4:$C$593,EGRESOS!$A$4:$A$593,S$1,EGRESOS!$E$4:$E$593,GASTOS!A58)</f>
        <v>0</v>
      </c>
      <c r="T12" s="25">
        <f>SUMIFS(EGRESOS!$C$4:$C$593,EGRESOS!$A$4:$A$593,T$1,EGRESOS!$E$4:$E$593,GASTOS!A58)</f>
        <v>0</v>
      </c>
      <c r="U12" s="25">
        <f>SUMIFS(EGRESOS!$C$4:$C$593,EGRESOS!$A$4:$A$593,U$1,EGRESOS!$E$4:$E$593,GASTOS!A58)</f>
        <v>0</v>
      </c>
      <c r="V12" s="25">
        <f>SUMIFS(EGRESOS!$C$4:$C$593,EGRESOS!$A$4:$A$593,V$1,EGRESOS!$E$4:$E$593,GASTOS!A58)</f>
        <v>15</v>
      </c>
      <c r="W12" s="25">
        <f>SUMIFS(EGRESOS!$C$4:$C$593,EGRESOS!$A$4:$A$593,W$1,EGRESOS!$E$4:$E$593,GASTOS!A58)</f>
        <v>0</v>
      </c>
      <c r="X12" s="25">
        <f>SUMIFS(EGRESOS!$C$4:$C$593,EGRESOS!$A$4:$A$593,X$1,EGRESOS!$E$4:$E$593,GASTOS!A58)</f>
        <v>0</v>
      </c>
      <c r="Y12" s="25">
        <f>SUMIFS(EGRESOS!$C$4:$C$593,EGRESOS!$A$4:$A$593,Y$1,EGRESOS!$E$4:$E$593,GASTOS!A58)</f>
        <v>0</v>
      </c>
      <c r="Z12" s="25">
        <f>SUMIFS(EGRESOS!$C$4:$C$593,EGRESOS!$A$4:$A$593,Z$1,EGRESOS!$E$4:$E$593,GASTOS!A58)</f>
        <v>0</v>
      </c>
      <c r="AA12" s="25">
        <f>SUMIFS(EGRESOS!$C$4:$C$593,EGRESOS!$A$4:$A$593,AA$1,EGRESOS!$E$4:$E$593,GASTOS!A58)</f>
        <v>0</v>
      </c>
      <c r="AB12" s="25">
        <f>SUMIFS(EGRESOS!$C$4:$C$593,EGRESOS!$A$4:$A$593,AB$1,EGRESOS!$E$4:$E$593,GASTOS!A58)</f>
        <v>0</v>
      </c>
      <c r="AC12" s="25">
        <f>IF(PROPIETARIOS!E14&lt;&gt;"",SUMIFS(EGRESOS!$C$4:$C$593,EGRESOS!$A$4:$A$593,AC$1,EGRESOS!$E$4:$E$593,GASTOS!A58),0)</f>
        <v>76.5</v>
      </c>
      <c r="AD12" s="25">
        <f>IF(PROPIETARIOS!F14&lt;&gt;"",SUMIFS(EGRESOS!$C$4:$C$593,EGRESOS!$A$4:$A$593,AD$1,EGRESOS!$E$4:$E$593,GASTOS!A58),0)</f>
        <v>0</v>
      </c>
      <c r="AE12" s="25">
        <f>SUMIFS(EGRESOS!$C$4:$C$593,EGRESOS!$A$4:$A$593,AE$1,EGRESOS!$E$4:$E$593,GASTOS!$A$58)</f>
        <v>230</v>
      </c>
      <c r="AF12" s="25">
        <f>IF(PROPIETARIOS!H14&lt;&gt;"",SUMIFS(EGRESOS!$C$4:$C$593,EGRESOS!$A$4:$A$593,AF$1,EGRESOS!$E$4:$E$593,GASTOS!A58),0)</f>
        <v>0</v>
      </c>
      <c r="AG12" s="25">
        <f>IF(PROPIETARIOS!I14&lt;&gt;"",SUMIFS(EGRESOS!$C$4:$C$593,EGRESOS!$A$4:$A$593,AG$1,EGRESOS!$E$4:$E$593,GASTOS!A58),0)</f>
        <v>0</v>
      </c>
      <c r="AH12" s="25">
        <f>IF(PROPIETARIOS!J14&lt;&gt;"",SUMIFS(EGRESOS!$C$4:$C$593,EGRESOS!$A$4:$A$593,AH$1,EGRESOS!$E$4:$E$593,GASTOS!A58),0)</f>
        <v>0</v>
      </c>
      <c r="AI12" s="25">
        <f>IF(PROPIETARIOS!K14&lt;&gt;"",SUMIFS(EGRESOS!$C$4:$C$593,EGRESOS!$A$4:$A$593,AI$1,EGRESOS!$E$4:$E$593,GASTOS!A58),0)</f>
        <v>0</v>
      </c>
      <c r="AJ12" s="25">
        <f>SUMIFS(EGRESOS!$C$4:$C$593,EGRESOS!$A$4:$A$593,AJ$1,EGRESOS!$E$4:$E$593,GASTOS!A58)</f>
        <v>0</v>
      </c>
      <c r="AK12" s="25">
        <f>SUMIFS(EGRESOS!$C$4:$C$593,EGRESOS!$A$4:$A$593,AK$1,EGRESOS!$E$4:$E$593,GASTOS!A58)</f>
        <v>0</v>
      </c>
      <c r="AL12" s="25">
        <f>SUMIFS(EGRESOS!$C$4:$C$593,EGRESOS!$A$4:$A$593,AL$1,EGRESOS!$E$4:$E$593,GASTOS!A58)</f>
        <v>0</v>
      </c>
      <c r="AM12" s="25">
        <f>D12*$C$12%</f>
        <v>3.0780000000000003</v>
      </c>
      <c r="AN12" s="25">
        <f t="shared" ref="AN12:BK12" si="15">E12*$C$12%</f>
        <v>-1.4535</v>
      </c>
      <c r="AO12" s="25">
        <f t="shared" si="15"/>
        <v>1.6245000000000001</v>
      </c>
      <c r="AP12" s="25">
        <f t="shared" si="15"/>
        <v>0</v>
      </c>
      <c r="AQ12" s="25">
        <f t="shared" si="15"/>
        <v>2.7360000000000002</v>
      </c>
      <c r="AR12" s="25">
        <f t="shared" si="15"/>
        <v>1.6245000000000001</v>
      </c>
      <c r="AS12" s="25">
        <f t="shared" si="15"/>
        <v>0</v>
      </c>
      <c r="AT12" s="25">
        <f t="shared" si="15"/>
        <v>0.25650000000000001</v>
      </c>
      <c r="AU12" s="25">
        <f t="shared" si="15"/>
        <v>0</v>
      </c>
      <c r="AV12" s="25">
        <f t="shared" si="15"/>
        <v>0.68400000000000005</v>
      </c>
      <c r="AW12" s="25">
        <f t="shared" si="15"/>
        <v>0.34200000000000003</v>
      </c>
      <c r="AX12" s="25">
        <f t="shared" si="15"/>
        <v>0</v>
      </c>
      <c r="AY12" s="25">
        <f t="shared" si="15"/>
        <v>0</v>
      </c>
      <c r="AZ12" s="25">
        <f t="shared" si="15"/>
        <v>0</v>
      </c>
      <c r="BA12" s="25">
        <f t="shared" si="15"/>
        <v>0</v>
      </c>
      <c r="BB12" s="25">
        <f t="shared" si="15"/>
        <v>0</v>
      </c>
      <c r="BC12" s="25">
        <f t="shared" si="15"/>
        <v>0</v>
      </c>
      <c r="BD12" s="25">
        <f t="shared" si="15"/>
        <v>0</v>
      </c>
      <c r="BE12" s="25">
        <f t="shared" si="15"/>
        <v>0.25650000000000001</v>
      </c>
      <c r="BF12" s="25">
        <f t="shared" si="15"/>
        <v>0</v>
      </c>
      <c r="BG12" s="25">
        <f t="shared" si="15"/>
        <v>0</v>
      </c>
      <c r="BH12" s="25">
        <f t="shared" si="15"/>
        <v>0</v>
      </c>
      <c r="BI12" s="25">
        <f t="shared" si="15"/>
        <v>0</v>
      </c>
      <c r="BJ12" s="25">
        <f t="shared" si="15"/>
        <v>0</v>
      </c>
      <c r="BK12" s="25">
        <f t="shared" si="15"/>
        <v>0</v>
      </c>
      <c r="BL12" s="25">
        <f t="shared" si="5"/>
        <v>1.3081500000000001</v>
      </c>
      <c r="BM12" s="25">
        <f>IFERROR(AD12/COUNTIF(PROPIETARIOS!$F$4:$F$38,"GNC02"),0)</f>
        <v>0</v>
      </c>
      <c r="BN12" s="25">
        <f>IFERROR(AE12/COUNTIF(PROPIETARIOS!$G$4:$G$38,"GNC03"),0)</f>
        <v>6.5714285714285712</v>
      </c>
      <c r="BO12" s="25">
        <f>IFERROR(AF12/COUNTIF(PROPIETARIOS!$H$4:$H$38,"GNC04"),0)</f>
        <v>0</v>
      </c>
      <c r="BP12" s="25">
        <f>IFERROR(AG12/COUNTIF(PROPIETARIOS!$I$4:$I$38,"GNC05"),0)</f>
        <v>0</v>
      </c>
      <c r="BQ12" s="25">
        <v>0</v>
      </c>
      <c r="BR12" s="25">
        <v>0</v>
      </c>
      <c r="BS12" s="203">
        <f t="shared" si="1"/>
        <v>841.5</v>
      </c>
      <c r="BT12" s="203">
        <f t="shared" si="2"/>
        <v>17.028078571428573</v>
      </c>
      <c r="BU12" s="26" t="s">
        <v>602</v>
      </c>
      <c r="BV12" s="34">
        <f t="shared" ca="1" si="3"/>
        <v>46209</v>
      </c>
      <c r="BW12" s="23">
        <v>0</v>
      </c>
      <c r="BX12" s="36">
        <f>Hoja6!FR14</f>
        <v>0</v>
      </c>
      <c r="BY12" s="23" t="str">
        <f t="shared" si="6"/>
        <v>1,71</v>
      </c>
      <c r="BZ12" s="27" t="s">
        <v>425</v>
      </c>
      <c r="CA12" s="28" t="str">
        <f>convertirnum(Tabla1[[#This Row],[TOTALAL]])</f>
        <v>DIECISIETE CON 03/100 DÓLARES</v>
      </c>
      <c r="CB12" s="28">
        <f>5%*Hoja6!FT14</f>
        <v>0</v>
      </c>
      <c r="CC12" s="192">
        <f>IF(Tabla1[[#This Row],[DEUDA]]&gt;0,Hoja6!HL14,0)</f>
        <v>0</v>
      </c>
      <c r="CD12" s="28">
        <f>Hoja6!HM14</f>
        <v>0</v>
      </c>
      <c r="CE12" s="200">
        <f>IF(Tabla1[[#This Row],[DEUDA]]&gt;0,Hoja6!FT14,0)</f>
        <v>0</v>
      </c>
      <c r="CF12" s="28" t="str">
        <f>"_"&amp;Tabla1[[#This Row],[APTO-LOCAL-OFIC.]]&amp;" "&amp;Tabla1[[#This Row],[PROPIETARIO]]&amp;"-"</f>
        <v>_APTO. 303 JOSE CONTRERAS-</v>
      </c>
    </row>
    <row r="13" spans="1:85" ht="18" customHeight="1">
      <c r="A13" s="29" t="s">
        <v>34</v>
      </c>
      <c r="B13" s="30" t="str">
        <f>IFERROR(VLOOKUP(A13,PROPIETARIOS!A14:D50,3),"")</f>
        <v>JUAN CARLOS FIGUEROA</v>
      </c>
      <c r="C13" s="30">
        <v>1.71</v>
      </c>
      <c r="D13" s="32">
        <f>SUMIFS(EGRESOS!$C$4:$C$593,EGRESOS!$A$4:$A$593,D$1,EGRESOS!$E$4:$E$593,GASTOS!A58)</f>
        <v>180</v>
      </c>
      <c r="E13" s="32">
        <f>SUMIFS(EGRESOS!$C$4:$C$593,EGRESOS!$A$4:$A$593,E$1,EGRESOS!$E$4:$E$593,GASTOS!A58)</f>
        <v>-85</v>
      </c>
      <c r="F13" s="32">
        <f>SUMIFS(EGRESOS!$C$4:$C$593,EGRESOS!$A$4:$A$593,F$1,EGRESOS!$E$4:$E$593,GASTOS!A58)</f>
        <v>95</v>
      </c>
      <c r="G13" s="32">
        <f>SUMIFS(EGRESOS!$C$4:$C$593,EGRESOS!$A$4:$A$593,G$1,EGRESOS!$E$4:$E$593,GASTOS!A58)</f>
        <v>0</v>
      </c>
      <c r="H13" s="32">
        <f>SUMIFS(EGRESOS!$C$4:$C$593,EGRESOS!$A$4:$A$593,H$1,EGRESOS!$E$4:$E$593,GASTOS!A58)</f>
        <v>160</v>
      </c>
      <c r="I13" s="32">
        <f>SUMIFS(EGRESOS!$C$4:$C$593,EGRESOS!$A$4:$A$593,I$1,EGRESOS!$E$4:$E$593,GASTOS!A58)</f>
        <v>95</v>
      </c>
      <c r="J13" s="32">
        <f>SUMIFS(EGRESOS!$C$4:$C$593,EGRESOS!$A$4:$A$593,J$1,EGRESOS!$E$4:$E$593,GASTOS!A58)</f>
        <v>0</v>
      </c>
      <c r="K13" s="32">
        <f>SUMIFS(EGRESOS!$C$4:$C$593,EGRESOS!$A$4:$A$593,K$1,EGRESOS!$E$4:$E$593,GASTOS!A58)</f>
        <v>15</v>
      </c>
      <c r="L13" s="32">
        <f>SUMIFS(EGRESOS!$C$4:$C$593,EGRESOS!$A$4:$A$593,L$1,EGRESOS!$E$4:$E$593,GASTOS!A58)</f>
        <v>0</v>
      </c>
      <c r="M13" s="32">
        <f>SUMIFS(EGRESOS!$C$4:$C$593,EGRESOS!$A$4:$A$593,M$1,EGRESOS!$E$4:$E$593,GASTOS!A58)</f>
        <v>40</v>
      </c>
      <c r="N13" s="32">
        <f>SUMIFS(EGRESOS!$C$4:$C$593,EGRESOS!$A$4:$A$593,N$1,EGRESOS!$E$4:$E$593,GASTOS!A58)</f>
        <v>20</v>
      </c>
      <c r="O13" s="32">
        <f>SUMIFS(EGRESOS!$C$4:$C$593,EGRESOS!$A$4:$A$593,O$1,EGRESOS!$E$4:$E$593,GASTOS!A58)</f>
        <v>0</v>
      </c>
      <c r="P13" s="32">
        <f>SUMIFS(EGRESOS!$C$4:$C$593,EGRESOS!$A$4:$A$593,P$1,EGRESOS!$E$4:$E$593,GASTOS!A58)</f>
        <v>0</v>
      </c>
      <c r="Q13" s="32">
        <f>SUMIFS(EGRESOS!$C$4:$C$593,EGRESOS!$A$4:$A$593,Q$1,EGRESOS!$E$4:$E$593,GASTOS!A58)</f>
        <v>0</v>
      </c>
      <c r="R13" s="32">
        <f>SUMIFS(EGRESOS!$C$4:$C$593,EGRESOS!$A$4:$A$593,R$1,EGRESOS!$E$4:$E$593,GASTOS!A58)</f>
        <v>0</v>
      </c>
      <c r="S13" s="32">
        <f>SUMIFS(EGRESOS!$C$4:$C$593,EGRESOS!$A$4:$A$593,S$1,EGRESOS!$E$4:$E$593,GASTOS!A58)</f>
        <v>0</v>
      </c>
      <c r="T13" s="32">
        <f>SUMIFS(EGRESOS!$C$4:$C$593,EGRESOS!$A$4:$A$593,T$1,EGRESOS!$E$4:$E$593,GASTOS!A58)</f>
        <v>0</v>
      </c>
      <c r="U13" s="32">
        <f>SUMIFS(EGRESOS!$C$4:$C$593,EGRESOS!$A$4:$A$593,U$1,EGRESOS!$E$4:$E$593,GASTOS!A58)</f>
        <v>0</v>
      </c>
      <c r="V13" s="32">
        <f>SUMIFS(EGRESOS!$C$4:$C$593,EGRESOS!$A$4:$A$593,V$1,EGRESOS!$E$4:$E$593,GASTOS!A58)</f>
        <v>15</v>
      </c>
      <c r="W13" s="32">
        <f>SUMIFS(EGRESOS!$C$4:$C$593,EGRESOS!$A$4:$A$593,W$1,EGRESOS!$E$4:$E$593,GASTOS!A58)</f>
        <v>0</v>
      </c>
      <c r="X13" s="32">
        <f>SUMIFS(EGRESOS!$C$4:$C$593,EGRESOS!$A$4:$A$593,X$1,EGRESOS!$E$4:$E$593,GASTOS!A58)</f>
        <v>0</v>
      </c>
      <c r="Y13" s="32">
        <f>SUMIFS(EGRESOS!$C$4:$C$593,EGRESOS!$A$4:$A$593,Y$1,EGRESOS!$E$4:$E$593,GASTOS!A58)</f>
        <v>0</v>
      </c>
      <c r="Z13" s="32">
        <f>SUMIFS(EGRESOS!$C$4:$C$593,EGRESOS!$A$4:$A$593,Z$1,EGRESOS!$E$4:$E$593,GASTOS!A58)</f>
        <v>0</v>
      </c>
      <c r="AA13" s="32">
        <f>SUMIFS(EGRESOS!$C$4:$C$593,EGRESOS!$A$4:$A$593,AA$1,EGRESOS!$E$4:$E$593,GASTOS!A58)</f>
        <v>0</v>
      </c>
      <c r="AB13" s="32">
        <f>SUMIFS(EGRESOS!$C$4:$C$593,EGRESOS!$A$4:$A$593,AB$1,EGRESOS!$E$4:$E$593,GASTOS!A58)</f>
        <v>0</v>
      </c>
      <c r="AC13" s="32">
        <f>IF(PROPIETARIOS!E15&lt;&gt;"",SUMIFS(EGRESOS!$C$4:$C$593,EGRESOS!$A$4:$A$593,AC$1,EGRESOS!$E$4:$E$593,GASTOS!A58),0)</f>
        <v>76.5</v>
      </c>
      <c r="AD13" s="32">
        <f>IF(PROPIETARIOS!F15&lt;&gt;"",SUMIFS(EGRESOS!$C$4:$C$593,EGRESOS!$A$4:$A$593,AD$1,EGRESOS!$E$4:$E$593,GASTOS!A58),0)</f>
        <v>0</v>
      </c>
      <c r="AE13" s="32">
        <f>SUMIFS(EGRESOS!$C$4:$C$593,EGRESOS!$A$4:$A$593,AE$1,EGRESOS!$E$4:$E$593,GASTOS!$A$58)</f>
        <v>230</v>
      </c>
      <c r="AF13" s="32">
        <f>IF(PROPIETARIOS!H15&lt;&gt;"",SUMIFS(EGRESOS!$C$4:$C$593,EGRESOS!$A$4:$A$593,AF$1,EGRESOS!$E$4:$E$593,GASTOS!A58),0)</f>
        <v>0</v>
      </c>
      <c r="AG13" s="32">
        <f>IF(PROPIETARIOS!I15&lt;&gt;"",SUMIFS(EGRESOS!$C$4:$C$593,EGRESOS!$A$4:$A$593,AG$1,EGRESOS!$E$4:$E$593,GASTOS!A58),0)</f>
        <v>0</v>
      </c>
      <c r="AH13" s="32">
        <f>IF(PROPIETARIOS!J15&lt;&gt;"",SUMIFS(EGRESOS!$C$4:$C$593,EGRESOS!$A$4:$A$593,AH$1,EGRESOS!$E$4:$E$593,GASTOS!A58),0)</f>
        <v>0</v>
      </c>
      <c r="AI13" s="32">
        <f>IF(PROPIETARIOS!K15&lt;&gt;"",SUMIFS(EGRESOS!$C$4:$C$593,EGRESOS!$A$4:$A$593,AI$1,EGRESOS!$E$4:$E$593,GASTOS!A58),0)</f>
        <v>0</v>
      </c>
      <c r="AJ13" s="32">
        <f>SUMIFS(EGRESOS!$C$4:$C$593,EGRESOS!$A$4:$A$593,AJ$1,EGRESOS!$E$4:$E$593,GASTOS!A58)</f>
        <v>0</v>
      </c>
      <c r="AK13" s="32">
        <f>SUMIFS(EGRESOS!$C$4:$C$593,EGRESOS!$A$4:$A$593,AK$1,EGRESOS!$E$4:$E$593,GASTOS!A58)</f>
        <v>0</v>
      </c>
      <c r="AL13" s="32">
        <f>SUMIFS(EGRESOS!$C$4:$C$593,EGRESOS!$A$4:$A$593,AL$1,EGRESOS!$E$4:$E$593,GASTOS!A58)</f>
        <v>0</v>
      </c>
      <c r="AM13" s="32">
        <f>D13*$C$13%</f>
        <v>3.0780000000000003</v>
      </c>
      <c r="AN13" s="32">
        <f t="shared" ref="AN13:BK13" si="16">E13*$C$13%</f>
        <v>-1.4535</v>
      </c>
      <c r="AO13" s="32">
        <f t="shared" si="16"/>
        <v>1.6245000000000001</v>
      </c>
      <c r="AP13" s="32">
        <f t="shared" si="16"/>
        <v>0</v>
      </c>
      <c r="AQ13" s="32">
        <f t="shared" si="16"/>
        <v>2.7360000000000002</v>
      </c>
      <c r="AR13" s="32">
        <f t="shared" si="16"/>
        <v>1.6245000000000001</v>
      </c>
      <c r="AS13" s="32">
        <f t="shared" si="16"/>
        <v>0</v>
      </c>
      <c r="AT13" s="32">
        <f t="shared" si="16"/>
        <v>0.25650000000000001</v>
      </c>
      <c r="AU13" s="32">
        <f t="shared" si="16"/>
        <v>0</v>
      </c>
      <c r="AV13" s="32">
        <f t="shared" si="16"/>
        <v>0.68400000000000005</v>
      </c>
      <c r="AW13" s="32">
        <f t="shared" si="16"/>
        <v>0.34200000000000003</v>
      </c>
      <c r="AX13" s="32">
        <f t="shared" si="16"/>
        <v>0</v>
      </c>
      <c r="AY13" s="32">
        <f t="shared" si="16"/>
        <v>0</v>
      </c>
      <c r="AZ13" s="32">
        <f t="shared" si="16"/>
        <v>0</v>
      </c>
      <c r="BA13" s="32">
        <f t="shared" si="16"/>
        <v>0</v>
      </c>
      <c r="BB13" s="32">
        <f t="shared" si="16"/>
        <v>0</v>
      </c>
      <c r="BC13" s="32">
        <f t="shared" si="16"/>
        <v>0</v>
      </c>
      <c r="BD13" s="32">
        <f t="shared" si="16"/>
        <v>0</v>
      </c>
      <c r="BE13" s="32">
        <f t="shared" si="16"/>
        <v>0.25650000000000001</v>
      </c>
      <c r="BF13" s="32">
        <f t="shared" si="16"/>
        <v>0</v>
      </c>
      <c r="BG13" s="32">
        <f t="shared" si="16"/>
        <v>0</v>
      </c>
      <c r="BH13" s="32">
        <f t="shared" si="16"/>
        <v>0</v>
      </c>
      <c r="BI13" s="32">
        <f t="shared" si="16"/>
        <v>0</v>
      </c>
      <c r="BJ13" s="32">
        <f t="shared" si="16"/>
        <v>0</v>
      </c>
      <c r="BK13" s="32">
        <f t="shared" si="16"/>
        <v>0</v>
      </c>
      <c r="BL13" s="32">
        <f t="shared" si="5"/>
        <v>1.3081500000000001</v>
      </c>
      <c r="BM13" s="32">
        <f>IFERROR(AD13/COUNTIF(PROPIETARIOS!$F$4:$F$38,"GNC02"),0)</f>
        <v>0</v>
      </c>
      <c r="BN13" s="32">
        <f>IFERROR(AE13/COUNTIF(PROPIETARIOS!$G$4:$G$38,"GNC03"),0)</f>
        <v>6.5714285714285712</v>
      </c>
      <c r="BO13" s="32">
        <f>IFERROR(AF13/COUNTIF(PROPIETARIOS!$H$4:$H$38,"GNC04"),0)</f>
        <v>0</v>
      </c>
      <c r="BP13" s="32">
        <f>IFERROR(AG13/COUNTIF(PROPIETARIOS!$I$4:$I$38,"GNC05"),0)</f>
        <v>0</v>
      </c>
      <c r="BQ13" s="32">
        <v>0</v>
      </c>
      <c r="BR13" s="32">
        <v>0</v>
      </c>
      <c r="BS13" s="204">
        <f t="shared" si="1"/>
        <v>841.5</v>
      </c>
      <c r="BT13" s="204">
        <f t="shared" si="2"/>
        <v>17.028078571428573</v>
      </c>
      <c r="BU13" s="33" t="s">
        <v>251</v>
      </c>
      <c r="BV13" s="34">
        <f t="shared" ca="1" si="3"/>
        <v>46209</v>
      </c>
      <c r="BW13" s="30">
        <v>0</v>
      </c>
      <c r="BX13" s="36">
        <f>Hoja6!FR15</f>
        <v>0</v>
      </c>
      <c r="BY13" s="30" t="str">
        <f t="shared" si="6"/>
        <v>1,71</v>
      </c>
      <c r="BZ13" s="27" t="s">
        <v>425</v>
      </c>
      <c r="CA13" s="28" t="str">
        <f>convertirnum(Tabla1[[#This Row],[TOTALAL]])</f>
        <v>DIECISIETE CON 03/100 DÓLARES</v>
      </c>
      <c r="CB13" s="28">
        <f>5%*Hoja6!FT15</f>
        <v>0</v>
      </c>
      <c r="CC13" s="192">
        <f>IF(Tabla1[[#This Row],[DEUDA]]&gt;0,Hoja6!HL15,0)</f>
        <v>0</v>
      </c>
      <c r="CD13" s="28">
        <f>Hoja6!HM15</f>
        <v>0</v>
      </c>
      <c r="CE13" s="200">
        <f>IF(Tabla1[[#This Row],[DEUDA]]&gt;0,Hoja6!FT15,0)</f>
        <v>0</v>
      </c>
      <c r="CF13" s="28" t="str">
        <f>"_"&amp;Tabla1[[#This Row],[APTO-LOCAL-OFIC.]]&amp;" "&amp;Tabla1[[#This Row],[PROPIETARIO]]&amp;"-"</f>
        <v>_APTO. 304 JUAN CARLOS FIGUEROA-</v>
      </c>
    </row>
    <row r="14" spans="1:85" ht="18" customHeight="1">
      <c r="A14" s="22" t="s">
        <v>36</v>
      </c>
      <c r="B14" s="23" t="s">
        <v>415</v>
      </c>
      <c r="C14" s="23">
        <v>1.71</v>
      </c>
      <c r="D14" s="25">
        <f>SUMIFS(EGRESOS!$C$4:$C$593,EGRESOS!$A$4:$A$593,D$1,EGRESOS!$E$4:$E$593,GASTOS!A58)</f>
        <v>180</v>
      </c>
      <c r="E14" s="25">
        <f>SUMIFS(EGRESOS!$C$4:$C$593,EGRESOS!$A$4:$A$593,E$1,EGRESOS!$E$4:$E$593,GASTOS!A58)</f>
        <v>-85</v>
      </c>
      <c r="F14" s="25">
        <f>SUMIFS(EGRESOS!$C$4:$C$593,EGRESOS!$A$4:$A$593,F$1,EGRESOS!$E$4:$E$593,GASTOS!A58)</f>
        <v>95</v>
      </c>
      <c r="G14" s="25">
        <f>SUMIFS(EGRESOS!$C$4:$C$593,EGRESOS!$A$4:$A$593,G$1,EGRESOS!$E$4:$E$593,GASTOS!A58)</f>
        <v>0</v>
      </c>
      <c r="H14" s="25">
        <f>SUMIFS(EGRESOS!$C$4:$C$593,EGRESOS!$A$4:$A$593,H$1,EGRESOS!$E$4:$E$593,GASTOS!A58)</f>
        <v>160</v>
      </c>
      <c r="I14" s="25">
        <f>SUMIFS(EGRESOS!$C$4:$C$593,EGRESOS!$A$4:$A$593,I$1,EGRESOS!$E$4:$E$593,GASTOS!A58)</f>
        <v>95</v>
      </c>
      <c r="J14" s="25">
        <f>SUMIFS(EGRESOS!$C$4:$C$593,EGRESOS!$A$4:$A$593,J$1,EGRESOS!$E$4:$E$593,GASTOS!A58)</f>
        <v>0</v>
      </c>
      <c r="K14" s="25">
        <f>SUMIFS(EGRESOS!$C$4:$C$593,EGRESOS!$A$4:$A$593,K$1,EGRESOS!$E$4:$E$593,GASTOS!A58)</f>
        <v>15</v>
      </c>
      <c r="L14" s="25">
        <f>SUMIFS(EGRESOS!$C$4:$C$593,EGRESOS!$A$4:$A$593,L$1,EGRESOS!$E$4:$E$593,GASTOS!A58)</f>
        <v>0</v>
      </c>
      <c r="M14" s="25">
        <f>SUMIFS(EGRESOS!$C$4:$C$593,EGRESOS!$A$4:$A$593,M$1,EGRESOS!$E$4:$E$593,GASTOS!A58)</f>
        <v>40</v>
      </c>
      <c r="N14" s="25">
        <f>SUMIFS(EGRESOS!$C$4:$C$593,EGRESOS!$A$4:$A$593,N$1,EGRESOS!$E$4:$E$593,GASTOS!A58)</f>
        <v>20</v>
      </c>
      <c r="O14" s="25">
        <f>SUMIFS(EGRESOS!$C$4:$C$593,EGRESOS!$A$4:$A$593,O$1,EGRESOS!$E$4:$E$593,GASTOS!A58)</f>
        <v>0</v>
      </c>
      <c r="P14" s="25">
        <f>SUMIFS(EGRESOS!$C$4:$C$593,EGRESOS!$A$4:$A$593,P$1,EGRESOS!$E$4:$E$593,GASTOS!A58)</f>
        <v>0</v>
      </c>
      <c r="Q14" s="25">
        <f>SUMIFS(EGRESOS!$C$4:$C$593,EGRESOS!$A$4:$A$593,Q$1,EGRESOS!$E$4:$E$593,GASTOS!A58)</f>
        <v>0</v>
      </c>
      <c r="R14" s="25">
        <f>SUMIFS(EGRESOS!$C$4:$C$593,EGRESOS!$A$4:$A$593,R$1,EGRESOS!$E$4:$E$593,GASTOS!A58)</f>
        <v>0</v>
      </c>
      <c r="S14" s="25">
        <f>SUMIFS(EGRESOS!$C$4:$C$593,EGRESOS!$A$4:$A$593,S$1,EGRESOS!$E$4:$E$593,GASTOS!A58)</f>
        <v>0</v>
      </c>
      <c r="T14" s="25">
        <f>SUMIFS(EGRESOS!$C$4:$C$593,EGRESOS!$A$4:$A$593,T$1,EGRESOS!$E$4:$E$593,GASTOS!A58)</f>
        <v>0</v>
      </c>
      <c r="U14" s="25">
        <f>SUMIFS(EGRESOS!$C$4:$C$593,EGRESOS!$A$4:$A$593,U$1,EGRESOS!$E$4:$E$593,GASTOS!A58)</f>
        <v>0</v>
      </c>
      <c r="V14" s="25">
        <f>SUMIFS(EGRESOS!$C$4:$C$593,EGRESOS!$A$4:$A$593,V$1,EGRESOS!$E$4:$E$593,GASTOS!A58)</f>
        <v>15</v>
      </c>
      <c r="W14" s="25">
        <f>SUMIFS(EGRESOS!$C$4:$C$593,EGRESOS!$A$4:$A$593,W$1,EGRESOS!$E$4:$E$593,GASTOS!A58)</f>
        <v>0</v>
      </c>
      <c r="X14" s="25">
        <f>SUMIFS(EGRESOS!$C$4:$C$593,EGRESOS!$A$4:$A$593,X$1,EGRESOS!$E$4:$E$593,GASTOS!A58)</f>
        <v>0</v>
      </c>
      <c r="Y14" s="25">
        <f>SUMIFS(EGRESOS!$C$4:$C$593,EGRESOS!$A$4:$A$593,Y$1,EGRESOS!$E$4:$E$593,GASTOS!A58)</f>
        <v>0</v>
      </c>
      <c r="Z14" s="25">
        <f>SUMIFS(EGRESOS!$C$4:$C$593,EGRESOS!$A$4:$A$593,Z$1,EGRESOS!$E$4:$E$593,GASTOS!A58)</f>
        <v>0</v>
      </c>
      <c r="AA14" s="25">
        <f>SUMIFS(EGRESOS!$C$4:$C$593,EGRESOS!$A$4:$A$593,AA$1,EGRESOS!$E$4:$E$593,GASTOS!A58)</f>
        <v>0</v>
      </c>
      <c r="AB14" s="25">
        <f>SUMIFS(EGRESOS!$C$4:$C$593,EGRESOS!$A$4:$A$593,AB$1,EGRESOS!$E$4:$E$593,GASTOS!A58)</f>
        <v>0</v>
      </c>
      <c r="AC14" s="25">
        <f>IF(PROPIETARIOS!E16&lt;&gt;"",SUMIFS(EGRESOS!$C$4:$C$593,EGRESOS!$A$4:$A$593,AC$1,EGRESOS!$E$4:$E$593,GASTOS!A58),0)</f>
        <v>76.5</v>
      </c>
      <c r="AD14" s="25">
        <f>IF(PROPIETARIOS!F16&lt;&gt;"",SUMIFS(EGRESOS!$C$4:$C$593,EGRESOS!$A$4:$A$593,AD$1,EGRESOS!$E$4:$E$593,GASTOS!A58),0)</f>
        <v>0</v>
      </c>
      <c r="AE14" s="25">
        <f>SUMIFS(EGRESOS!$C$4:$C$593,EGRESOS!$A$4:$A$593,AE$1,EGRESOS!$E$4:$E$593,GASTOS!$A$58)</f>
        <v>230</v>
      </c>
      <c r="AF14" s="25">
        <f>IF(PROPIETARIOS!H16&lt;&gt;"",SUMIFS(EGRESOS!$C$4:$C$593,EGRESOS!$A$4:$A$593,AF$1,EGRESOS!$E$4:$E$593,GASTOS!A58),0)</f>
        <v>0</v>
      </c>
      <c r="AG14" s="25">
        <f>IF(PROPIETARIOS!I16&lt;&gt;"",SUMIFS(EGRESOS!$C$4:$C$593,EGRESOS!$A$4:$A$593,AG$1,EGRESOS!$E$4:$E$593,GASTOS!A58),0)</f>
        <v>0</v>
      </c>
      <c r="AH14" s="25">
        <f>IF(PROPIETARIOS!J16&lt;&gt;"",SUMIFS(EGRESOS!$C$4:$C$593,EGRESOS!$A$4:$A$593,AH$1,EGRESOS!$E$4:$E$593,GASTOS!A58),0)</f>
        <v>0</v>
      </c>
      <c r="AI14" s="25">
        <f>IF(PROPIETARIOS!K16&lt;&gt;"",SUMIFS(EGRESOS!$C$4:$C$593,EGRESOS!$A$4:$A$593,AI$1,EGRESOS!$E$4:$E$593,GASTOS!A58),0)</f>
        <v>0</v>
      </c>
      <c r="AJ14" s="25">
        <f>SUMIFS(EGRESOS!$C$4:$C$593,EGRESOS!$A$4:$A$593,AJ$1,EGRESOS!$E$4:$E$593,GASTOS!A58)</f>
        <v>0</v>
      </c>
      <c r="AK14" s="25">
        <f>SUMIFS(EGRESOS!$C$4:$C$593,EGRESOS!$A$4:$A$593,AK$1,EGRESOS!$E$4:$E$593,GASTOS!A58)</f>
        <v>0</v>
      </c>
      <c r="AL14" s="25">
        <f>SUMIFS(EGRESOS!$C$4:$C$593,EGRESOS!$A$4:$A$593,AL$1,EGRESOS!$E$4:$E$593,GASTOS!A58)</f>
        <v>0</v>
      </c>
      <c r="AM14" s="25">
        <f>D14*$C$14%</f>
        <v>3.0780000000000003</v>
      </c>
      <c r="AN14" s="25">
        <f t="shared" ref="AN14:BK14" si="17">E14*$C$14%</f>
        <v>-1.4535</v>
      </c>
      <c r="AO14" s="25">
        <f t="shared" si="17"/>
        <v>1.6245000000000001</v>
      </c>
      <c r="AP14" s="25">
        <f t="shared" si="17"/>
        <v>0</v>
      </c>
      <c r="AQ14" s="25">
        <f t="shared" si="17"/>
        <v>2.7360000000000002</v>
      </c>
      <c r="AR14" s="25">
        <f t="shared" si="17"/>
        <v>1.6245000000000001</v>
      </c>
      <c r="AS14" s="25">
        <f t="shared" si="17"/>
        <v>0</v>
      </c>
      <c r="AT14" s="25">
        <f t="shared" si="17"/>
        <v>0.25650000000000001</v>
      </c>
      <c r="AU14" s="25">
        <f t="shared" si="17"/>
        <v>0</v>
      </c>
      <c r="AV14" s="25">
        <f t="shared" si="17"/>
        <v>0.68400000000000005</v>
      </c>
      <c r="AW14" s="25">
        <f t="shared" si="17"/>
        <v>0.34200000000000003</v>
      </c>
      <c r="AX14" s="25">
        <f t="shared" si="17"/>
        <v>0</v>
      </c>
      <c r="AY14" s="25">
        <f t="shared" si="17"/>
        <v>0</v>
      </c>
      <c r="AZ14" s="25">
        <f t="shared" si="17"/>
        <v>0</v>
      </c>
      <c r="BA14" s="25">
        <f t="shared" si="17"/>
        <v>0</v>
      </c>
      <c r="BB14" s="25">
        <f t="shared" si="17"/>
        <v>0</v>
      </c>
      <c r="BC14" s="25">
        <f t="shared" si="17"/>
        <v>0</v>
      </c>
      <c r="BD14" s="25">
        <f t="shared" si="17"/>
        <v>0</v>
      </c>
      <c r="BE14" s="25">
        <f t="shared" si="17"/>
        <v>0.25650000000000001</v>
      </c>
      <c r="BF14" s="25">
        <f t="shared" si="17"/>
        <v>0</v>
      </c>
      <c r="BG14" s="25">
        <f t="shared" si="17"/>
        <v>0</v>
      </c>
      <c r="BH14" s="25">
        <f t="shared" si="17"/>
        <v>0</v>
      </c>
      <c r="BI14" s="25">
        <f t="shared" si="17"/>
        <v>0</v>
      </c>
      <c r="BJ14" s="25">
        <f t="shared" si="17"/>
        <v>0</v>
      </c>
      <c r="BK14" s="25">
        <f t="shared" si="17"/>
        <v>0</v>
      </c>
      <c r="BL14" s="25">
        <f t="shared" si="5"/>
        <v>1.3081500000000001</v>
      </c>
      <c r="BM14" s="25">
        <f>IFERROR(AD14/COUNTIF(PROPIETARIOS!$F$4:$F$38,"GNC02"),0)</f>
        <v>0</v>
      </c>
      <c r="BN14" s="25">
        <f>IFERROR(AE14/COUNTIF(PROPIETARIOS!$G$4:$G$38,"GNC03"),0)</f>
        <v>6.5714285714285712</v>
      </c>
      <c r="BO14" s="25">
        <f>IFERROR(AF14/COUNTIF(PROPIETARIOS!$H$4:$H$38,"GNC04"),0)</f>
        <v>0</v>
      </c>
      <c r="BP14" s="25">
        <f>IFERROR(AG14/COUNTIF(PROPIETARIOS!$I$4:$I$38,"GNC05"),0)</f>
        <v>0</v>
      </c>
      <c r="BQ14" s="25">
        <v>0</v>
      </c>
      <c r="BR14" s="25">
        <v>0</v>
      </c>
      <c r="BS14" s="203">
        <f t="shared" si="1"/>
        <v>841.5</v>
      </c>
      <c r="BT14" s="203">
        <f t="shared" si="2"/>
        <v>17.028078571428573</v>
      </c>
      <c r="BU14" s="26" t="s">
        <v>252</v>
      </c>
      <c r="BV14" s="34">
        <f t="shared" ca="1" si="3"/>
        <v>46209</v>
      </c>
      <c r="BW14" s="23">
        <v>0</v>
      </c>
      <c r="BX14" s="36">
        <f>Hoja6!FR16</f>
        <v>0</v>
      </c>
      <c r="BY14" s="23" t="str">
        <f t="shared" si="6"/>
        <v>1,71</v>
      </c>
      <c r="BZ14" s="27" t="s">
        <v>425</v>
      </c>
      <c r="CA14" s="28" t="str">
        <f>convertirnum(Tabla1[[#This Row],[TOTALAL]])</f>
        <v>DIECISIETE CON 03/100 DÓLARES</v>
      </c>
      <c r="CB14" s="28">
        <f>5%*Hoja6!FT16</f>
        <v>0</v>
      </c>
      <c r="CC14" s="192">
        <f>IF(Tabla1[[#This Row],[DEUDA]]&gt;0,Hoja6!HL16,0)</f>
        <v>0</v>
      </c>
      <c r="CD14" s="28">
        <f>Hoja6!HM16</f>
        <v>0</v>
      </c>
      <c r="CE14" s="200">
        <f>IF(Tabla1[[#This Row],[DEUDA]]&gt;0,Hoja6!FT16,0)</f>
        <v>0</v>
      </c>
      <c r="CF14" s="28" t="str">
        <f>"_"&amp;Tabla1[[#This Row],[APTO-LOCAL-OFIC.]]&amp;" "&amp;Tabla1[[#This Row],[PROPIETARIO]]&amp;"-"</f>
        <v>_APTO. 401 AURA MORA-</v>
      </c>
    </row>
    <row r="15" spans="1:85" ht="18" customHeight="1">
      <c r="A15" s="29" t="s">
        <v>37</v>
      </c>
      <c r="B15" s="30" t="str">
        <f>IFERROR(VLOOKUP(A15,PROPIETARIOS!A16:D52,3),"")</f>
        <v>NELSON DI GIOGIA</v>
      </c>
      <c r="C15" s="30">
        <v>1.71</v>
      </c>
      <c r="D15" s="32">
        <f>SUMIFS(EGRESOS!$C$4:$C$593,EGRESOS!$A$4:$A$593,D$1,EGRESOS!$E$4:$E$593,GASTOS!A58)</f>
        <v>180</v>
      </c>
      <c r="E15" s="32">
        <f>SUMIFS(EGRESOS!$C$4:$C$593,EGRESOS!$A$4:$A$593,E$1,EGRESOS!$E$4:$E$593,GASTOS!A58)</f>
        <v>-85</v>
      </c>
      <c r="F15" s="32">
        <f>SUMIFS(EGRESOS!$C$4:$C$593,EGRESOS!$A$4:$A$593,F$1,EGRESOS!$E$4:$E$593,GASTOS!A58)</f>
        <v>95</v>
      </c>
      <c r="G15" s="32">
        <f>SUMIFS(EGRESOS!$C$4:$C$593,EGRESOS!$A$4:$A$593,G$1,EGRESOS!$E$4:$E$593,GASTOS!A58)</f>
        <v>0</v>
      </c>
      <c r="H15" s="32">
        <f>SUMIFS(EGRESOS!$C$4:$C$593,EGRESOS!$A$4:$A$593,H$1,EGRESOS!$E$4:$E$593,GASTOS!A58)</f>
        <v>160</v>
      </c>
      <c r="I15" s="32">
        <f>SUMIFS(EGRESOS!$C$4:$C$593,EGRESOS!$A$4:$A$593,I$1,EGRESOS!$E$4:$E$593,GASTOS!A58)</f>
        <v>95</v>
      </c>
      <c r="J15" s="32">
        <f>SUMIFS(EGRESOS!$C$4:$C$593,EGRESOS!$A$4:$A$593,J$1,EGRESOS!$E$4:$E$593,GASTOS!A58)</f>
        <v>0</v>
      </c>
      <c r="K15" s="32">
        <f>SUMIFS(EGRESOS!$C$4:$C$593,EGRESOS!$A$4:$A$593,K$1,EGRESOS!$E$4:$E$593,GASTOS!A58)</f>
        <v>15</v>
      </c>
      <c r="L15" s="32">
        <f>SUMIFS(EGRESOS!$C$4:$C$593,EGRESOS!$A$4:$A$593,L$1,EGRESOS!$E$4:$E$593,GASTOS!A58)</f>
        <v>0</v>
      </c>
      <c r="M15" s="32">
        <f>SUMIFS(EGRESOS!$C$4:$C$593,EGRESOS!$A$4:$A$593,M$1,EGRESOS!$E$4:$E$593,GASTOS!A58)</f>
        <v>40</v>
      </c>
      <c r="N15" s="32">
        <f>SUMIFS(EGRESOS!$C$4:$C$593,EGRESOS!$A$4:$A$593,N$1,EGRESOS!$E$4:$E$593,GASTOS!A58)</f>
        <v>20</v>
      </c>
      <c r="O15" s="32">
        <f>SUMIFS(EGRESOS!$C$4:$C$593,EGRESOS!$A$4:$A$593,O$1,EGRESOS!$E$4:$E$593,GASTOS!A58)</f>
        <v>0</v>
      </c>
      <c r="P15" s="32">
        <f>SUMIFS(EGRESOS!$C$4:$C$593,EGRESOS!$A$4:$A$593,P$1,EGRESOS!$E$4:$E$593,GASTOS!A58)</f>
        <v>0</v>
      </c>
      <c r="Q15" s="32">
        <f>SUMIFS(EGRESOS!$C$4:$C$593,EGRESOS!$A$4:$A$593,Q$1,EGRESOS!$E$4:$E$593,GASTOS!A58)</f>
        <v>0</v>
      </c>
      <c r="R15" s="32">
        <f>SUMIFS(EGRESOS!$C$4:$C$593,EGRESOS!$A$4:$A$593,R$1,EGRESOS!$E$4:$E$593,GASTOS!A58)</f>
        <v>0</v>
      </c>
      <c r="S15" s="32">
        <f>SUMIFS(EGRESOS!$C$4:$C$593,EGRESOS!$A$4:$A$593,S$1,EGRESOS!$E$4:$E$593,GASTOS!A58)</f>
        <v>0</v>
      </c>
      <c r="T15" s="32">
        <f>SUMIFS(EGRESOS!$C$4:$C$593,EGRESOS!$A$4:$A$593,T$1,EGRESOS!$E$4:$E$593,GASTOS!A58)</f>
        <v>0</v>
      </c>
      <c r="U15" s="32">
        <f>SUMIFS(EGRESOS!$C$4:$C$593,EGRESOS!$A$4:$A$593,U$1,EGRESOS!$E$4:$E$593,GASTOS!A58)</f>
        <v>0</v>
      </c>
      <c r="V15" s="32">
        <f>SUMIFS(EGRESOS!$C$4:$C$593,EGRESOS!$A$4:$A$593,V$1,EGRESOS!$E$4:$E$593,GASTOS!A58)</f>
        <v>15</v>
      </c>
      <c r="W15" s="32">
        <f>SUMIFS(EGRESOS!$C$4:$C$593,EGRESOS!$A$4:$A$593,W$1,EGRESOS!$E$4:$E$593,GASTOS!A58)</f>
        <v>0</v>
      </c>
      <c r="X15" s="32">
        <f>SUMIFS(EGRESOS!$C$4:$C$593,EGRESOS!$A$4:$A$593,X$1,EGRESOS!$E$4:$E$593,GASTOS!A58)</f>
        <v>0</v>
      </c>
      <c r="Y15" s="32">
        <f>SUMIFS(EGRESOS!$C$4:$C$593,EGRESOS!$A$4:$A$593,Y$1,EGRESOS!$E$4:$E$593,GASTOS!A58)</f>
        <v>0</v>
      </c>
      <c r="Z15" s="32">
        <f>SUMIFS(EGRESOS!$C$4:$C$593,EGRESOS!$A$4:$A$593,Z$1,EGRESOS!$E$4:$E$593,GASTOS!A58)</f>
        <v>0</v>
      </c>
      <c r="AA15" s="32">
        <f>SUMIFS(EGRESOS!$C$4:$C$593,EGRESOS!$A$4:$A$593,AA$1,EGRESOS!$E$4:$E$593,GASTOS!A58)</f>
        <v>0</v>
      </c>
      <c r="AB15" s="32">
        <f>SUMIFS(EGRESOS!$C$4:$C$593,EGRESOS!$A$4:$A$593,AB$1,EGRESOS!$E$4:$E$593,GASTOS!A58)</f>
        <v>0</v>
      </c>
      <c r="AC15" s="32">
        <f>IF(PROPIETARIOS!E17&lt;&gt;"",SUMIFS(EGRESOS!$C$4:$C$593,EGRESOS!$A$4:$A$593,AC$1,EGRESOS!$E$4:$E$593,GASTOS!A58),0)</f>
        <v>76.5</v>
      </c>
      <c r="AD15" s="32">
        <f>IF(PROPIETARIOS!F17&lt;&gt;"",SUMIFS(EGRESOS!$C$4:$C$593,EGRESOS!$A$4:$A$593,AD$1,EGRESOS!$E$4:$E$593,GASTOS!A58),0)</f>
        <v>0</v>
      </c>
      <c r="AE15" s="32">
        <f>SUMIFS(EGRESOS!$C$4:$C$593,EGRESOS!$A$4:$A$593,AE$1,EGRESOS!$E$4:$E$593,GASTOS!$A$58)</f>
        <v>230</v>
      </c>
      <c r="AF15" s="32">
        <f>IF(PROPIETARIOS!H17&lt;&gt;"",SUMIFS(EGRESOS!$C$4:$C$593,EGRESOS!$A$4:$A$593,AF$1,EGRESOS!$E$4:$E$593,GASTOS!A58),0)</f>
        <v>0</v>
      </c>
      <c r="AG15" s="32">
        <f>IF(PROPIETARIOS!I17&lt;&gt;"",SUMIFS(EGRESOS!$C$4:$C$593,EGRESOS!$A$4:$A$593,AG$1,EGRESOS!$E$4:$E$593,GASTOS!A58),0)</f>
        <v>0</v>
      </c>
      <c r="AH15" s="32">
        <f>IF(PROPIETARIOS!J17&lt;&gt;"",SUMIFS(EGRESOS!$C$4:$C$593,EGRESOS!$A$4:$A$593,AH$1,EGRESOS!$E$4:$E$593,GASTOS!A58),0)</f>
        <v>0</v>
      </c>
      <c r="AI15" s="32">
        <f>IF(PROPIETARIOS!K17&lt;&gt;"",SUMIFS(EGRESOS!$C$4:$C$593,EGRESOS!$A$4:$A$593,AI$1,EGRESOS!$E$4:$E$593,GASTOS!A58),0)</f>
        <v>0</v>
      </c>
      <c r="AJ15" s="32">
        <f>SUMIFS(EGRESOS!$C$4:$C$593,EGRESOS!$A$4:$A$593,AJ$1,EGRESOS!$E$4:$E$593,GASTOS!A58)</f>
        <v>0</v>
      </c>
      <c r="AK15" s="32">
        <f>SUMIFS(EGRESOS!$C$4:$C$593,EGRESOS!$A$4:$A$593,AK$1,EGRESOS!$E$4:$E$593,GASTOS!A58)</f>
        <v>0</v>
      </c>
      <c r="AL15" s="32">
        <f>SUMIFS(EGRESOS!$C$4:$C$593,EGRESOS!$A$4:$A$593,AL$1,EGRESOS!$E$4:$E$593,GASTOS!A58)</f>
        <v>0</v>
      </c>
      <c r="AM15" s="32">
        <f>D15*$C$15%</f>
        <v>3.0780000000000003</v>
      </c>
      <c r="AN15" s="32">
        <f t="shared" ref="AN15:BK15" si="18">E15*$C$15%</f>
        <v>-1.4535</v>
      </c>
      <c r="AO15" s="32">
        <f t="shared" si="18"/>
        <v>1.6245000000000001</v>
      </c>
      <c r="AP15" s="32">
        <f t="shared" si="18"/>
        <v>0</v>
      </c>
      <c r="AQ15" s="32">
        <f t="shared" si="18"/>
        <v>2.7360000000000002</v>
      </c>
      <c r="AR15" s="32">
        <f t="shared" si="18"/>
        <v>1.6245000000000001</v>
      </c>
      <c r="AS15" s="32">
        <f t="shared" si="18"/>
        <v>0</v>
      </c>
      <c r="AT15" s="32">
        <f t="shared" si="18"/>
        <v>0.25650000000000001</v>
      </c>
      <c r="AU15" s="32">
        <f t="shared" si="18"/>
        <v>0</v>
      </c>
      <c r="AV15" s="32">
        <f t="shared" si="18"/>
        <v>0.68400000000000005</v>
      </c>
      <c r="AW15" s="32">
        <f t="shared" si="18"/>
        <v>0.34200000000000003</v>
      </c>
      <c r="AX15" s="32">
        <f t="shared" si="18"/>
        <v>0</v>
      </c>
      <c r="AY15" s="32">
        <f t="shared" si="18"/>
        <v>0</v>
      </c>
      <c r="AZ15" s="32">
        <f t="shared" si="18"/>
        <v>0</v>
      </c>
      <c r="BA15" s="32">
        <f t="shared" si="18"/>
        <v>0</v>
      </c>
      <c r="BB15" s="32">
        <f t="shared" si="18"/>
        <v>0</v>
      </c>
      <c r="BC15" s="32">
        <f t="shared" si="18"/>
        <v>0</v>
      </c>
      <c r="BD15" s="32">
        <f t="shared" si="18"/>
        <v>0</v>
      </c>
      <c r="BE15" s="32">
        <f t="shared" si="18"/>
        <v>0.25650000000000001</v>
      </c>
      <c r="BF15" s="32">
        <f t="shared" si="18"/>
        <v>0</v>
      </c>
      <c r="BG15" s="32">
        <f t="shared" si="18"/>
        <v>0</v>
      </c>
      <c r="BH15" s="32">
        <f t="shared" si="18"/>
        <v>0</v>
      </c>
      <c r="BI15" s="32">
        <f t="shared" si="18"/>
        <v>0</v>
      </c>
      <c r="BJ15" s="32">
        <f t="shared" si="18"/>
        <v>0</v>
      </c>
      <c r="BK15" s="32">
        <f t="shared" si="18"/>
        <v>0</v>
      </c>
      <c r="BL15" s="32">
        <f t="shared" si="5"/>
        <v>1.3081500000000001</v>
      </c>
      <c r="BM15" s="32">
        <f>IFERROR(AD15/COUNTIF(PROPIETARIOS!$F$4:$F$38,"GNC02"),0)</f>
        <v>0</v>
      </c>
      <c r="BN15" s="32">
        <f>IFERROR(AE15/COUNTIF(PROPIETARIOS!$G$4:$G$38,"GNC03"),0)</f>
        <v>6.5714285714285712</v>
      </c>
      <c r="BO15" s="32">
        <f>IFERROR(AF15/COUNTIF(PROPIETARIOS!$H$4:$H$38,"GNC04"),0)</f>
        <v>0</v>
      </c>
      <c r="BP15" s="32">
        <f>IFERROR(AG15/COUNTIF(PROPIETARIOS!$I$4:$I$38,"GNC05"),0)</f>
        <v>0</v>
      </c>
      <c r="BQ15" s="32">
        <v>0</v>
      </c>
      <c r="BR15" s="32">
        <v>0</v>
      </c>
      <c r="BS15" s="204">
        <f t="shared" si="1"/>
        <v>841.5</v>
      </c>
      <c r="BT15" s="204">
        <f t="shared" si="2"/>
        <v>17.028078571428573</v>
      </c>
      <c r="BU15" s="33" t="s">
        <v>253</v>
      </c>
      <c r="BV15" s="34">
        <f t="shared" ca="1" si="3"/>
        <v>46209</v>
      </c>
      <c r="BW15" s="30">
        <v>0</v>
      </c>
      <c r="BX15" s="36">
        <f>Hoja6!FR17</f>
        <v>39.726228571428571</v>
      </c>
      <c r="BY15" s="30" t="str">
        <f t="shared" si="6"/>
        <v>1,71</v>
      </c>
      <c r="BZ15" s="27" t="s">
        <v>425</v>
      </c>
      <c r="CA15" s="28" t="str">
        <f>convertirnum(Tabla1[[#This Row],[TOTALAL]])</f>
        <v>DIECISIETE CON 03/100 DÓLARES</v>
      </c>
      <c r="CB15" s="28">
        <f>5%*Hoja6!FT17</f>
        <v>0.1</v>
      </c>
      <c r="CC15" s="192">
        <f>IF(Tabla1[[#This Row],[DEUDA]]&gt;0,Hoja6!HL17,0)</f>
        <v>0.15170935714285716</v>
      </c>
      <c r="CD15" s="28">
        <f>Hoja6!HM17</f>
        <v>39.877937928571427</v>
      </c>
      <c r="CE15" s="200">
        <f>IF(Tabla1[[#This Row],[DEUDA]]&gt;0,Hoja6!FT17,0)</f>
        <v>2</v>
      </c>
      <c r="CF15" s="28" t="str">
        <f>"_"&amp;Tabla1[[#This Row],[APTO-LOCAL-OFIC.]]&amp;" "&amp;Tabla1[[#This Row],[PROPIETARIO]]&amp;"-"</f>
        <v>_APTO. 402 NELSON DI GIOGIA-</v>
      </c>
    </row>
    <row r="16" spans="1:85" ht="18" customHeight="1">
      <c r="A16" s="22" t="s">
        <v>39</v>
      </c>
      <c r="B16" s="23" t="str">
        <f>IFERROR(VLOOKUP(A16,PROPIETARIOS!A17:D53,3),"")</f>
        <v>JAIME MONTAÑEZ</v>
      </c>
      <c r="C16" s="23">
        <v>1.71</v>
      </c>
      <c r="D16" s="25">
        <f>SUMIFS(EGRESOS!$C$4:$C$593,EGRESOS!$A$4:$A$593,D$1,EGRESOS!$E$4:$E$593,GASTOS!A58)</f>
        <v>180</v>
      </c>
      <c r="E16" s="25">
        <f>SUMIFS(EGRESOS!$C$4:$C$593,EGRESOS!$A$4:$A$593,E$1,EGRESOS!$E$4:$E$593,GASTOS!A58)</f>
        <v>-85</v>
      </c>
      <c r="F16" s="25">
        <f>SUMIFS(EGRESOS!$C$4:$C$593,EGRESOS!$A$4:$A$593,F$1,EGRESOS!$E$4:$E$593,GASTOS!A58)</f>
        <v>95</v>
      </c>
      <c r="G16" s="25">
        <f>SUMIFS(EGRESOS!$C$4:$C$593,EGRESOS!$A$4:$A$593,G$1,EGRESOS!$E$4:$E$593,GASTOS!A58)</f>
        <v>0</v>
      </c>
      <c r="H16" s="25">
        <f>SUMIFS(EGRESOS!$C$4:$C$593,EGRESOS!$A$4:$A$593,H$1,EGRESOS!$E$4:$E$593,GASTOS!A58)</f>
        <v>160</v>
      </c>
      <c r="I16" s="25">
        <f>SUMIFS(EGRESOS!$C$4:$C$593,EGRESOS!$A$4:$A$593,I$1,EGRESOS!$E$4:$E$593,GASTOS!A58)</f>
        <v>95</v>
      </c>
      <c r="J16" s="25">
        <f>SUMIFS(EGRESOS!$C$4:$C$593,EGRESOS!$A$4:$A$593,J$1,EGRESOS!$E$4:$E$593,GASTOS!A58)</f>
        <v>0</v>
      </c>
      <c r="K16" s="25">
        <f>SUMIFS(EGRESOS!$C$4:$C$593,EGRESOS!$A$4:$A$593,K$1,EGRESOS!$E$4:$E$593,GASTOS!A58)</f>
        <v>15</v>
      </c>
      <c r="L16" s="25">
        <f>SUMIFS(EGRESOS!$C$4:$C$593,EGRESOS!$A$4:$A$593,L$1,EGRESOS!$E$4:$E$593,GASTOS!A58)</f>
        <v>0</v>
      </c>
      <c r="M16" s="25">
        <f>SUMIFS(EGRESOS!$C$4:$C$593,EGRESOS!$A$4:$A$593,M$1,EGRESOS!$E$4:$E$593,GASTOS!A58)</f>
        <v>40</v>
      </c>
      <c r="N16" s="25">
        <f>SUMIFS(EGRESOS!$C$4:$C$593,EGRESOS!$A$4:$A$593,N$1,EGRESOS!$E$4:$E$593,GASTOS!A58)</f>
        <v>20</v>
      </c>
      <c r="O16" s="25">
        <f>SUMIFS(EGRESOS!$C$4:$C$593,EGRESOS!$A$4:$A$593,O$1,EGRESOS!$E$4:$E$593,GASTOS!A58)</f>
        <v>0</v>
      </c>
      <c r="P16" s="25">
        <f>SUMIFS(EGRESOS!$C$4:$C$593,EGRESOS!$A$4:$A$593,P$1,EGRESOS!$E$4:$E$593,GASTOS!A58)</f>
        <v>0</v>
      </c>
      <c r="Q16" s="25">
        <f>SUMIFS(EGRESOS!$C$4:$C$593,EGRESOS!$A$4:$A$593,Q$1,EGRESOS!$E$4:$E$593,GASTOS!A58)</f>
        <v>0</v>
      </c>
      <c r="R16" s="25">
        <f>SUMIFS(EGRESOS!$C$4:$C$593,EGRESOS!$A$4:$A$593,R$1,EGRESOS!$E$4:$E$593,GASTOS!A58)</f>
        <v>0</v>
      </c>
      <c r="S16" s="25">
        <f>SUMIFS(EGRESOS!$C$4:$C$593,EGRESOS!$A$4:$A$593,S$1,EGRESOS!$E$4:$E$593,GASTOS!A58)</f>
        <v>0</v>
      </c>
      <c r="T16" s="25">
        <f>SUMIFS(EGRESOS!$C$4:$C$593,EGRESOS!$A$4:$A$593,T$1,EGRESOS!$E$4:$E$593,GASTOS!A58)</f>
        <v>0</v>
      </c>
      <c r="U16" s="25">
        <f>SUMIFS(EGRESOS!$C$4:$C$593,EGRESOS!$A$4:$A$593,U$1,EGRESOS!$E$4:$E$593,GASTOS!A58)</f>
        <v>0</v>
      </c>
      <c r="V16" s="25">
        <f>SUMIFS(EGRESOS!$C$4:$C$593,EGRESOS!$A$4:$A$593,V$1,EGRESOS!$E$4:$E$593,GASTOS!A58)</f>
        <v>15</v>
      </c>
      <c r="W16" s="25">
        <f>SUMIFS(EGRESOS!$C$4:$C$593,EGRESOS!$A$4:$A$593,W$1,EGRESOS!$E$4:$E$593,GASTOS!A58)</f>
        <v>0</v>
      </c>
      <c r="X16" s="25">
        <f>SUMIFS(EGRESOS!$C$4:$C$593,EGRESOS!$A$4:$A$593,X$1,EGRESOS!$E$4:$E$593,GASTOS!A58)</f>
        <v>0</v>
      </c>
      <c r="Y16" s="25">
        <f>SUMIFS(EGRESOS!$C$4:$C$593,EGRESOS!$A$4:$A$593,Y$1,EGRESOS!$E$4:$E$593,GASTOS!A58)</f>
        <v>0</v>
      </c>
      <c r="Z16" s="25">
        <f>SUMIFS(EGRESOS!$C$4:$C$593,EGRESOS!$A$4:$A$593,Z$1,EGRESOS!$E$4:$E$593,GASTOS!A58)</f>
        <v>0</v>
      </c>
      <c r="AA16" s="25">
        <f>SUMIFS(EGRESOS!$C$4:$C$593,EGRESOS!$A$4:$A$593,AA$1,EGRESOS!$E$4:$E$593,GASTOS!A58)</f>
        <v>0</v>
      </c>
      <c r="AB16" s="25">
        <f>SUMIFS(EGRESOS!$C$4:$C$593,EGRESOS!$A$4:$A$593,AB$1,EGRESOS!$E$4:$E$593,GASTOS!A58)</f>
        <v>0</v>
      </c>
      <c r="AC16" s="25">
        <f>IF(PROPIETARIOS!E18&lt;&gt;"",SUMIFS(EGRESOS!$C$4:$C$593,EGRESOS!$A$4:$A$593,AC$1,EGRESOS!$E$4:$E$593,GASTOS!A58),0)</f>
        <v>76.5</v>
      </c>
      <c r="AD16" s="25">
        <f>IF(PROPIETARIOS!F18&lt;&gt;"",SUMIFS(EGRESOS!$C$4:$C$593,EGRESOS!$A$4:$A$593,AD$1,EGRESOS!$E$4:$E$593,GASTOS!A58),0)</f>
        <v>0</v>
      </c>
      <c r="AE16" s="25">
        <f>SUMIFS(EGRESOS!$C$4:$C$593,EGRESOS!$A$4:$A$593,AE$1,EGRESOS!$E$4:$E$593,GASTOS!$A$58)</f>
        <v>230</v>
      </c>
      <c r="AF16" s="25">
        <f>IF(PROPIETARIOS!H18&lt;&gt;"",SUMIFS(EGRESOS!$C$4:$C$593,EGRESOS!$A$4:$A$593,AF$1,EGRESOS!$E$4:$E$593,GASTOS!A58),0)</f>
        <v>0</v>
      </c>
      <c r="AG16" s="25">
        <f>IF(PROPIETARIOS!I18&lt;&gt;"",SUMIFS(EGRESOS!$C$4:$C$593,EGRESOS!$A$4:$A$593,AG$1,EGRESOS!$E$4:$E$593,GASTOS!A58),0)</f>
        <v>0</v>
      </c>
      <c r="AH16" s="25">
        <f>IF(PROPIETARIOS!J18&lt;&gt;"",SUMIFS(EGRESOS!$C$4:$C$593,EGRESOS!$A$4:$A$593,AH$1,EGRESOS!$E$4:$E$593,GASTOS!A58),0)</f>
        <v>0</v>
      </c>
      <c r="AI16" s="25">
        <f>IF(PROPIETARIOS!K18&lt;&gt;"",SUMIFS(EGRESOS!$C$4:$C$593,EGRESOS!$A$4:$A$593,AI$1,EGRESOS!$E$4:$E$593,GASTOS!A58),0)</f>
        <v>0</v>
      </c>
      <c r="AJ16" s="25">
        <f>SUMIFS(EGRESOS!$C$4:$C$593,EGRESOS!$A$4:$A$593,AJ$1,EGRESOS!$E$4:$E$593,GASTOS!A58)</f>
        <v>0</v>
      </c>
      <c r="AK16" s="25">
        <f>SUMIFS(EGRESOS!$C$4:$C$593,EGRESOS!$A$4:$A$593,AK$1,EGRESOS!$E$4:$E$593,GASTOS!A58)</f>
        <v>0</v>
      </c>
      <c r="AL16" s="25">
        <f>SUMIFS(EGRESOS!$C$4:$C$593,EGRESOS!$A$4:$A$593,AL$1,EGRESOS!$E$4:$E$593,GASTOS!A58)</f>
        <v>0</v>
      </c>
      <c r="AM16" s="25">
        <f>D16*$C$16%</f>
        <v>3.0780000000000003</v>
      </c>
      <c r="AN16" s="25">
        <f t="shared" ref="AN16:BK16" si="19">E16*$C$16%</f>
        <v>-1.4535</v>
      </c>
      <c r="AO16" s="25">
        <f t="shared" si="19"/>
        <v>1.6245000000000001</v>
      </c>
      <c r="AP16" s="25">
        <f t="shared" si="19"/>
        <v>0</v>
      </c>
      <c r="AQ16" s="25">
        <f t="shared" si="19"/>
        <v>2.7360000000000002</v>
      </c>
      <c r="AR16" s="25">
        <f t="shared" si="19"/>
        <v>1.6245000000000001</v>
      </c>
      <c r="AS16" s="25">
        <f t="shared" si="19"/>
        <v>0</v>
      </c>
      <c r="AT16" s="25">
        <f t="shared" si="19"/>
        <v>0.25650000000000001</v>
      </c>
      <c r="AU16" s="25">
        <f t="shared" si="19"/>
        <v>0</v>
      </c>
      <c r="AV16" s="25">
        <f t="shared" si="19"/>
        <v>0.68400000000000005</v>
      </c>
      <c r="AW16" s="25">
        <f t="shared" si="19"/>
        <v>0.34200000000000003</v>
      </c>
      <c r="AX16" s="25">
        <f t="shared" si="19"/>
        <v>0</v>
      </c>
      <c r="AY16" s="25">
        <f t="shared" si="19"/>
        <v>0</v>
      </c>
      <c r="AZ16" s="25">
        <f t="shared" si="19"/>
        <v>0</v>
      </c>
      <c r="BA16" s="25">
        <f t="shared" si="19"/>
        <v>0</v>
      </c>
      <c r="BB16" s="25">
        <f t="shared" si="19"/>
        <v>0</v>
      </c>
      <c r="BC16" s="25">
        <f t="shared" si="19"/>
        <v>0</v>
      </c>
      <c r="BD16" s="25">
        <f t="shared" si="19"/>
        <v>0</v>
      </c>
      <c r="BE16" s="25">
        <f t="shared" si="19"/>
        <v>0.25650000000000001</v>
      </c>
      <c r="BF16" s="25">
        <f t="shared" si="19"/>
        <v>0</v>
      </c>
      <c r="BG16" s="25">
        <f t="shared" si="19"/>
        <v>0</v>
      </c>
      <c r="BH16" s="25">
        <f t="shared" si="19"/>
        <v>0</v>
      </c>
      <c r="BI16" s="25">
        <f t="shared" si="19"/>
        <v>0</v>
      </c>
      <c r="BJ16" s="25">
        <f t="shared" si="19"/>
        <v>0</v>
      </c>
      <c r="BK16" s="25">
        <f t="shared" si="19"/>
        <v>0</v>
      </c>
      <c r="BL16" s="25">
        <f t="shared" si="5"/>
        <v>1.3081500000000001</v>
      </c>
      <c r="BM16" s="25">
        <f>IFERROR(AD16/COUNTIF(PROPIETARIOS!$F$4:$F$38,"GNC02"),0)</f>
        <v>0</v>
      </c>
      <c r="BN16" s="25">
        <f>IFERROR(AE16/COUNTIF(PROPIETARIOS!$G$4:$G$38,"GNC03"),0)</f>
        <v>6.5714285714285712</v>
      </c>
      <c r="BO16" s="25">
        <f>IFERROR(AF16/COUNTIF(PROPIETARIOS!$H$4:$H$38,"GNC04"),0)</f>
        <v>0</v>
      </c>
      <c r="BP16" s="25">
        <f>IFERROR(AG16/COUNTIF(PROPIETARIOS!$I$4:$I$38,"GNC05"),0)</f>
        <v>0</v>
      </c>
      <c r="BQ16" s="25">
        <v>0</v>
      </c>
      <c r="BR16" s="25">
        <v>0</v>
      </c>
      <c r="BS16" s="203">
        <f t="shared" si="1"/>
        <v>841.5</v>
      </c>
      <c r="BT16" s="203">
        <f t="shared" si="2"/>
        <v>17.028078571428573</v>
      </c>
      <c r="BU16" s="26" t="s">
        <v>254</v>
      </c>
      <c r="BV16" s="34">
        <f t="shared" ca="1" si="3"/>
        <v>46209</v>
      </c>
      <c r="BW16" s="23">
        <v>0</v>
      </c>
      <c r="BX16" s="36">
        <f>Hoja6!FR18</f>
        <v>0</v>
      </c>
      <c r="BY16" s="23" t="str">
        <f t="shared" si="6"/>
        <v>1,71</v>
      </c>
      <c r="BZ16" s="27" t="s">
        <v>425</v>
      </c>
      <c r="CA16" s="28" t="str">
        <f>convertirnum(Tabla1[[#This Row],[TOTALAL]])</f>
        <v>DIECISIETE CON 03/100 DÓLARES</v>
      </c>
      <c r="CB16" s="28">
        <f>5%*Hoja6!FT18</f>
        <v>0</v>
      </c>
      <c r="CC16" s="192">
        <f>IF(Tabla1[[#This Row],[DEUDA]]&gt;0,Hoja6!HL18,0)</f>
        <v>0</v>
      </c>
      <c r="CD16" s="28">
        <f>Hoja6!HM18</f>
        <v>0</v>
      </c>
      <c r="CE16" s="200">
        <f>IF(Tabla1[[#This Row],[DEUDA]]&gt;0,Hoja6!FT18,0)</f>
        <v>0</v>
      </c>
      <c r="CF16" s="28" t="str">
        <f>"_"&amp;Tabla1[[#This Row],[APTO-LOCAL-OFIC.]]&amp;" "&amp;Tabla1[[#This Row],[PROPIETARIO]]&amp;"-"</f>
        <v>_APTO. 403 JAIME MONTAÑEZ-</v>
      </c>
    </row>
    <row r="17" spans="1:86" ht="18" customHeight="1">
      <c r="A17" s="29" t="s">
        <v>40</v>
      </c>
      <c r="B17" s="30" t="s">
        <v>473</v>
      </c>
      <c r="C17" s="30">
        <v>1.71</v>
      </c>
      <c r="D17" s="32">
        <f>SUMIFS(EGRESOS!$C$4:$C$593,EGRESOS!$A$4:$A$593,D$1,EGRESOS!$E$4:$E$593,GASTOS!A58)</f>
        <v>180</v>
      </c>
      <c r="E17" s="32">
        <f>SUMIFS(EGRESOS!$C$4:$C$593,EGRESOS!$A$4:$A$593,E$1,EGRESOS!$E$4:$E$593,GASTOS!A58)</f>
        <v>-85</v>
      </c>
      <c r="F17" s="32">
        <f>SUMIFS(EGRESOS!$C$4:$C$593,EGRESOS!$A$4:$A$593,F$1,EGRESOS!$E$4:$E$593,GASTOS!A58)</f>
        <v>95</v>
      </c>
      <c r="G17" s="32">
        <f>SUMIFS(EGRESOS!$C$4:$C$593,EGRESOS!$A$4:$A$593,G$1,EGRESOS!$E$4:$E$593,GASTOS!A58)</f>
        <v>0</v>
      </c>
      <c r="H17" s="32">
        <f>SUMIFS(EGRESOS!$C$4:$C$593,EGRESOS!$A$4:$A$593,H$1,EGRESOS!$E$4:$E$593,GASTOS!A58)</f>
        <v>160</v>
      </c>
      <c r="I17" s="32">
        <f>SUMIFS(EGRESOS!$C$4:$C$593,EGRESOS!$A$4:$A$593,I$1,EGRESOS!$E$4:$E$593,GASTOS!A58)</f>
        <v>95</v>
      </c>
      <c r="J17" s="32">
        <f>SUMIFS(EGRESOS!$C$4:$C$593,EGRESOS!$A$4:$A$593,J$1,EGRESOS!$E$4:$E$593,GASTOS!A58)</f>
        <v>0</v>
      </c>
      <c r="K17" s="32">
        <f>SUMIFS(EGRESOS!$C$4:$C$593,EGRESOS!$A$4:$A$593,K$1,EGRESOS!$E$4:$E$593,GASTOS!A58)</f>
        <v>15</v>
      </c>
      <c r="L17" s="32">
        <f>SUMIFS(EGRESOS!$C$4:$C$593,EGRESOS!$A$4:$A$593,L$1,EGRESOS!$E$4:$E$593,GASTOS!A58)</f>
        <v>0</v>
      </c>
      <c r="M17" s="32">
        <f>SUMIFS(EGRESOS!$C$4:$C$593,EGRESOS!$A$4:$A$593,M$1,EGRESOS!$E$4:$E$593,GASTOS!A58)</f>
        <v>40</v>
      </c>
      <c r="N17" s="32">
        <f>SUMIFS(EGRESOS!$C$4:$C$593,EGRESOS!$A$4:$A$593,N$1,EGRESOS!$E$4:$E$593,GASTOS!A58)</f>
        <v>20</v>
      </c>
      <c r="O17" s="32">
        <f>SUMIFS(EGRESOS!$C$4:$C$593,EGRESOS!$A$4:$A$593,O$1,EGRESOS!$E$4:$E$593,GASTOS!A58)</f>
        <v>0</v>
      </c>
      <c r="P17" s="32">
        <f>SUMIFS(EGRESOS!$C$4:$C$593,EGRESOS!$A$4:$A$593,P$1,EGRESOS!$E$4:$E$593,GASTOS!A58)</f>
        <v>0</v>
      </c>
      <c r="Q17" s="32">
        <f>SUMIFS(EGRESOS!$C$4:$C$593,EGRESOS!$A$4:$A$593,Q$1,EGRESOS!$E$4:$E$593,GASTOS!A58)</f>
        <v>0</v>
      </c>
      <c r="R17" s="32">
        <f>SUMIFS(EGRESOS!$C$4:$C$593,EGRESOS!$A$4:$A$593,R$1,EGRESOS!$E$4:$E$593,GASTOS!A58)</f>
        <v>0</v>
      </c>
      <c r="S17" s="32">
        <f>SUMIFS(EGRESOS!$C$4:$C$593,EGRESOS!$A$4:$A$593,S$1,EGRESOS!$E$4:$E$593,GASTOS!A58)</f>
        <v>0</v>
      </c>
      <c r="T17" s="32">
        <f>SUMIFS(EGRESOS!$C$4:$C$593,EGRESOS!$A$4:$A$593,T$1,EGRESOS!$E$4:$E$593,GASTOS!A58)</f>
        <v>0</v>
      </c>
      <c r="U17" s="32">
        <f>SUMIFS(EGRESOS!$C$4:$C$593,EGRESOS!$A$4:$A$593,U$1,EGRESOS!$E$4:$E$593,GASTOS!A58)</f>
        <v>0</v>
      </c>
      <c r="V17" s="32">
        <f>SUMIFS(EGRESOS!$C$4:$C$593,EGRESOS!$A$4:$A$593,V$1,EGRESOS!$E$4:$E$593,GASTOS!A58)</f>
        <v>15</v>
      </c>
      <c r="W17" s="32">
        <f>SUMIFS(EGRESOS!$C$4:$C$593,EGRESOS!$A$4:$A$593,W$1,EGRESOS!$E$4:$E$593,GASTOS!A58)</f>
        <v>0</v>
      </c>
      <c r="X17" s="32">
        <f>SUMIFS(EGRESOS!$C$4:$C$593,EGRESOS!$A$4:$A$593,X$1,EGRESOS!$E$4:$E$593,GASTOS!A58)</f>
        <v>0</v>
      </c>
      <c r="Y17" s="32">
        <f>SUMIFS(EGRESOS!$C$4:$C$593,EGRESOS!$A$4:$A$593,Y$1,EGRESOS!$E$4:$E$593,GASTOS!A58)</f>
        <v>0</v>
      </c>
      <c r="Z17" s="32">
        <f>SUMIFS(EGRESOS!$C$4:$C$593,EGRESOS!$A$4:$A$593,Z$1,EGRESOS!$E$4:$E$593,GASTOS!A58)</f>
        <v>0</v>
      </c>
      <c r="AA17" s="32">
        <f>SUMIFS(EGRESOS!$C$4:$C$593,EGRESOS!$A$4:$A$593,AA$1,EGRESOS!$E$4:$E$593,GASTOS!A58)</f>
        <v>0</v>
      </c>
      <c r="AB17" s="32">
        <f>SUMIFS(EGRESOS!$C$4:$C$593,EGRESOS!$A$4:$A$593,AB$1,EGRESOS!$E$4:$E$593,GASTOS!A58)</f>
        <v>0</v>
      </c>
      <c r="AC17" s="32">
        <f>IF(PROPIETARIOS!E19&lt;&gt;"",SUMIFS(EGRESOS!$C$4:$C$593,EGRESOS!$A$4:$A$593,AC$1,EGRESOS!$E$4:$E$593,GASTOS!A58),0)</f>
        <v>76.5</v>
      </c>
      <c r="AD17" s="32">
        <f>IF(PROPIETARIOS!F19&lt;&gt;"",SUMIFS(EGRESOS!$C$4:$C$593,EGRESOS!$A$4:$A$593,AD$1,EGRESOS!$E$4:$E$593,GASTOS!A58),0)</f>
        <v>0</v>
      </c>
      <c r="AE17" s="32">
        <f>SUMIFS(EGRESOS!$C$4:$C$593,EGRESOS!$A$4:$A$593,AE$1,EGRESOS!$E$4:$E$593,GASTOS!$A$58)</f>
        <v>230</v>
      </c>
      <c r="AF17" s="32">
        <f>IF(PROPIETARIOS!H19&lt;&gt;"",SUMIFS(EGRESOS!$C$4:$C$593,EGRESOS!$A$4:$A$593,AF$1,EGRESOS!$E$4:$E$593,GASTOS!A58),0)</f>
        <v>0</v>
      </c>
      <c r="AG17" s="32">
        <f>IF(PROPIETARIOS!I19&lt;&gt;"",SUMIFS(EGRESOS!$C$4:$C$593,EGRESOS!$A$4:$A$593,AG$1,EGRESOS!$E$4:$E$593,GASTOS!A58),0)</f>
        <v>0</v>
      </c>
      <c r="AH17" s="32">
        <f>IF(PROPIETARIOS!J19&lt;&gt;"",SUMIFS(EGRESOS!$C$4:$C$593,EGRESOS!$A$4:$A$593,AH$1,EGRESOS!$E$4:$E$593,GASTOS!A58),0)</f>
        <v>0</v>
      </c>
      <c r="AI17" s="32">
        <f>IF(PROPIETARIOS!K19&lt;&gt;"",SUMIFS(EGRESOS!$C$4:$C$593,EGRESOS!$A$4:$A$593,AI$1,EGRESOS!$E$4:$E$593,GASTOS!A58),0)</f>
        <v>0</v>
      </c>
      <c r="AJ17" s="32">
        <f>SUMIFS(EGRESOS!$C$4:$C$593,EGRESOS!$A$4:$A$593,AJ$1,EGRESOS!$E$4:$E$593,GASTOS!A58)</f>
        <v>0</v>
      </c>
      <c r="AK17" s="32">
        <f>SUMIFS(EGRESOS!$C$4:$C$593,EGRESOS!$A$4:$A$593,AK$1,EGRESOS!$E$4:$E$593,GASTOS!A58)</f>
        <v>0</v>
      </c>
      <c r="AL17" s="32">
        <f>SUMIFS(EGRESOS!$C$4:$C$593,EGRESOS!$A$4:$A$593,AL$1,EGRESOS!$E$4:$E$593,GASTOS!A58)</f>
        <v>0</v>
      </c>
      <c r="AM17" s="32">
        <f>D17*$C$17%</f>
        <v>3.0780000000000003</v>
      </c>
      <c r="AN17" s="32">
        <f t="shared" ref="AN17:BK17" si="20">E17*$C$17%</f>
        <v>-1.4535</v>
      </c>
      <c r="AO17" s="32">
        <f t="shared" si="20"/>
        <v>1.6245000000000001</v>
      </c>
      <c r="AP17" s="32">
        <f t="shared" si="20"/>
        <v>0</v>
      </c>
      <c r="AQ17" s="32">
        <f t="shared" si="20"/>
        <v>2.7360000000000002</v>
      </c>
      <c r="AR17" s="32">
        <f t="shared" si="20"/>
        <v>1.6245000000000001</v>
      </c>
      <c r="AS17" s="32">
        <f t="shared" si="20"/>
        <v>0</v>
      </c>
      <c r="AT17" s="32">
        <f t="shared" si="20"/>
        <v>0.25650000000000001</v>
      </c>
      <c r="AU17" s="32">
        <f t="shared" si="20"/>
        <v>0</v>
      </c>
      <c r="AV17" s="32">
        <f t="shared" si="20"/>
        <v>0.68400000000000005</v>
      </c>
      <c r="AW17" s="32">
        <f t="shared" si="20"/>
        <v>0.34200000000000003</v>
      </c>
      <c r="AX17" s="32">
        <f t="shared" si="20"/>
        <v>0</v>
      </c>
      <c r="AY17" s="32">
        <f t="shared" si="20"/>
        <v>0</v>
      </c>
      <c r="AZ17" s="32">
        <f t="shared" si="20"/>
        <v>0</v>
      </c>
      <c r="BA17" s="32">
        <f t="shared" si="20"/>
        <v>0</v>
      </c>
      <c r="BB17" s="32">
        <f t="shared" si="20"/>
        <v>0</v>
      </c>
      <c r="BC17" s="32">
        <f t="shared" si="20"/>
        <v>0</v>
      </c>
      <c r="BD17" s="32">
        <f t="shared" si="20"/>
        <v>0</v>
      </c>
      <c r="BE17" s="32">
        <f t="shared" si="20"/>
        <v>0.25650000000000001</v>
      </c>
      <c r="BF17" s="32">
        <f t="shared" si="20"/>
        <v>0</v>
      </c>
      <c r="BG17" s="32">
        <f t="shared" si="20"/>
        <v>0</v>
      </c>
      <c r="BH17" s="32">
        <f t="shared" si="20"/>
        <v>0</v>
      </c>
      <c r="BI17" s="32">
        <f t="shared" si="20"/>
        <v>0</v>
      </c>
      <c r="BJ17" s="32">
        <f t="shared" si="20"/>
        <v>0</v>
      </c>
      <c r="BK17" s="32">
        <f t="shared" si="20"/>
        <v>0</v>
      </c>
      <c r="BL17" s="32">
        <f t="shared" si="5"/>
        <v>1.3081500000000001</v>
      </c>
      <c r="BM17" s="32">
        <f>IFERROR(AD17/COUNTIF(PROPIETARIOS!$F$4:$F$38,"GNC02"),0)</f>
        <v>0</v>
      </c>
      <c r="BN17" s="32">
        <f>IFERROR(AE17/COUNTIF(PROPIETARIOS!$G$4:$G$38,"GNC03"),0)</f>
        <v>6.5714285714285712</v>
      </c>
      <c r="BO17" s="32">
        <f>IFERROR(AF17/COUNTIF(PROPIETARIOS!$H$4:$H$38,"GNC04"),0)</f>
        <v>0</v>
      </c>
      <c r="BP17" s="32">
        <f>IFERROR(AG17/COUNTIF(PROPIETARIOS!$I$4:$I$38,"GNC05"),0)</f>
        <v>0</v>
      </c>
      <c r="BQ17" s="32">
        <v>0</v>
      </c>
      <c r="BR17" s="32">
        <v>0</v>
      </c>
      <c r="BS17" s="204">
        <f t="shared" si="1"/>
        <v>841.5</v>
      </c>
      <c r="BT17" s="204">
        <f t="shared" si="2"/>
        <v>17.028078571428573</v>
      </c>
      <c r="BU17" s="33" t="s">
        <v>467</v>
      </c>
      <c r="BV17" s="34">
        <f t="shared" ca="1" si="3"/>
        <v>46209</v>
      </c>
      <c r="BW17" s="30">
        <v>0</v>
      </c>
      <c r="BX17" s="36">
        <f>Hoja6!FR19</f>
        <v>0</v>
      </c>
      <c r="BY17" s="30" t="str">
        <f t="shared" si="6"/>
        <v>1,71</v>
      </c>
      <c r="BZ17" s="27" t="s">
        <v>425</v>
      </c>
      <c r="CA17" s="28" t="str">
        <f>convertirnum(Tabla1[[#This Row],[TOTALAL]])</f>
        <v>DIECISIETE CON 03/100 DÓLARES</v>
      </c>
      <c r="CB17" s="28">
        <f>5%*Hoja6!FT19</f>
        <v>0</v>
      </c>
      <c r="CC17" s="192">
        <f>IF(Tabla1[[#This Row],[DEUDA]]&gt;0,Hoja6!HL19,0)</f>
        <v>0</v>
      </c>
      <c r="CD17" s="28">
        <f>Hoja6!HM19</f>
        <v>0</v>
      </c>
      <c r="CE17" s="200">
        <f>IF(Tabla1[[#This Row],[DEUDA]]&gt;0,Hoja6!FT19,0)</f>
        <v>0</v>
      </c>
      <c r="CF17" s="28" t="str">
        <f>"_"&amp;Tabla1[[#This Row],[APTO-LOCAL-OFIC.]]&amp;" "&amp;Tabla1[[#This Row],[PROPIETARIO]]&amp;"-"</f>
        <v>_APTO. 404 TIAN YIN-</v>
      </c>
    </row>
    <row r="18" spans="1:86" ht="18" customHeight="1">
      <c r="A18" s="22" t="s">
        <v>41</v>
      </c>
      <c r="B18" s="23" t="str">
        <f>IFERROR(VLOOKUP(A18,PROPIETARIOS!A19:D55,3),"")</f>
        <v>JACQUELINE CABEZA</v>
      </c>
      <c r="C18" s="23">
        <v>1.71</v>
      </c>
      <c r="D18" s="25">
        <f>SUMIFS(EGRESOS!$C$4:$C$593,EGRESOS!$A$4:$A$593,D$1,EGRESOS!$E$4:$E$593,GASTOS!A58)</f>
        <v>180</v>
      </c>
      <c r="E18" s="25">
        <f>SUMIFS(EGRESOS!$C$4:$C$593,EGRESOS!$A$4:$A$593,E$1,EGRESOS!$E$4:$E$593,GASTOS!A58)</f>
        <v>-85</v>
      </c>
      <c r="F18" s="25">
        <f>SUMIFS(EGRESOS!$C$4:$C$593,EGRESOS!$A$4:$A$593,F$1,EGRESOS!$E$4:$E$593,GASTOS!A58)</f>
        <v>95</v>
      </c>
      <c r="G18" s="25">
        <f>SUMIFS(EGRESOS!$C$4:$C$593,EGRESOS!$A$4:$A$593,G$1,EGRESOS!$E$4:$E$593,GASTOS!A58)</f>
        <v>0</v>
      </c>
      <c r="H18" s="25">
        <f>SUMIFS(EGRESOS!$C$4:$C$593,EGRESOS!$A$4:$A$593,H$1,EGRESOS!$E$4:$E$593,GASTOS!A58)</f>
        <v>160</v>
      </c>
      <c r="I18" s="25">
        <f>SUMIFS(EGRESOS!$C$4:$C$593,EGRESOS!$A$4:$A$593,I$1,EGRESOS!$E$4:$E$593,GASTOS!A58)</f>
        <v>95</v>
      </c>
      <c r="J18" s="25">
        <f>SUMIFS(EGRESOS!$C$4:$C$593,EGRESOS!$A$4:$A$593,J$1,EGRESOS!$E$4:$E$593,GASTOS!A58)</f>
        <v>0</v>
      </c>
      <c r="K18" s="25">
        <f>SUMIFS(EGRESOS!$C$4:$C$593,EGRESOS!$A$4:$A$593,K$1,EGRESOS!$E$4:$E$593,GASTOS!A58)</f>
        <v>15</v>
      </c>
      <c r="L18" s="25">
        <f>SUMIFS(EGRESOS!$C$4:$C$593,EGRESOS!$A$4:$A$593,L$1,EGRESOS!$E$4:$E$593,GASTOS!A58)</f>
        <v>0</v>
      </c>
      <c r="M18" s="25">
        <f>SUMIFS(EGRESOS!$C$4:$C$593,EGRESOS!$A$4:$A$593,M$1,EGRESOS!$E$4:$E$593,GASTOS!A58)</f>
        <v>40</v>
      </c>
      <c r="N18" s="25">
        <f>SUMIFS(EGRESOS!$C$4:$C$593,EGRESOS!$A$4:$A$593,N$1,EGRESOS!$E$4:$E$593,GASTOS!A58)</f>
        <v>20</v>
      </c>
      <c r="O18" s="25">
        <f>SUMIFS(EGRESOS!$C$4:$C$593,EGRESOS!$A$4:$A$593,O$1,EGRESOS!$E$4:$E$593,GASTOS!A58)</f>
        <v>0</v>
      </c>
      <c r="P18" s="25">
        <f>SUMIFS(EGRESOS!$C$4:$C$593,EGRESOS!$A$4:$A$593,P$1,EGRESOS!$E$4:$E$593,GASTOS!A58)</f>
        <v>0</v>
      </c>
      <c r="Q18" s="25">
        <f>SUMIFS(EGRESOS!$C$4:$C$593,EGRESOS!$A$4:$A$593,Q$1,EGRESOS!$E$4:$E$593,GASTOS!A58)</f>
        <v>0</v>
      </c>
      <c r="R18" s="25">
        <f>SUMIFS(EGRESOS!$C$4:$C$593,EGRESOS!$A$4:$A$593,R$1,EGRESOS!$E$4:$E$593,GASTOS!A58)</f>
        <v>0</v>
      </c>
      <c r="S18" s="25">
        <f>SUMIFS(EGRESOS!$C$4:$C$593,EGRESOS!$A$4:$A$593,S$1,EGRESOS!$E$4:$E$593,GASTOS!A58)</f>
        <v>0</v>
      </c>
      <c r="T18" s="25">
        <f>SUMIFS(EGRESOS!$C$4:$C$593,EGRESOS!$A$4:$A$593,T$1,EGRESOS!$E$4:$E$593,GASTOS!A58)</f>
        <v>0</v>
      </c>
      <c r="U18" s="25">
        <f>SUMIFS(EGRESOS!$C$4:$C$593,EGRESOS!$A$4:$A$593,U$1,EGRESOS!$E$4:$E$593,GASTOS!A58)</f>
        <v>0</v>
      </c>
      <c r="V18" s="25">
        <f>SUMIFS(EGRESOS!$C$4:$C$593,EGRESOS!$A$4:$A$593,V$1,EGRESOS!$E$4:$E$593,GASTOS!A58)</f>
        <v>15</v>
      </c>
      <c r="W18" s="25">
        <f>SUMIFS(EGRESOS!$C$4:$C$593,EGRESOS!$A$4:$A$593,W$1,EGRESOS!$E$4:$E$593,GASTOS!A58)</f>
        <v>0</v>
      </c>
      <c r="X18" s="25">
        <f>SUMIFS(EGRESOS!$C$4:$C$593,EGRESOS!$A$4:$A$593,X$1,EGRESOS!$E$4:$E$593,GASTOS!A58)</f>
        <v>0</v>
      </c>
      <c r="Y18" s="25">
        <f>SUMIFS(EGRESOS!$C$4:$C$593,EGRESOS!$A$4:$A$593,Y$1,EGRESOS!$E$4:$E$593,GASTOS!A58)</f>
        <v>0</v>
      </c>
      <c r="Z18" s="25">
        <f>SUMIFS(EGRESOS!$C$4:$C$593,EGRESOS!$A$4:$A$593,Z$1,EGRESOS!$E$4:$E$593,GASTOS!A58)</f>
        <v>0</v>
      </c>
      <c r="AA18" s="25">
        <f>SUMIFS(EGRESOS!$C$4:$C$593,EGRESOS!$A$4:$A$593,AA$1,EGRESOS!$E$4:$E$593,GASTOS!A58)</f>
        <v>0</v>
      </c>
      <c r="AB18" s="25">
        <f>SUMIFS(EGRESOS!$C$4:$C$593,EGRESOS!$A$4:$A$593,AB$1,EGRESOS!$E$4:$E$593,GASTOS!A58)</f>
        <v>0</v>
      </c>
      <c r="AC18" s="25">
        <f>IF(PROPIETARIOS!E20&lt;&gt;"",SUMIFS(EGRESOS!$C$4:$C$593,EGRESOS!$A$4:$A$593,AC$1,EGRESOS!$E$4:$E$593,GASTOS!A58),0)</f>
        <v>76.5</v>
      </c>
      <c r="AD18" s="25">
        <f>IF(PROPIETARIOS!F20&lt;&gt;"",SUMIFS(EGRESOS!$C$4:$C$593,EGRESOS!$A$4:$A$593,AD$1,EGRESOS!$E$4:$E$593,GASTOS!A58),0)</f>
        <v>0</v>
      </c>
      <c r="AE18" s="25">
        <f>SUMIFS(EGRESOS!$C$4:$C$593,EGRESOS!$A$4:$A$593,AE$1,EGRESOS!$E$4:$E$593,GASTOS!$A$58)</f>
        <v>230</v>
      </c>
      <c r="AF18" s="25">
        <f>IF(PROPIETARIOS!H20&lt;&gt;"",SUMIFS(EGRESOS!$C$4:$C$593,EGRESOS!$A$4:$A$593,AF$1,EGRESOS!$E$4:$E$593,GASTOS!A58),0)</f>
        <v>0</v>
      </c>
      <c r="AG18" s="25">
        <f>IF(PROPIETARIOS!I20&lt;&gt;"",SUMIFS(EGRESOS!$C$4:$C$593,EGRESOS!$A$4:$A$593,AG$1,EGRESOS!$E$4:$E$593,GASTOS!A58),0)</f>
        <v>0</v>
      </c>
      <c r="AH18" s="25">
        <f>IF(PROPIETARIOS!J20&lt;&gt;"",SUMIFS(EGRESOS!$C$4:$C$593,EGRESOS!$A$4:$A$593,AH$1,EGRESOS!$E$4:$E$593,GASTOS!A58),0)</f>
        <v>0</v>
      </c>
      <c r="AI18" s="25">
        <f>IF(PROPIETARIOS!K20&lt;&gt;"",SUMIFS(EGRESOS!$C$4:$C$593,EGRESOS!$A$4:$A$593,AI$1,EGRESOS!$E$4:$E$593,GASTOS!A58),0)</f>
        <v>0</v>
      </c>
      <c r="AJ18" s="25">
        <f>SUMIFS(EGRESOS!$C$4:$C$593,EGRESOS!$A$4:$A$593,AJ$1,EGRESOS!$E$4:$E$593,GASTOS!A58)</f>
        <v>0</v>
      </c>
      <c r="AK18" s="25">
        <f>SUMIFS(EGRESOS!$C$4:$C$593,EGRESOS!$A$4:$A$593,AK$1,EGRESOS!$E$4:$E$593,GASTOS!A58)</f>
        <v>0</v>
      </c>
      <c r="AL18" s="25">
        <f>SUMIFS(EGRESOS!$C$4:$C$593,EGRESOS!$A$4:$A$593,AL$1,EGRESOS!$E$4:$E$593,GASTOS!A58)</f>
        <v>0</v>
      </c>
      <c r="AM18" s="25">
        <f>D18*$C$18%</f>
        <v>3.0780000000000003</v>
      </c>
      <c r="AN18" s="25">
        <f t="shared" ref="AN18:BK18" si="21">E18*$C$18%</f>
        <v>-1.4535</v>
      </c>
      <c r="AO18" s="25">
        <f t="shared" si="21"/>
        <v>1.6245000000000001</v>
      </c>
      <c r="AP18" s="25">
        <f t="shared" si="21"/>
        <v>0</v>
      </c>
      <c r="AQ18" s="25">
        <f t="shared" si="21"/>
        <v>2.7360000000000002</v>
      </c>
      <c r="AR18" s="25">
        <f t="shared" si="21"/>
        <v>1.6245000000000001</v>
      </c>
      <c r="AS18" s="25">
        <f t="shared" si="21"/>
        <v>0</v>
      </c>
      <c r="AT18" s="25">
        <f t="shared" si="21"/>
        <v>0.25650000000000001</v>
      </c>
      <c r="AU18" s="25">
        <f t="shared" si="21"/>
        <v>0</v>
      </c>
      <c r="AV18" s="25">
        <f t="shared" si="21"/>
        <v>0.68400000000000005</v>
      </c>
      <c r="AW18" s="25">
        <f t="shared" si="21"/>
        <v>0.34200000000000003</v>
      </c>
      <c r="AX18" s="25">
        <f t="shared" si="21"/>
        <v>0</v>
      </c>
      <c r="AY18" s="25">
        <f t="shared" si="21"/>
        <v>0</v>
      </c>
      <c r="AZ18" s="25">
        <f t="shared" si="21"/>
        <v>0</v>
      </c>
      <c r="BA18" s="25">
        <f t="shared" si="21"/>
        <v>0</v>
      </c>
      <c r="BB18" s="25">
        <f t="shared" si="21"/>
        <v>0</v>
      </c>
      <c r="BC18" s="25">
        <f t="shared" si="21"/>
        <v>0</v>
      </c>
      <c r="BD18" s="25">
        <f t="shared" si="21"/>
        <v>0</v>
      </c>
      <c r="BE18" s="25">
        <f t="shared" si="21"/>
        <v>0.25650000000000001</v>
      </c>
      <c r="BF18" s="25">
        <f t="shared" si="21"/>
        <v>0</v>
      </c>
      <c r="BG18" s="25">
        <f t="shared" si="21"/>
        <v>0</v>
      </c>
      <c r="BH18" s="25">
        <f t="shared" si="21"/>
        <v>0</v>
      </c>
      <c r="BI18" s="25">
        <f t="shared" si="21"/>
        <v>0</v>
      </c>
      <c r="BJ18" s="25">
        <f t="shared" si="21"/>
        <v>0</v>
      </c>
      <c r="BK18" s="25">
        <f t="shared" si="21"/>
        <v>0</v>
      </c>
      <c r="BL18" s="25">
        <f t="shared" si="5"/>
        <v>1.3081500000000001</v>
      </c>
      <c r="BM18" s="25">
        <f>IFERROR(AD18/COUNTIF(PROPIETARIOS!$F$4:$F$38,"GNC02"),0)</f>
        <v>0</v>
      </c>
      <c r="BN18" s="25">
        <f>IFERROR(AE18/COUNTIF(PROPIETARIOS!$G$4:$G$38,"GNC03"),0)</f>
        <v>6.5714285714285712</v>
      </c>
      <c r="BO18" s="25">
        <f>IFERROR(AF18/COUNTIF(PROPIETARIOS!$H$4:$H$38,"GNC04"),0)</f>
        <v>0</v>
      </c>
      <c r="BP18" s="25">
        <f>IFERROR(AG18/COUNTIF(PROPIETARIOS!$I$4:$I$38,"GNC05"),0)</f>
        <v>0</v>
      </c>
      <c r="BQ18" s="25">
        <v>0</v>
      </c>
      <c r="BR18" s="25">
        <v>0</v>
      </c>
      <c r="BS18" s="203">
        <f t="shared" si="1"/>
        <v>841.5</v>
      </c>
      <c r="BT18" s="203">
        <f t="shared" si="2"/>
        <v>17.028078571428573</v>
      </c>
      <c r="BU18" s="26" t="s">
        <v>496</v>
      </c>
      <c r="BV18" s="34">
        <f t="shared" ca="1" si="3"/>
        <v>46209</v>
      </c>
      <c r="BW18" s="23">
        <v>0</v>
      </c>
      <c r="BX18" s="36">
        <f>Hoja6!FR20</f>
        <v>0</v>
      </c>
      <c r="BY18" s="23" t="str">
        <f t="shared" si="6"/>
        <v>1,71</v>
      </c>
      <c r="BZ18" s="27" t="s">
        <v>425</v>
      </c>
      <c r="CA18" s="28" t="str">
        <f>convertirnum(Tabla1[[#This Row],[TOTALAL]])</f>
        <v>DIECISIETE CON 03/100 DÓLARES</v>
      </c>
      <c r="CB18" s="28">
        <f>5%*Hoja6!FT20</f>
        <v>0</v>
      </c>
      <c r="CC18" s="192">
        <f>IF(Tabla1[[#This Row],[DEUDA]]&gt;0,Hoja6!HL20,0)</f>
        <v>0</v>
      </c>
      <c r="CD18" s="28">
        <f>Hoja6!HM20</f>
        <v>0</v>
      </c>
      <c r="CE18" s="200">
        <f>IF(Tabla1[[#This Row],[DEUDA]]&gt;0,Hoja6!FT20,0)</f>
        <v>0</v>
      </c>
      <c r="CF18" s="28" t="str">
        <f>"_"&amp;Tabla1[[#This Row],[APTO-LOCAL-OFIC.]]&amp;" "&amp;Tabla1[[#This Row],[PROPIETARIO]]&amp;"-"</f>
        <v>_APTO. 501 JACQUELINE CABEZA-</v>
      </c>
    </row>
    <row r="19" spans="1:86" ht="18" customHeight="1">
      <c r="A19" s="29" t="s">
        <v>43</v>
      </c>
      <c r="B19" s="30" t="s">
        <v>257</v>
      </c>
      <c r="C19" s="30">
        <v>1.71</v>
      </c>
      <c r="D19" s="32">
        <f>SUMIFS(EGRESOS!$C$4:$C$593,EGRESOS!$A$4:$A$593,D$1,EGRESOS!$E$4:$E$593,GASTOS!A58)</f>
        <v>180</v>
      </c>
      <c r="E19" s="32">
        <f>SUMIFS(EGRESOS!$C$4:$C$593,EGRESOS!$A$4:$A$593,E$1,EGRESOS!$E$4:$E$593,GASTOS!A58)</f>
        <v>-85</v>
      </c>
      <c r="F19" s="32">
        <f>SUMIFS(EGRESOS!$C$4:$C$593,EGRESOS!$A$4:$A$593,F$1,EGRESOS!$E$4:$E$593,GASTOS!A58)</f>
        <v>95</v>
      </c>
      <c r="G19" s="32">
        <f>SUMIFS(EGRESOS!$C$4:$C$593,EGRESOS!$A$4:$A$593,G$1,EGRESOS!$E$4:$E$593,GASTOS!A58)</f>
        <v>0</v>
      </c>
      <c r="H19" s="32">
        <f>SUMIFS(EGRESOS!$C$4:$C$593,EGRESOS!$A$4:$A$593,H$1,EGRESOS!$E$4:$E$593,GASTOS!A58)</f>
        <v>160</v>
      </c>
      <c r="I19" s="32">
        <f>SUMIFS(EGRESOS!$C$4:$C$593,EGRESOS!$A$4:$A$593,I$1,EGRESOS!$E$4:$E$593,GASTOS!A58)</f>
        <v>95</v>
      </c>
      <c r="J19" s="32">
        <f>SUMIFS(EGRESOS!$C$4:$C$593,EGRESOS!$A$4:$A$593,J$1,EGRESOS!$E$4:$E$593,GASTOS!A58)</f>
        <v>0</v>
      </c>
      <c r="K19" s="32">
        <f>SUMIFS(EGRESOS!$C$4:$C$593,EGRESOS!$A$4:$A$593,K$1,EGRESOS!$E$4:$E$593,GASTOS!A58)</f>
        <v>15</v>
      </c>
      <c r="L19" s="32">
        <f>SUMIFS(EGRESOS!$C$4:$C$593,EGRESOS!$A$4:$A$593,L$1,EGRESOS!$E$4:$E$593,GASTOS!A58)</f>
        <v>0</v>
      </c>
      <c r="M19" s="32">
        <f>SUMIFS(EGRESOS!$C$4:$C$593,EGRESOS!$A$4:$A$593,M$1,EGRESOS!$E$4:$E$593,GASTOS!A58)</f>
        <v>40</v>
      </c>
      <c r="N19" s="32">
        <f>SUMIFS(EGRESOS!$C$4:$C$593,EGRESOS!$A$4:$A$593,N$1,EGRESOS!$E$4:$E$593,GASTOS!A58)</f>
        <v>20</v>
      </c>
      <c r="O19" s="32">
        <f>SUMIFS(EGRESOS!$C$4:$C$593,EGRESOS!$A$4:$A$593,O$1,EGRESOS!$E$4:$E$593,GASTOS!A58)</f>
        <v>0</v>
      </c>
      <c r="P19" s="32">
        <f>SUMIFS(EGRESOS!$C$4:$C$593,EGRESOS!$A$4:$A$593,P$1,EGRESOS!$E$4:$E$593,GASTOS!A58)</f>
        <v>0</v>
      </c>
      <c r="Q19" s="32">
        <f>SUMIFS(EGRESOS!$C$4:$C$593,EGRESOS!$A$4:$A$593,Q$1,EGRESOS!$E$4:$E$593,GASTOS!A58)</f>
        <v>0</v>
      </c>
      <c r="R19" s="32">
        <f>SUMIFS(EGRESOS!$C$4:$C$593,EGRESOS!$A$4:$A$593,R$1,EGRESOS!$E$4:$E$593,GASTOS!A58)</f>
        <v>0</v>
      </c>
      <c r="S19" s="32">
        <f>SUMIFS(EGRESOS!$C$4:$C$593,EGRESOS!$A$4:$A$593,S$1,EGRESOS!$E$4:$E$593,GASTOS!A58)</f>
        <v>0</v>
      </c>
      <c r="T19" s="32">
        <f>SUMIFS(EGRESOS!$C$4:$C$593,EGRESOS!$A$4:$A$593,T$1,EGRESOS!$E$4:$E$593,GASTOS!A58)</f>
        <v>0</v>
      </c>
      <c r="U19" s="32">
        <f>SUMIFS(EGRESOS!$C$4:$C$593,EGRESOS!$A$4:$A$593,U$1,EGRESOS!$E$4:$E$593,GASTOS!A58)</f>
        <v>0</v>
      </c>
      <c r="V19" s="32">
        <f>SUMIFS(EGRESOS!$C$4:$C$593,EGRESOS!$A$4:$A$593,V$1,EGRESOS!$E$4:$E$593,GASTOS!A58)</f>
        <v>15</v>
      </c>
      <c r="W19" s="32">
        <f>SUMIFS(EGRESOS!$C$4:$C$593,EGRESOS!$A$4:$A$593,W$1,EGRESOS!$E$4:$E$593,GASTOS!A58)</f>
        <v>0</v>
      </c>
      <c r="X19" s="32">
        <f>SUMIFS(EGRESOS!$C$4:$C$593,EGRESOS!$A$4:$A$593,X$1,EGRESOS!$E$4:$E$593,GASTOS!A58)</f>
        <v>0</v>
      </c>
      <c r="Y19" s="32">
        <f>SUMIFS(EGRESOS!$C$4:$C$593,EGRESOS!$A$4:$A$593,Y$1,EGRESOS!$E$4:$E$593,GASTOS!A58)</f>
        <v>0</v>
      </c>
      <c r="Z19" s="32">
        <f>SUMIFS(EGRESOS!$C$4:$C$593,EGRESOS!$A$4:$A$593,Z$1,EGRESOS!$E$4:$E$593,GASTOS!A58)</f>
        <v>0</v>
      </c>
      <c r="AA19" s="32">
        <f>SUMIFS(EGRESOS!$C$4:$C$593,EGRESOS!$A$4:$A$593,AA$1,EGRESOS!$E$4:$E$593,GASTOS!A58)</f>
        <v>0</v>
      </c>
      <c r="AB19" s="32">
        <f>SUMIFS(EGRESOS!$C$4:$C$593,EGRESOS!$A$4:$A$593,AB$1,EGRESOS!$E$4:$E$593,GASTOS!A58)</f>
        <v>0</v>
      </c>
      <c r="AC19" s="32">
        <f>IF(PROPIETARIOS!E21&lt;&gt;"",SUMIFS(EGRESOS!$C$4:$C$593,EGRESOS!$A$4:$A$593,AC$1,EGRESOS!$E$4:$E$593,GASTOS!A58),0)</f>
        <v>76.5</v>
      </c>
      <c r="AD19" s="32">
        <f>IF(PROPIETARIOS!F21&lt;&gt;"",SUMIFS(EGRESOS!$C$4:$C$593,EGRESOS!$A$4:$A$593,AD$1,EGRESOS!$E$4:$E$593,GASTOS!A58),0)</f>
        <v>0</v>
      </c>
      <c r="AE19" s="32">
        <f>SUMIFS(EGRESOS!$C$4:$C$593,EGRESOS!$A$4:$A$593,AE$1,EGRESOS!$E$4:$E$593,GASTOS!$A$58)</f>
        <v>230</v>
      </c>
      <c r="AF19" s="32">
        <f>IF(PROPIETARIOS!H21&lt;&gt;"",SUMIFS(EGRESOS!$C$4:$C$593,EGRESOS!$A$4:$A$593,AF$1,EGRESOS!$E$4:$E$593,GASTOS!A58),0)</f>
        <v>0</v>
      </c>
      <c r="AG19" s="32">
        <f>IF(PROPIETARIOS!I21&lt;&gt;"",SUMIFS(EGRESOS!$C$4:$C$593,EGRESOS!$A$4:$A$593,AG$1,EGRESOS!$E$4:$E$593,GASTOS!A58),0)</f>
        <v>0</v>
      </c>
      <c r="AH19" s="32">
        <f>IF(PROPIETARIOS!J21&lt;&gt;"",SUMIFS(EGRESOS!$C$4:$C$593,EGRESOS!$A$4:$A$593,AH$1,EGRESOS!$E$4:$E$593,GASTOS!A58),0)</f>
        <v>0</v>
      </c>
      <c r="AI19" s="32">
        <f>IF(PROPIETARIOS!K21&lt;&gt;"",SUMIFS(EGRESOS!$C$4:$C$593,EGRESOS!$A$4:$A$593,AI$1,EGRESOS!$E$4:$E$593,GASTOS!A58),0)</f>
        <v>0</v>
      </c>
      <c r="AJ19" s="32">
        <f>SUMIFS(EGRESOS!$C$4:$C$593,EGRESOS!$A$4:$A$593,AJ$1,EGRESOS!$E$4:$E$593,GASTOS!A58)</f>
        <v>0</v>
      </c>
      <c r="AK19" s="32">
        <f>SUMIFS(EGRESOS!$C$4:$C$593,EGRESOS!$A$4:$A$593,AK$1,EGRESOS!$E$4:$E$593,GASTOS!A58)</f>
        <v>0</v>
      </c>
      <c r="AL19" s="32">
        <f>SUMIFS(EGRESOS!$C$4:$C$593,EGRESOS!$A$4:$A$593,AL$1,EGRESOS!$E$4:$E$593,GASTOS!A58)</f>
        <v>0</v>
      </c>
      <c r="AM19" s="32">
        <f>D19*$C$19%</f>
        <v>3.0780000000000003</v>
      </c>
      <c r="AN19" s="32">
        <f t="shared" ref="AN19:BK19" si="22">E19*$C$19%</f>
        <v>-1.4535</v>
      </c>
      <c r="AO19" s="32">
        <f t="shared" si="22"/>
        <v>1.6245000000000001</v>
      </c>
      <c r="AP19" s="32">
        <f t="shared" si="22"/>
        <v>0</v>
      </c>
      <c r="AQ19" s="32">
        <f t="shared" si="22"/>
        <v>2.7360000000000002</v>
      </c>
      <c r="AR19" s="32">
        <f t="shared" si="22"/>
        <v>1.6245000000000001</v>
      </c>
      <c r="AS19" s="32">
        <f t="shared" si="22"/>
        <v>0</v>
      </c>
      <c r="AT19" s="32">
        <f t="shared" si="22"/>
        <v>0.25650000000000001</v>
      </c>
      <c r="AU19" s="32">
        <f t="shared" si="22"/>
        <v>0</v>
      </c>
      <c r="AV19" s="32">
        <f t="shared" si="22"/>
        <v>0.68400000000000005</v>
      </c>
      <c r="AW19" s="32">
        <f t="shared" si="22"/>
        <v>0.34200000000000003</v>
      </c>
      <c r="AX19" s="32">
        <f t="shared" si="22"/>
        <v>0</v>
      </c>
      <c r="AY19" s="32">
        <f t="shared" si="22"/>
        <v>0</v>
      </c>
      <c r="AZ19" s="32">
        <f t="shared" si="22"/>
        <v>0</v>
      </c>
      <c r="BA19" s="32">
        <f t="shared" si="22"/>
        <v>0</v>
      </c>
      <c r="BB19" s="32">
        <f t="shared" si="22"/>
        <v>0</v>
      </c>
      <c r="BC19" s="32">
        <f t="shared" si="22"/>
        <v>0</v>
      </c>
      <c r="BD19" s="32">
        <f t="shared" si="22"/>
        <v>0</v>
      </c>
      <c r="BE19" s="32">
        <f t="shared" si="22"/>
        <v>0.25650000000000001</v>
      </c>
      <c r="BF19" s="32">
        <f t="shared" si="22"/>
        <v>0</v>
      </c>
      <c r="BG19" s="32">
        <f t="shared" si="22"/>
        <v>0</v>
      </c>
      <c r="BH19" s="32">
        <f t="shared" si="22"/>
        <v>0</v>
      </c>
      <c r="BI19" s="32">
        <f t="shared" si="22"/>
        <v>0</v>
      </c>
      <c r="BJ19" s="32">
        <f t="shared" si="22"/>
        <v>0</v>
      </c>
      <c r="BK19" s="32">
        <f t="shared" si="22"/>
        <v>0</v>
      </c>
      <c r="BL19" s="32">
        <f t="shared" si="5"/>
        <v>1.3081500000000001</v>
      </c>
      <c r="BM19" s="32">
        <f>IFERROR(AD19/COUNTIF(PROPIETARIOS!$F$4:$F$38,"GNC02"),0)</f>
        <v>0</v>
      </c>
      <c r="BN19" s="32">
        <f>IFERROR(AE19/COUNTIF(PROPIETARIOS!$G$4:$G$38,"GNC03"),0)</f>
        <v>6.5714285714285712</v>
      </c>
      <c r="BO19" s="32">
        <f>IFERROR(AF19/COUNTIF(PROPIETARIOS!$H$4:$H$38,"GNC04"),0)</f>
        <v>0</v>
      </c>
      <c r="BP19" s="32">
        <f>IFERROR(AG19/COUNTIF(PROPIETARIOS!$I$4:$I$38,"GNC05"),0)</f>
        <v>0</v>
      </c>
      <c r="BQ19" s="32">
        <v>0</v>
      </c>
      <c r="BR19" s="32">
        <v>0</v>
      </c>
      <c r="BS19" s="204">
        <f t="shared" si="1"/>
        <v>841.5</v>
      </c>
      <c r="BT19" s="204">
        <f t="shared" si="2"/>
        <v>17.028078571428573</v>
      </c>
      <c r="BU19" s="33" t="s">
        <v>258</v>
      </c>
      <c r="BV19" s="34">
        <f t="shared" ca="1" si="3"/>
        <v>46209</v>
      </c>
      <c r="BW19" s="30">
        <v>0</v>
      </c>
      <c r="BX19" s="36">
        <f>Hoja6!FR21</f>
        <v>0</v>
      </c>
      <c r="BY19" s="30" t="str">
        <f t="shared" si="6"/>
        <v>1,71</v>
      </c>
      <c r="BZ19" s="27" t="s">
        <v>425</v>
      </c>
      <c r="CA19" s="28" t="str">
        <f>convertirnum(Tabla1[[#This Row],[TOTALAL]])</f>
        <v>DIECISIETE CON 03/100 DÓLARES</v>
      </c>
      <c r="CB19" s="28">
        <f>5%*Hoja6!FT21</f>
        <v>0</v>
      </c>
      <c r="CC19" s="192">
        <f>IF(Tabla1[[#This Row],[DEUDA]]&gt;0,Hoja6!HL21,0)</f>
        <v>0</v>
      </c>
      <c r="CD19" s="28">
        <f>Hoja6!HM21</f>
        <v>0</v>
      </c>
      <c r="CE19" s="200">
        <f>IF(Tabla1[[#This Row],[DEUDA]]&gt;0,Hoja6!FT21,0)</f>
        <v>0</v>
      </c>
      <c r="CF19" s="28" t="str">
        <f>"_"&amp;Tabla1[[#This Row],[APTO-LOCAL-OFIC.]]&amp;" "&amp;Tabla1[[#This Row],[PROPIETARIO]]&amp;"-"</f>
        <v>_APTO. 502 WALTER OSORIO-</v>
      </c>
    </row>
    <row r="20" spans="1:86" ht="18" customHeight="1">
      <c r="A20" s="22" t="s">
        <v>44</v>
      </c>
      <c r="B20" s="23" t="s">
        <v>557</v>
      </c>
      <c r="C20" s="23">
        <v>1.71</v>
      </c>
      <c r="D20" s="25">
        <f>SUMIFS(EGRESOS!$C$4:$C$593,EGRESOS!$A$4:$A$593,D$1,EGRESOS!$E$4:$E$593,GASTOS!A58)</f>
        <v>180</v>
      </c>
      <c r="E20" s="25">
        <f>SUMIFS(EGRESOS!$C$4:$C$593,EGRESOS!$A$4:$A$593,E$1,EGRESOS!$E$4:$E$593,GASTOS!A58)</f>
        <v>-85</v>
      </c>
      <c r="F20" s="25">
        <f>SUMIFS(EGRESOS!$C$4:$C$593,EGRESOS!$A$4:$A$593,F$1,EGRESOS!$E$4:$E$593,GASTOS!A58)</f>
        <v>95</v>
      </c>
      <c r="G20" s="25">
        <f>SUMIFS(EGRESOS!$C$4:$C$593,EGRESOS!$A$4:$A$593,G$1,EGRESOS!$E$4:$E$593,GASTOS!A58)</f>
        <v>0</v>
      </c>
      <c r="H20" s="25">
        <f>SUMIFS(EGRESOS!$C$4:$C$593,EGRESOS!$A$4:$A$593,H$1,EGRESOS!$E$4:$E$593,GASTOS!A58)</f>
        <v>160</v>
      </c>
      <c r="I20" s="25">
        <f>SUMIFS(EGRESOS!$C$4:$C$593,EGRESOS!$A$4:$A$593,I$1,EGRESOS!$E$4:$E$593,GASTOS!A58)</f>
        <v>95</v>
      </c>
      <c r="J20" s="25">
        <f>SUMIFS(EGRESOS!$C$4:$C$593,EGRESOS!$A$4:$A$593,J$1,EGRESOS!$E$4:$E$593,GASTOS!A58)</f>
        <v>0</v>
      </c>
      <c r="K20" s="25">
        <f>SUMIFS(EGRESOS!$C$4:$C$593,EGRESOS!$A$4:$A$593,K$1,EGRESOS!$E$4:$E$593,GASTOS!A58)</f>
        <v>15</v>
      </c>
      <c r="L20" s="25">
        <f>SUMIFS(EGRESOS!$C$4:$C$593,EGRESOS!$A$4:$A$593,L$1,EGRESOS!$E$4:$E$593,GASTOS!A58)</f>
        <v>0</v>
      </c>
      <c r="M20" s="25">
        <f>SUMIFS(EGRESOS!$C$4:$C$593,EGRESOS!$A$4:$A$593,M$1,EGRESOS!$E$4:$E$593,GASTOS!A58)</f>
        <v>40</v>
      </c>
      <c r="N20" s="25">
        <f>SUMIFS(EGRESOS!$C$4:$C$593,EGRESOS!$A$4:$A$593,N$1,EGRESOS!$E$4:$E$593,GASTOS!A58)</f>
        <v>20</v>
      </c>
      <c r="O20" s="25">
        <f>SUMIFS(EGRESOS!$C$4:$C$593,EGRESOS!$A$4:$A$593,O$1,EGRESOS!$E$4:$E$593,GASTOS!A58)</f>
        <v>0</v>
      </c>
      <c r="P20" s="25">
        <f>SUMIFS(EGRESOS!$C$4:$C$593,EGRESOS!$A$4:$A$593,P$1,EGRESOS!$E$4:$E$593,GASTOS!A58)</f>
        <v>0</v>
      </c>
      <c r="Q20" s="25">
        <f>SUMIFS(EGRESOS!$C$4:$C$593,EGRESOS!$A$4:$A$593,Q$1,EGRESOS!$E$4:$E$593,GASTOS!A58)</f>
        <v>0</v>
      </c>
      <c r="R20" s="25">
        <f>SUMIFS(EGRESOS!$C$4:$C$593,EGRESOS!$A$4:$A$593,R$1,EGRESOS!$E$4:$E$593,GASTOS!A58)</f>
        <v>0</v>
      </c>
      <c r="S20" s="25">
        <f>SUMIFS(EGRESOS!$C$4:$C$593,EGRESOS!$A$4:$A$593,S$1,EGRESOS!$E$4:$E$593,GASTOS!A58)</f>
        <v>0</v>
      </c>
      <c r="T20" s="25">
        <f>SUMIFS(EGRESOS!$C$4:$C$593,EGRESOS!$A$4:$A$593,T$1,EGRESOS!$E$4:$E$593,GASTOS!A58)</f>
        <v>0</v>
      </c>
      <c r="U20" s="25">
        <f>SUMIFS(EGRESOS!$C$4:$C$593,EGRESOS!$A$4:$A$593,U$1,EGRESOS!$E$4:$E$593,GASTOS!A58)</f>
        <v>0</v>
      </c>
      <c r="V20" s="25">
        <f>SUMIFS(EGRESOS!$C$4:$C$593,EGRESOS!$A$4:$A$593,V$1,EGRESOS!$E$4:$E$593,GASTOS!A58)</f>
        <v>15</v>
      </c>
      <c r="W20" s="25">
        <f>SUMIFS(EGRESOS!$C$4:$C$593,EGRESOS!$A$4:$A$593,W$1,EGRESOS!$E$4:$E$593,GASTOS!A58)</f>
        <v>0</v>
      </c>
      <c r="X20" s="25">
        <f>SUMIFS(EGRESOS!$C$4:$C$593,EGRESOS!$A$4:$A$593,X$1,EGRESOS!$E$4:$E$593,GASTOS!A58)</f>
        <v>0</v>
      </c>
      <c r="Y20" s="25">
        <f>SUMIFS(EGRESOS!$C$4:$C$593,EGRESOS!$A$4:$A$593,Y$1,EGRESOS!$E$4:$E$593,GASTOS!A58)</f>
        <v>0</v>
      </c>
      <c r="Z20" s="25">
        <f>SUMIFS(EGRESOS!$C$4:$C$593,EGRESOS!$A$4:$A$593,Z$1,EGRESOS!$E$4:$E$593,GASTOS!A58)</f>
        <v>0</v>
      </c>
      <c r="AA20" s="25">
        <f>SUMIFS(EGRESOS!$C$4:$C$593,EGRESOS!$A$4:$A$593,AA$1,EGRESOS!$E$4:$E$593,GASTOS!A58)</f>
        <v>0</v>
      </c>
      <c r="AB20" s="25">
        <f>SUMIFS(EGRESOS!$C$4:$C$593,EGRESOS!$A$4:$A$593,AB$1,EGRESOS!$E$4:$E$593,GASTOS!A58)</f>
        <v>0</v>
      </c>
      <c r="AC20" s="25">
        <f>IF(PROPIETARIOS!E22&lt;&gt;"",SUMIFS(EGRESOS!$C$4:$C$593,EGRESOS!$A$4:$A$593,AC$1,EGRESOS!$E$4:$E$593,GASTOS!A58),0)</f>
        <v>76.5</v>
      </c>
      <c r="AD20" s="25">
        <f>IF(PROPIETARIOS!F22&lt;&gt;"",SUMIFS(EGRESOS!$C$4:$C$593,EGRESOS!$A$4:$A$593,AD$1,EGRESOS!$E$4:$E$593,GASTOS!A58),0)</f>
        <v>0</v>
      </c>
      <c r="AE20" s="25">
        <f>SUMIFS(EGRESOS!$C$4:$C$593,EGRESOS!$A$4:$A$593,AE$1,EGRESOS!$E$4:$E$593,GASTOS!$A$58)</f>
        <v>230</v>
      </c>
      <c r="AF20" s="25">
        <f>IF(PROPIETARIOS!H22&lt;&gt;"",SUMIFS(EGRESOS!$C$4:$C$593,EGRESOS!$A$4:$A$593,AF$1,EGRESOS!$E$4:$E$593,GASTOS!A58),0)</f>
        <v>0</v>
      </c>
      <c r="AG20" s="25">
        <f>IF(PROPIETARIOS!I22&lt;&gt;"",SUMIFS(EGRESOS!$C$4:$C$593,EGRESOS!$A$4:$A$593,AG$1,EGRESOS!$E$4:$E$593,GASTOS!A58),0)</f>
        <v>0</v>
      </c>
      <c r="AH20" s="25">
        <f>IF(PROPIETARIOS!J22&lt;&gt;"",SUMIFS(EGRESOS!$C$4:$C$593,EGRESOS!$A$4:$A$593,AH$1,EGRESOS!$E$4:$E$593,GASTOS!A58),0)</f>
        <v>0</v>
      </c>
      <c r="AI20" s="25">
        <f>IF(PROPIETARIOS!K22&lt;&gt;"",SUMIFS(EGRESOS!$C$4:$C$593,EGRESOS!$A$4:$A$593,AI$1,EGRESOS!$E$4:$E$593,GASTOS!A58),0)</f>
        <v>0</v>
      </c>
      <c r="AJ20" s="25">
        <f>SUMIFS(EGRESOS!$C$4:$C$593,EGRESOS!$A$4:$A$593,AJ$1,EGRESOS!$E$4:$E$593,GASTOS!A58)</f>
        <v>0</v>
      </c>
      <c r="AK20" s="25">
        <f>SUMIFS(EGRESOS!$C$4:$C$593,EGRESOS!$A$4:$A$593,AK$1,EGRESOS!$E$4:$E$593,GASTOS!A58)</f>
        <v>0</v>
      </c>
      <c r="AL20" s="25">
        <f>SUMIFS(EGRESOS!$C$4:$C$593,EGRESOS!$A$4:$A$593,AL$1,EGRESOS!$E$4:$E$593,GASTOS!A58)</f>
        <v>0</v>
      </c>
      <c r="AM20" s="25">
        <f>D20*$C$20%</f>
        <v>3.0780000000000003</v>
      </c>
      <c r="AN20" s="25">
        <f t="shared" ref="AN20:BK20" si="23">E20*$C$20%</f>
        <v>-1.4535</v>
      </c>
      <c r="AO20" s="25">
        <f t="shared" si="23"/>
        <v>1.6245000000000001</v>
      </c>
      <c r="AP20" s="25">
        <f t="shared" si="23"/>
        <v>0</v>
      </c>
      <c r="AQ20" s="25">
        <f t="shared" si="23"/>
        <v>2.7360000000000002</v>
      </c>
      <c r="AR20" s="25">
        <f t="shared" si="23"/>
        <v>1.6245000000000001</v>
      </c>
      <c r="AS20" s="25">
        <f t="shared" si="23"/>
        <v>0</v>
      </c>
      <c r="AT20" s="25">
        <f t="shared" si="23"/>
        <v>0.25650000000000001</v>
      </c>
      <c r="AU20" s="25">
        <f t="shared" si="23"/>
        <v>0</v>
      </c>
      <c r="AV20" s="25">
        <f t="shared" si="23"/>
        <v>0.68400000000000005</v>
      </c>
      <c r="AW20" s="25">
        <f t="shared" si="23"/>
        <v>0.34200000000000003</v>
      </c>
      <c r="AX20" s="25">
        <f t="shared" si="23"/>
        <v>0</v>
      </c>
      <c r="AY20" s="25">
        <f t="shared" si="23"/>
        <v>0</v>
      </c>
      <c r="AZ20" s="25">
        <f t="shared" si="23"/>
        <v>0</v>
      </c>
      <c r="BA20" s="25">
        <f t="shared" si="23"/>
        <v>0</v>
      </c>
      <c r="BB20" s="25">
        <f t="shared" si="23"/>
        <v>0</v>
      </c>
      <c r="BC20" s="25">
        <f t="shared" si="23"/>
        <v>0</v>
      </c>
      <c r="BD20" s="25">
        <f t="shared" si="23"/>
        <v>0</v>
      </c>
      <c r="BE20" s="25">
        <f t="shared" si="23"/>
        <v>0.25650000000000001</v>
      </c>
      <c r="BF20" s="25">
        <f t="shared" si="23"/>
        <v>0</v>
      </c>
      <c r="BG20" s="25">
        <f t="shared" si="23"/>
        <v>0</v>
      </c>
      <c r="BH20" s="25">
        <f t="shared" si="23"/>
        <v>0</v>
      </c>
      <c r="BI20" s="25">
        <f t="shared" si="23"/>
        <v>0</v>
      </c>
      <c r="BJ20" s="25">
        <f t="shared" si="23"/>
        <v>0</v>
      </c>
      <c r="BK20" s="25">
        <f t="shared" si="23"/>
        <v>0</v>
      </c>
      <c r="BL20" s="25">
        <f t="shared" si="5"/>
        <v>1.3081500000000001</v>
      </c>
      <c r="BM20" s="25">
        <f>IFERROR(AD20/COUNTIF(PROPIETARIOS!$F$4:$F$38,"GNC02"),0)</f>
        <v>0</v>
      </c>
      <c r="BN20" s="25">
        <f>IFERROR(AE20/COUNTIF(PROPIETARIOS!$G$4:$G$38,"GNC03"),0)</f>
        <v>6.5714285714285712</v>
      </c>
      <c r="BO20" s="25">
        <f>IFERROR(AF20/COUNTIF(PROPIETARIOS!$H$4:$H$38,"GNC04"),0)</f>
        <v>0</v>
      </c>
      <c r="BP20" s="25">
        <f>IFERROR(AG20/COUNTIF(PROPIETARIOS!$I$4:$I$38,"GNC05"),0)</f>
        <v>0</v>
      </c>
      <c r="BQ20" s="25">
        <v>0</v>
      </c>
      <c r="BR20" s="25">
        <v>0</v>
      </c>
      <c r="BS20" s="203">
        <f t="shared" si="1"/>
        <v>841.5</v>
      </c>
      <c r="BT20" s="203">
        <f t="shared" si="2"/>
        <v>17.028078571428573</v>
      </c>
      <c r="BU20" s="26"/>
      <c r="BV20" s="34">
        <f t="shared" ca="1" si="3"/>
        <v>46209</v>
      </c>
      <c r="BW20" s="23">
        <v>0</v>
      </c>
      <c r="BX20" s="36">
        <f>Hoja6!FR22</f>
        <v>0</v>
      </c>
      <c r="BY20" s="23" t="str">
        <f t="shared" si="6"/>
        <v>1,71</v>
      </c>
      <c r="BZ20" s="27" t="s">
        <v>425</v>
      </c>
      <c r="CA20" s="28" t="str">
        <f>convertirnum(Tabla1[[#This Row],[TOTALAL]])</f>
        <v>DIECISIETE CON 03/100 DÓLARES</v>
      </c>
      <c r="CB20" s="28">
        <f>5%*Hoja6!FT22</f>
        <v>0</v>
      </c>
      <c r="CC20" s="192">
        <f>IF(Tabla1[[#This Row],[DEUDA]]&gt;0,Hoja6!HL22,0)</f>
        <v>0</v>
      </c>
      <c r="CD20" s="28">
        <f>Hoja6!HM22</f>
        <v>0</v>
      </c>
      <c r="CE20" s="200">
        <f>IF(Tabla1[[#This Row],[DEUDA]]&gt;0,Hoja6!FT22,0)</f>
        <v>0</v>
      </c>
      <c r="CF20" s="28" t="str">
        <f>"_"&amp;Tabla1[[#This Row],[APTO-LOCAL-OFIC.]]&amp;" "&amp;Tabla1[[#This Row],[PROPIETARIO]]&amp;"-"</f>
        <v>_APTO. 503 WUILIANA VAZQUEZ-</v>
      </c>
    </row>
    <row r="21" spans="1:86" ht="18" customHeight="1">
      <c r="A21" s="29" t="s">
        <v>45</v>
      </c>
      <c r="B21" s="30" t="str">
        <f>IFERROR(VLOOKUP(A21,PROPIETARIOS!A22:D58,3),"")</f>
        <v>MARIO GUEVARA</v>
      </c>
      <c r="C21" s="30">
        <v>1.71</v>
      </c>
      <c r="D21" s="32">
        <f>SUMIFS(EGRESOS!$C$4:$C$593,EGRESOS!$A$4:$A$593,D$1,EGRESOS!$E$4:$E$593,GASTOS!A58)</f>
        <v>180</v>
      </c>
      <c r="E21" s="32">
        <f>SUMIFS(EGRESOS!$C$4:$C$593,EGRESOS!$A$4:$A$593,E$1,EGRESOS!$E$4:$E$593,GASTOS!A58)</f>
        <v>-85</v>
      </c>
      <c r="F21" s="32">
        <f>SUMIFS(EGRESOS!$C$4:$C$593,EGRESOS!$A$4:$A$593,F$1,EGRESOS!$E$4:$E$593,GASTOS!A58)</f>
        <v>95</v>
      </c>
      <c r="G21" s="32">
        <f>SUMIFS(EGRESOS!$C$4:$C$593,EGRESOS!$A$4:$A$593,G$1,EGRESOS!$E$4:$E$593,GASTOS!A58)</f>
        <v>0</v>
      </c>
      <c r="H21" s="32">
        <f>SUMIFS(EGRESOS!$C$4:$C$593,EGRESOS!$A$4:$A$593,H$1,EGRESOS!$E$4:$E$593,GASTOS!A58)</f>
        <v>160</v>
      </c>
      <c r="I21" s="32">
        <f>SUMIFS(EGRESOS!$C$4:$C$593,EGRESOS!$A$4:$A$593,I$1,EGRESOS!$E$4:$E$593,GASTOS!A58)</f>
        <v>95</v>
      </c>
      <c r="J21" s="32">
        <f>SUMIFS(EGRESOS!$C$4:$C$593,EGRESOS!$A$4:$A$593,J$1,EGRESOS!$E$4:$E$593,GASTOS!A58)</f>
        <v>0</v>
      </c>
      <c r="K21" s="32">
        <f>SUMIFS(EGRESOS!$C$4:$C$593,EGRESOS!$A$4:$A$593,K$1,EGRESOS!$E$4:$E$593,GASTOS!A58)</f>
        <v>15</v>
      </c>
      <c r="L21" s="32">
        <f>SUMIFS(EGRESOS!$C$4:$C$593,EGRESOS!$A$4:$A$593,L$1,EGRESOS!$E$4:$E$593,GASTOS!A58)</f>
        <v>0</v>
      </c>
      <c r="M21" s="32">
        <f>SUMIFS(EGRESOS!$C$4:$C$593,EGRESOS!$A$4:$A$593,M$1,EGRESOS!$E$4:$E$593,GASTOS!A58)</f>
        <v>40</v>
      </c>
      <c r="N21" s="32">
        <f>SUMIFS(EGRESOS!$C$4:$C$593,EGRESOS!$A$4:$A$593,N$1,EGRESOS!$E$4:$E$593,GASTOS!A58)</f>
        <v>20</v>
      </c>
      <c r="O21" s="32">
        <f>SUMIFS(EGRESOS!$C$4:$C$593,EGRESOS!$A$4:$A$593,O$1,EGRESOS!$E$4:$E$593,GASTOS!A58)</f>
        <v>0</v>
      </c>
      <c r="P21" s="32">
        <f>SUMIFS(EGRESOS!$C$4:$C$593,EGRESOS!$A$4:$A$593,P$1,EGRESOS!$E$4:$E$593,GASTOS!A58)</f>
        <v>0</v>
      </c>
      <c r="Q21" s="32">
        <f>SUMIFS(EGRESOS!$C$4:$C$593,EGRESOS!$A$4:$A$593,Q$1,EGRESOS!$E$4:$E$593,GASTOS!A58)</f>
        <v>0</v>
      </c>
      <c r="R21" s="32">
        <f>SUMIFS(EGRESOS!$C$4:$C$593,EGRESOS!$A$4:$A$593,R$1,EGRESOS!$E$4:$E$593,GASTOS!A58)</f>
        <v>0</v>
      </c>
      <c r="S21" s="32">
        <f>SUMIFS(EGRESOS!$C$4:$C$593,EGRESOS!$A$4:$A$593,S$1,EGRESOS!$E$4:$E$593,GASTOS!A58)</f>
        <v>0</v>
      </c>
      <c r="T21" s="32">
        <f>SUMIFS(EGRESOS!$C$4:$C$593,EGRESOS!$A$4:$A$593,T$1,EGRESOS!$E$4:$E$593,GASTOS!A58)</f>
        <v>0</v>
      </c>
      <c r="U21" s="32">
        <f>SUMIFS(EGRESOS!$C$4:$C$593,EGRESOS!$A$4:$A$593,U$1,EGRESOS!$E$4:$E$593,GASTOS!A58)</f>
        <v>0</v>
      </c>
      <c r="V21" s="32">
        <f>SUMIFS(EGRESOS!$C$4:$C$593,EGRESOS!$A$4:$A$593,V$1,EGRESOS!$E$4:$E$593,GASTOS!A58)</f>
        <v>15</v>
      </c>
      <c r="W21" s="32">
        <f>SUMIFS(EGRESOS!$C$4:$C$593,EGRESOS!$A$4:$A$593,W$1,EGRESOS!$E$4:$E$593,GASTOS!A58)</f>
        <v>0</v>
      </c>
      <c r="X21" s="32">
        <f>SUMIFS(EGRESOS!$C$4:$C$593,EGRESOS!$A$4:$A$593,X$1,EGRESOS!$E$4:$E$593,GASTOS!A58)</f>
        <v>0</v>
      </c>
      <c r="Y21" s="32">
        <f>SUMIFS(EGRESOS!$C$4:$C$593,EGRESOS!$A$4:$A$593,Y$1,EGRESOS!$E$4:$E$593,GASTOS!A58)</f>
        <v>0</v>
      </c>
      <c r="Z21" s="32">
        <f>SUMIFS(EGRESOS!$C$4:$C$593,EGRESOS!$A$4:$A$593,Z$1,EGRESOS!$E$4:$E$593,GASTOS!A58)</f>
        <v>0</v>
      </c>
      <c r="AA21" s="32">
        <f>SUMIFS(EGRESOS!$C$4:$C$593,EGRESOS!$A$4:$A$593,AA$1,EGRESOS!$E$4:$E$593,GASTOS!A58)</f>
        <v>0</v>
      </c>
      <c r="AB21" s="32">
        <f>SUMIFS(EGRESOS!$C$4:$C$593,EGRESOS!$A$4:$A$593,AB$1,EGRESOS!$E$4:$E$593,GASTOS!A58)</f>
        <v>0</v>
      </c>
      <c r="AC21" s="32">
        <f>IF(PROPIETARIOS!E23&lt;&gt;"",SUMIFS(EGRESOS!$C$4:$C$593,EGRESOS!$A$4:$A$593,AC$1,EGRESOS!$E$4:$E$593,GASTOS!A58),0)</f>
        <v>76.5</v>
      </c>
      <c r="AD21" s="25">
        <f>IF(PROPIETARIOS!F4&lt;&gt;"",SUMIFS(EGRESOS!$C$4:$C$593,EGRESOS!$A$4:$A$593,AD$1,EGRESOS!$E$4:$E$593,GASTOS!A59),0)</f>
        <v>0</v>
      </c>
      <c r="AE21" s="32">
        <f>SUMIFS(EGRESOS!$C$4:$C$593,EGRESOS!$A$4:$A$593,AE$1,EGRESOS!$E$4:$E$593,GASTOS!$A$58)</f>
        <v>230</v>
      </c>
      <c r="AF21" s="32">
        <f>IF(PROPIETARIOS!H23&lt;&gt;"",SUMIFS(EGRESOS!$C$4:$C$593,EGRESOS!$A$4:$A$593,AF$1,EGRESOS!$E$4:$E$593,GASTOS!A58),0)</f>
        <v>0</v>
      </c>
      <c r="AG21" s="32">
        <f>IF(PROPIETARIOS!I23&lt;&gt;"",SUMIFS(EGRESOS!$C$4:$C$593,EGRESOS!$A$4:$A$593,AG$1,EGRESOS!$E$4:$E$593,GASTOS!A58),0)</f>
        <v>0</v>
      </c>
      <c r="AH21" s="32">
        <f>IF(PROPIETARIOS!J23&lt;&gt;"",SUMIFS(EGRESOS!$C$4:$C$593,EGRESOS!$A$4:$A$593,AH$1,EGRESOS!$E$4:$E$593,GASTOS!A58),0)</f>
        <v>0</v>
      </c>
      <c r="AI21" s="32">
        <f>IF(PROPIETARIOS!K23&lt;&gt;"",SUMIFS(EGRESOS!$C$4:$C$593,EGRESOS!$A$4:$A$593,AI$1,EGRESOS!$E$4:$E$593,GASTOS!A58),0)</f>
        <v>0</v>
      </c>
      <c r="AJ21" s="32">
        <f>SUMIFS(EGRESOS!$C$4:$C$593,EGRESOS!$A$4:$A$593,AJ$1,EGRESOS!$E$4:$E$593,GASTOS!A58)</f>
        <v>0</v>
      </c>
      <c r="AK21" s="32">
        <f>SUMIFS(EGRESOS!$C$4:$C$593,EGRESOS!$A$4:$A$593,AK$1,EGRESOS!$E$4:$E$593,GASTOS!A58)</f>
        <v>0</v>
      </c>
      <c r="AL21" s="32">
        <f>SUMIFS(EGRESOS!$C$4:$C$593,EGRESOS!$A$4:$A$593,AL$1,EGRESOS!$E$4:$E$593,GASTOS!A58)</f>
        <v>0</v>
      </c>
      <c r="AM21" s="32">
        <f>D21*$C$21%</f>
        <v>3.0780000000000003</v>
      </c>
      <c r="AN21" s="32">
        <f t="shared" ref="AN21:BK21" si="24">E21*$C$21%</f>
        <v>-1.4535</v>
      </c>
      <c r="AO21" s="32">
        <f t="shared" si="24"/>
        <v>1.6245000000000001</v>
      </c>
      <c r="AP21" s="32">
        <f t="shared" si="24"/>
        <v>0</v>
      </c>
      <c r="AQ21" s="32">
        <f t="shared" si="24"/>
        <v>2.7360000000000002</v>
      </c>
      <c r="AR21" s="32">
        <f t="shared" si="24"/>
        <v>1.6245000000000001</v>
      </c>
      <c r="AS21" s="32">
        <f t="shared" si="24"/>
        <v>0</v>
      </c>
      <c r="AT21" s="32">
        <f t="shared" si="24"/>
        <v>0.25650000000000001</v>
      </c>
      <c r="AU21" s="32">
        <f t="shared" si="24"/>
        <v>0</v>
      </c>
      <c r="AV21" s="32">
        <f t="shared" si="24"/>
        <v>0.68400000000000005</v>
      </c>
      <c r="AW21" s="32">
        <f t="shared" si="24"/>
        <v>0.34200000000000003</v>
      </c>
      <c r="AX21" s="32">
        <f t="shared" si="24"/>
        <v>0</v>
      </c>
      <c r="AY21" s="32">
        <f t="shared" si="24"/>
        <v>0</v>
      </c>
      <c r="AZ21" s="32">
        <f t="shared" si="24"/>
        <v>0</v>
      </c>
      <c r="BA21" s="32">
        <f t="shared" si="24"/>
        <v>0</v>
      </c>
      <c r="BB21" s="32">
        <f t="shared" si="24"/>
        <v>0</v>
      </c>
      <c r="BC21" s="32">
        <f t="shared" si="24"/>
        <v>0</v>
      </c>
      <c r="BD21" s="32">
        <f t="shared" si="24"/>
        <v>0</v>
      </c>
      <c r="BE21" s="32">
        <f t="shared" si="24"/>
        <v>0.25650000000000001</v>
      </c>
      <c r="BF21" s="32">
        <f t="shared" si="24"/>
        <v>0</v>
      </c>
      <c r="BG21" s="32">
        <f t="shared" si="24"/>
        <v>0</v>
      </c>
      <c r="BH21" s="32">
        <f t="shared" si="24"/>
        <v>0</v>
      </c>
      <c r="BI21" s="32">
        <f t="shared" si="24"/>
        <v>0</v>
      </c>
      <c r="BJ21" s="32">
        <f t="shared" si="24"/>
        <v>0</v>
      </c>
      <c r="BK21" s="32">
        <f t="shared" si="24"/>
        <v>0</v>
      </c>
      <c r="BL21" s="32">
        <f t="shared" si="5"/>
        <v>1.3081500000000001</v>
      </c>
      <c r="BM21" s="25">
        <f>IFERROR(AD21/COUNTIF(PROPIETARIOS!$F$4:$F$38,"GNC02"),0)</f>
        <v>0</v>
      </c>
      <c r="BN21" s="32">
        <f>IFERROR(AE21/COUNTIF(PROPIETARIOS!$G$4:$G$38,"GNC03"),0)</f>
        <v>6.5714285714285712</v>
      </c>
      <c r="BO21" s="32">
        <f>IFERROR(AF21/COUNTIF(PROPIETARIOS!$H$4:$H$38,"GNC04"),0)</f>
        <v>0</v>
      </c>
      <c r="BP21" s="32">
        <f>IFERROR(AG21/COUNTIF(PROPIETARIOS!$I$4:$I$38,"GNC05"),0)</f>
        <v>0</v>
      </c>
      <c r="BQ21" s="32">
        <v>0</v>
      </c>
      <c r="BR21" s="32">
        <v>0</v>
      </c>
      <c r="BS21" s="204">
        <f t="shared" si="1"/>
        <v>841.5</v>
      </c>
      <c r="BT21" s="204">
        <f t="shared" si="2"/>
        <v>17.028078571428573</v>
      </c>
      <c r="BU21" s="33" t="s">
        <v>377</v>
      </c>
      <c r="BV21" s="34">
        <f t="shared" ca="1" si="3"/>
        <v>46209</v>
      </c>
      <c r="BW21" s="30">
        <v>0</v>
      </c>
      <c r="BX21" s="36">
        <f>Hoja6!FR23</f>
        <v>0</v>
      </c>
      <c r="BY21" s="30" t="str">
        <f t="shared" si="6"/>
        <v>1,71</v>
      </c>
      <c r="BZ21" s="27" t="s">
        <v>425</v>
      </c>
      <c r="CA21" s="28" t="str">
        <f>convertirnum(Tabla1[[#This Row],[TOTALAL]])</f>
        <v>DIECISIETE CON 03/100 DÓLARES</v>
      </c>
      <c r="CB21" s="28">
        <f>5%*Hoja6!FT23</f>
        <v>0</v>
      </c>
      <c r="CC21" s="192">
        <f>IF(Tabla1[[#This Row],[DEUDA]]&gt;0,Hoja6!HL23,0)</f>
        <v>0</v>
      </c>
      <c r="CD21" s="28">
        <f>Hoja6!HM23</f>
        <v>0</v>
      </c>
      <c r="CE21" s="200">
        <f>IF(Tabla1[[#This Row],[DEUDA]]&gt;0,Hoja6!FT23,0)</f>
        <v>0</v>
      </c>
      <c r="CF21" s="28" t="str">
        <f>"_"&amp;Tabla1[[#This Row],[APTO-LOCAL-OFIC.]]&amp;" "&amp;Tabla1[[#This Row],[PROPIETARIO]]&amp;"-"</f>
        <v>_APTO. 504 MARIO GUEVARA-</v>
      </c>
    </row>
    <row r="22" spans="1:86" ht="18" customHeight="1">
      <c r="A22" s="22" t="s">
        <v>47</v>
      </c>
      <c r="B22" s="23" t="s">
        <v>24</v>
      </c>
      <c r="C22" s="23">
        <v>3.09</v>
      </c>
      <c r="D22" s="25">
        <f>SUMIFS(EGRESOS!$C$4:$C$593,EGRESOS!$A$4:$A$593,D$1,EGRESOS!$E$4:$E$593,GASTOS!A58)</f>
        <v>180</v>
      </c>
      <c r="E22" s="25">
        <f>SUMIFS(EGRESOS!$C$4:$C$593,EGRESOS!$A$4:$A$593,E$1,EGRESOS!$E$4:$E$593,GASTOS!A58)</f>
        <v>-85</v>
      </c>
      <c r="F22" s="25">
        <f>SUMIFS(EGRESOS!$C$4:$C$593,EGRESOS!$A$4:$A$593,F$1,EGRESOS!$E$4:$E$593,GASTOS!A58)</f>
        <v>95</v>
      </c>
      <c r="G22" s="25">
        <f>SUMIFS(EGRESOS!$C$4:$C$593,EGRESOS!$A$4:$A$593,G$1,EGRESOS!$E$4:$E$593,GASTOS!A58)</f>
        <v>0</v>
      </c>
      <c r="H22" s="25">
        <f>SUMIFS(EGRESOS!$C$4:$C$593,EGRESOS!$A$4:$A$593,H$1,EGRESOS!$E$4:$E$593,GASTOS!A58)</f>
        <v>160</v>
      </c>
      <c r="I22" s="25">
        <f>SUMIFS(EGRESOS!$C$4:$C$593,EGRESOS!$A$4:$A$593,I$1,EGRESOS!$E$4:$E$593,GASTOS!A58)</f>
        <v>95</v>
      </c>
      <c r="J22" s="25">
        <f>SUMIFS(EGRESOS!$C$4:$C$593,EGRESOS!$A$4:$A$593,J$1,EGRESOS!$E$4:$E$593,GASTOS!A58)</f>
        <v>0</v>
      </c>
      <c r="K22" s="25">
        <f>SUMIFS(EGRESOS!$C$4:$C$593,EGRESOS!$A$4:$A$593,K$1,EGRESOS!$E$4:$E$593,GASTOS!A58)</f>
        <v>15</v>
      </c>
      <c r="L22" s="25">
        <f>SUMIFS(EGRESOS!$C$4:$C$593,EGRESOS!$A$4:$A$593,L$1,EGRESOS!$E$4:$E$593,GASTOS!A58)</f>
        <v>0</v>
      </c>
      <c r="M22" s="25">
        <f>SUMIFS(EGRESOS!$C$4:$C$593,EGRESOS!$A$4:$A$593,M$1,EGRESOS!$E$4:$E$593,GASTOS!A58)</f>
        <v>40</v>
      </c>
      <c r="N22" s="25">
        <f>SUMIFS(EGRESOS!$C$4:$C$593,EGRESOS!$A$4:$A$593,N$1,EGRESOS!$E$4:$E$593,GASTOS!A58)</f>
        <v>20</v>
      </c>
      <c r="O22" s="25">
        <f>SUMIFS(EGRESOS!$C$4:$C$593,EGRESOS!$A$4:$A$593,O$1,EGRESOS!$E$4:$E$593,GASTOS!A58)</f>
        <v>0</v>
      </c>
      <c r="P22" s="25">
        <f>SUMIFS(EGRESOS!$C$4:$C$593,EGRESOS!$A$4:$A$593,P$1,EGRESOS!$E$4:$E$593,GASTOS!A58)</f>
        <v>0</v>
      </c>
      <c r="Q22" s="25">
        <f>SUMIFS(EGRESOS!$C$4:$C$593,EGRESOS!$A$4:$A$593,Q$1,EGRESOS!$E$4:$E$593,GASTOS!A58)</f>
        <v>0</v>
      </c>
      <c r="R22" s="25">
        <f>SUMIFS(EGRESOS!$C$4:$C$593,EGRESOS!$A$4:$A$593,R$1,EGRESOS!$E$4:$E$593,GASTOS!A58)</f>
        <v>0</v>
      </c>
      <c r="S22" s="25">
        <f>SUMIFS(EGRESOS!$C$4:$C$593,EGRESOS!$A$4:$A$593,S$1,EGRESOS!$E$4:$E$593,GASTOS!A58)</f>
        <v>0</v>
      </c>
      <c r="T22" s="25">
        <f>SUMIFS(EGRESOS!$C$4:$C$593,EGRESOS!$A$4:$A$593,T$1,EGRESOS!$E$4:$E$593,GASTOS!A58)</f>
        <v>0</v>
      </c>
      <c r="U22" s="25">
        <f>SUMIFS(EGRESOS!$C$4:$C$593,EGRESOS!$A$4:$A$593,U$1,EGRESOS!$E$4:$E$593,GASTOS!A58)</f>
        <v>0</v>
      </c>
      <c r="V22" s="25">
        <f>SUMIFS(EGRESOS!$C$4:$C$593,EGRESOS!$A$4:$A$593,V$1,EGRESOS!$E$4:$E$593,GASTOS!A58)</f>
        <v>15</v>
      </c>
      <c r="W22" s="25">
        <f>SUMIFS(EGRESOS!$C$4:$C$593,EGRESOS!$A$4:$A$593,W$1,EGRESOS!$E$4:$E$593,GASTOS!A58)</f>
        <v>0</v>
      </c>
      <c r="X22" s="25">
        <f>SUMIFS(EGRESOS!$C$4:$C$593,EGRESOS!$A$4:$A$593,X$1,EGRESOS!$E$4:$E$593,GASTOS!A58)</f>
        <v>0</v>
      </c>
      <c r="Y22" s="25">
        <f>SUMIFS(EGRESOS!$C$4:$C$593,EGRESOS!$A$4:$A$593,Y$1,EGRESOS!$E$4:$E$593,GASTOS!A58)</f>
        <v>0</v>
      </c>
      <c r="Z22" s="25">
        <f>SUMIFS(EGRESOS!$C$4:$C$593,EGRESOS!$A$4:$A$593,Z$1,EGRESOS!$E$4:$E$593,GASTOS!A58)</f>
        <v>0</v>
      </c>
      <c r="AA22" s="25">
        <f>SUMIFS(EGRESOS!$C$4:$C$593,EGRESOS!$A$4:$A$593,AA$1,EGRESOS!$E$4:$E$593,GASTOS!A58)</f>
        <v>0</v>
      </c>
      <c r="AB22" s="25">
        <f>SUMIFS(EGRESOS!$C$4:$C$593,EGRESOS!$A$4:$A$593,AB$1,EGRESOS!$E$4:$E$593,GASTOS!A58)</f>
        <v>0</v>
      </c>
      <c r="AC22" s="25">
        <f>IF(PROPIETARIOS!E24&lt;&gt;"",SUMIFS(EGRESOS!$C$4:$C$593,EGRESOS!$A$4:$A$593,AC$1,EGRESOS!$E$4:$E$593,GASTOS!A58),0)</f>
        <v>76.5</v>
      </c>
      <c r="AD22" s="25">
        <f>IF(PROPIETARIOS!F24&lt;&gt;"",SUMIFS(EGRESOS!$C$4:$C$593,EGRESOS!$A$4:$A$593,AD$1,EGRESOS!$E$4:$E$593,GASTOS!A58),0)</f>
        <v>0</v>
      </c>
      <c r="AE22" s="25">
        <f>SUMIFS(EGRESOS!$C$4:$C$593,EGRESOS!$A$4:$A$593,AE$1,EGRESOS!$E$4:$E$593,GASTOS!$A$58)</f>
        <v>230</v>
      </c>
      <c r="AF22" s="25">
        <f>IF(PROPIETARIOS!H24&lt;&gt;"",SUMIFS(EGRESOS!$C$4:$C$593,EGRESOS!$A$4:$A$593,AF$1,EGRESOS!$E$4:$E$593,GASTOS!A58),0)</f>
        <v>0</v>
      </c>
      <c r="AG22" s="25">
        <f>IF(PROPIETARIOS!I24&lt;&gt;"",SUMIFS(EGRESOS!$C$4:$C$593,EGRESOS!$A$4:$A$593,AG$1,EGRESOS!$E$4:$E$593,GASTOS!A58),0)</f>
        <v>0</v>
      </c>
      <c r="AH22" s="25">
        <f>IF(PROPIETARIOS!J24&lt;&gt;"",SUMIFS(EGRESOS!$C$4:$C$593,EGRESOS!$A$4:$A$593,AH$1,EGRESOS!$E$4:$E$593,GASTOS!A58),0)</f>
        <v>0</v>
      </c>
      <c r="AI22" s="25">
        <f>IF(PROPIETARIOS!K24&lt;&gt;"",SUMIFS(EGRESOS!$C$4:$C$593,EGRESOS!$A$4:$A$593,AI$1,EGRESOS!$E$4:$E$593,GASTOS!A58),0)</f>
        <v>0</v>
      </c>
      <c r="AJ22" s="25">
        <f>SUMIFS(EGRESOS!$C$4:$C$593,EGRESOS!$A$4:$A$593,AJ$1,EGRESOS!$E$4:$E$593,GASTOS!A58)</f>
        <v>0</v>
      </c>
      <c r="AK22" s="25">
        <f>SUMIFS(EGRESOS!$C$4:$C$593,EGRESOS!$A$4:$A$593,AK$1,EGRESOS!$E$4:$E$593,GASTOS!A58)</f>
        <v>0</v>
      </c>
      <c r="AL22" s="25">
        <f>SUMIFS(EGRESOS!$C$4:$C$593,EGRESOS!$A$4:$A$593,AL$1,EGRESOS!$E$4:$E$593,GASTOS!A58)</f>
        <v>0</v>
      </c>
      <c r="AM22" s="25">
        <f>D22*$C$22%</f>
        <v>5.5619999999999994</v>
      </c>
      <c r="AN22" s="25">
        <f t="shared" ref="AN22:BK22" si="25">E22*$C$22%</f>
        <v>-2.6264999999999996</v>
      </c>
      <c r="AO22" s="25">
        <f t="shared" si="25"/>
        <v>2.9354999999999998</v>
      </c>
      <c r="AP22" s="25">
        <f t="shared" si="25"/>
        <v>0</v>
      </c>
      <c r="AQ22" s="25">
        <f t="shared" si="25"/>
        <v>4.9439999999999991</v>
      </c>
      <c r="AR22" s="25">
        <f t="shared" si="25"/>
        <v>2.9354999999999998</v>
      </c>
      <c r="AS22" s="25">
        <f t="shared" si="25"/>
        <v>0</v>
      </c>
      <c r="AT22" s="25">
        <f t="shared" si="25"/>
        <v>0.46349999999999997</v>
      </c>
      <c r="AU22" s="25">
        <f t="shared" si="25"/>
        <v>0</v>
      </c>
      <c r="AV22" s="25">
        <f t="shared" si="25"/>
        <v>1.2359999999999998</v>
      </c>
      <c r="AW22" s="25">
        <f t="shared" si="25"/>
        <v>0.61799999999999988</v>
      </c>
      <c r="AX22" s="25">
        <f t="shared" si="25"/>
        <v>0</v>
      </c>
      <c r="AY22" s="25">
        <f t="shared" si="25"/>
        <v>0</v>
      </c>
      <c r="AZ22" s="25">
        <f t="shared" si="25"/>
        <v>0</v>
      </c>
      <c r="BA22" s="25">
        <f t="shared" si="25"/>
        <v>0</v>
      </c>
      <c r="BB22" s="25">
        <f t="shared" si="25"/>
        <v>0</v>
      </c>
      <c r="BC22" s="25">
        <f t="shared" si="25"/>
        <v>0</v>
      </c>
      <c r="BD22" s="25">
        <f t="shared" si="25"/>
        <v>0</v>
      </c>
      <c r="BE22" s="25">
        <f t="shared" si="25"/>
        <v>0.46349999999999997</v>
      </c>
      <c r="BF22" s="25">
        <f t="shared" si="25"/>
        <v>0</v>
      </c>
      <c r="BG22" s="25">
        <f t="shared" si="25"/>
        <v>0</v>
      </c>
      <c r="BH22" s="25">
        <f t="shared" si="25"/>
        <v>0</v>
      </c>
      <c r="BI22" s="25">
        <f t="shared" si="25"/>
        <v>0</v>
      </c>
      <c r="BJ22" s="25">
        <f t="shared" si="25"/>
        <v>0</v>
      </c>
      <c r="BK22" s="25">
        <f t="shared" si="25"/>
        <v>0</v>
      </c>
      <c r="BL22" s="25">
        <f t="shared" si="5"/>
        <v>2.3638499999999998</v>
      </c>
      <c r="BM22" s="25">
        <f>IFERROR(AD22/COUNTIF(PROPIETARIOS!$F$4:$F$38,"GNC02"),0)</f>
        <v>0</v>
      </c>
      <c r="BN22" s="25">
        <f>IFERROR(AE22/COUNTIF(PROPIETARIOS!$G$4:$G$38,"GNC03"),0)</f>
        <v>6.5714285714285712</v>
      </c>
      <c r="BO22" s="25">
        <f>IFERROR(AF22/COUNTIF(PROPIETARIOS!$H$4:$H$38,"GNC04"),0)</f>
        <v>0</v>
      </c>
      <c r="BP22" s="25">
        <f>IFERROR(AG22/COUNTIF(PROPIETARIOS!$I$4:$I$38,"GNC05"),0)</f>
        <v>0</v>
      </c>
      <c r="BQ22" s="25">
        <v>0</v>
      </c>
      <c r="BR22" s="25">
        <v>0</v>
      </c>
      <c r="BS22" s="203">
        <f t="shared" si="1"/>
        <v>841.5</v>
      </c>
      <c r="BT22" s="203">
        <f t="shared" si="2"/>
        <v>25.466778571428563</v>
      </c>
      <c r="BU22" s="26" t="s">
        <v>261</v>
      </c>
      <c r="BV22" s="34">
        <f t="shared" ca="1" si="3"/>
        <v>46209</v>
      </c>
      <c r="BW22" s="23">
        <v>0</v>
      </c>
      <c r="BX22" s="36">
        <f>Hoja6!FR24</f>
        <v>0</v>
      </c>
      <c r="BY22" s="23" t="str">
        <f t="shared" si="6"/>
        <v>3,09</v>
      </c>
      <c r="BZ22" s="27" t="s">
        <v>425</v>
      </c>
      <c r="CA22" s="28" t="str">
        <f>convertirnum(Tabla1[[#This Row],[TOTALAL]])</f>
        <v>VEINTICINCO CON 47/100 DÓLARES</v>
      </c>
      <c r="CB22" s="28">
        <f>5%*Hoja6!FT24</f>
        <v>0</v>
      </c>
      <c r="CC22" s="192">
        <f>IF(Tabla1[[#This Row],[DEUDA]]&gt;0,Hoja6!HL24,0)</f>
        <v>0</v>
      </c>
      <c r="CD22" s="28">
        <f>Hoja6!HM24</f>
        <v>0</v>
      </c>
      <c r="CE22" s="200">
        <f>IF(Tabla1[[#This Row],[DEUDA]]&gt;0,Hoja6!FT24,0)</f>
        <v>0</v>
      </c>
      <c r="CF22" s="28" t="str">
        <f>"_"&amp;Tabla1[[#This Row],[APTO-LOCAL-OFIC.]]&amp;" "&amp;Tabla1[[#This Row],[PROPIETARIO]]&amp;"-"</f>
        <v>_PENT HOUSE 1 LUIS CHIRINOS-</v>
      </c>
    </row>
    <row r="23" spans="1:86" ht="18" customHeight="1">
      <c r="A23" s="29" t="s">
        <v>49</v>
      </c>
      <c r="B23" s="30" t="s">
        <v>262</v>
      </c>
      <c r="C23" s="30">
        <v>3.09</v>
      </c>
      <c r="D23" s="32">
        <f>SUMIFS(EGRESOS!$C$4:$C$593,EGRESOS!$A$4:$A$593,D$1,EGRESOS!$E$4:$E$593,GASTOS!A58)</f>
        <v>180</v>
      </c>
      <c r="E23" s="32">
        <f>SUMIFS(EGRESOS!$C$4:$C$593,EGRESOS!$A$4:$A$593,E$1,EGRESOS!$E$4:$E$593,GASTOS!A58)</f>
        <v>-85</v>
      </c>
      <c r="F23" s="32">
        <f>SUMIFS(EGRESOS!$C$4:$C$593,EGRESOS!$A$4:$A$593,F$1,EGRESOS!$E$4:$E$593,GASTOS!A58)</f>
        <v>95</v>
      </c>
      <c r="G23" s="32">
        <f>SUMIFS(EGRESOS!$C$4:$C$593,EGRESOS!$A$4:$A$593,G$1,EGRESOS!$E$4:$E$593,GASTOS!A58)</f>
        <v>0</v>
      </c>
      <c r="H23" s="32">
        <f>SUMIFS(EGRESOS!$C$4:$C$593,EGRESOS!$A$4:$A$593,H$1,EGRESOS!$E$4:$E$593,GASTOS!A58)</f>
        <v>160</v>
      </c>
      <c r="I23" s="32">
        <f>SUMIFS(EGRESOS!$C$4:$C$593,EGRESOS!$A$4:$A$593,I$1,EGRESOS!$E$4:$E$593,GASTOS!A58)</f>
        <v>95</v>
      </c>
      <c r="J23" s="32">
        <f>SUMIFS(EGRESOS!$C$4:$C$593,EGRESOS!$A$4:$A$593,J$1,EGRESOS!$E$4:$E$593,GASTOS!A58)</f>
        <v>0</v>
      </c>
      <c r="K23" s="32">
        <f>SUMIFS(EGRESOS!$C$4:$C$593,EGRESOS!$A$4:$A$593,K$1,EGRESOS!$E$4:$E$593,GASTOS!A58)</f>
        <v>15</v>
      </c>
      <c r="L23" s="32">
        <f>SUMIFS(EGRESOS!$C$4:$C$593,EGRESOS!$A$4:$A$593,L$1,EGRESOS!$E$4:$E$593,GASTOS!A58)</f>
        <v>0</v>
      </c>
      <c r="M23" s="32">
        <f>SUMIFS(EGRESOS!$C$4:$C$593,EGRESOS!$A$4:$A$593,M$1,EGRESOS!$E$4:$E$593,GASTOS!A58)</f>
        <v>40</v>
      </c>
      <c r="N23" s="32">
        <f>SUMIFS(EGRESOS!$C$4:$C$593,EGRESOS!$A$4:$A$593,N$1,EGRESOS!$E$4:$E$593,GASTOS!A58)</f>
        <v>20</v>
      </c>
      <c r="O23" s="32">
        <f>SUMIFS(EGRESOS!$C$4:$C$593,EGRESOS!$A$4:$A$593,O$1,EGRESOS!$E$4:$E$593,GASTOS!A58)</f>
        <v>0</v>
      </c>
      <c r="P23" s="32">
        <f>SUMIFS(EGRESOS!$C$4:$C$593,EGRESOS!$A$4:$A$593,P$1,EGRESOS!$E$4:$E$593,GASTOS!A58)</f>
        <v>0</v>
      </c>
      <c r="Q23" s="32">
        <f>SUMIFS(EGRESOS!$C$4:$C$593,EGRESOS!$A$4:$A$593,Q$1,EGRESOS!$E$4:$E$593,GASTOS!A58)</f>
        <v>0</v>
      </c>
      <c r="R23" s="32">
        <f>SUMIFS(EGRESOS!$C$4:$C$593,EGRESOS!$A$4:$A$593,R$1,EGRESOS!$E$4:$E$593,GASTOS!A58)</f>
        <v>0</v>
      </c>
      <c r="S23" s="32">
        <f>SUMIFS(EGRESOS!$C$4:$C$593,EGRESOS!$A$4:$A$593,S$1,EGRESOS!$E$4:$E$593,GASTOS!A58)</f>
        <v>0</v>
      </c>
      <c r="T23" s="32">
        <f>SUMIFS(EGRESOS!$C$4:$C$593,EGRESOS!$A$4:$A$593,T$1,EGRESOS!$E$4:$E$593,GASTOS!A58)</f>
        <v>0</v>
      </c>
      <c r="U23" s="32">
        <f>SUMIFS(EGRESOS!$C$4:$C$593,EGRESOS!$A$4:$A$593,U$1,EGRESOS!$E$4:$E$593,GASTOS!A58)</f>
        <v>0</v>
      </c>
      <c r="V23" s="32">
        <f>SUMIFS(EGRESOS!$C$4:$C$593,EGRESOS!$A$4:$A$593,V$1,EGRESOS!$E$4:$E$593,GASTOS!A58)</f>
        <v>15</v>
      </c>
      <c r="W23" s="32">
        <f>SUMIFS(EGRESOS!$C$4:$C$593,EGRESOS!$A$4:$A$593,W$1,EGRESOS!$E$4:$E$593,GASTOS!A58)</f>
        <v>0</v>
      </c>
      <c r="X23" s="32">
        <f>SUMIFS(EGRESOS!$C$4:$C$593,EGRESOS!$A$4:$A$593,X$1,EGRESOS!$E$4:$E$593,GASTOS!A58)</f>
        <v>0</v>
      </c>
      <c r="Y23" s="32">
        <f>SUMIFS(EGRESOS!$C$4:$C$593,EGRESOS!$A$4:$A$593,Y$1,EGRESOS!$E$4:$E$593,GASTOS!A58)</f>
        <v>0</v>
      </c>
      <c r="Z23" s="32">
        <f>SUMIFS(EGRESOS!$C$4:$C$593,EGRESOS!$A$4:$A$593,Z$1,EGRESOS!$E$4:$E$593,GASTOS!A58)</f>
        <v>0</v>
      </c>
      <c r="AA23" s="32">
        <f>SUMIFS(EGRESOS!$C$4:$C$593,EGRESOS!$A$4:$A$593,AA$1,EGRESOS!$E$4:$E$593,GASTOS!A58)</f>
        <v>0</v>
      </c>
      <c r="AB23" s="32">
        <f>SUMIFS(EGRESOS!$C$4:$C$593,EGRESOS!$A$4:$A$593,AB$1,EGRESOS!$E$4:$E$593,GASTOS!A58)</f>
        <v>0</v>
      </c>
      <c r="AC23" s="32">
        <f>IF(PROPIETARIOS!E25&lt;&gt;"",SUMIFS(EGRESOS!$C$4:$C$593,EGRESOS!$A$4:$A$593,AC$1,EGRESOS!$E$4:$E$593,GASTOS!A58),0)</f>
        <v>76.5</v>
      </c>
      <c r="AD23" s="32">
        <f>IF(PROPIETARIOS!F25&lt;&gt;"",SUMIFS(EGRESOS!$C$4:$C$593,EGRESOS!$A$4:$A$593,AD$1,EGRESOS!$E$4:$E$593,GASTOS!A58),0)</f>
        <v>0</v>
      </c>
      <c r="AE23" s="32">
        <f>SUMIFS(EGRESOS!$C$4:$C$593,EGRESOS!$A$4:$A$593,AE$1,EGRESOS!$E$4:$E$593,GASTOS!$A$58)</f>
        <v>230</v>
      </c>
      <c r="AF23" s="32">
        <f>IF(PROPIETARIOS!H25&lt;&gt;"",SUMIFS(EGRESOS!$C$4:$C$593,EGRESOS!$A$4:$A$593,AF$1,EGRESOS!$E$4:$E$593,GASTOS!A58),0)</f>
        <v>0</v>
      </c>
      <c r="AG23" s="32">
        <f>IF(PROPIETARIOS!I25&lt;&gt;"",SUMIFS(EGRESOS!$C$4:$C$593,EGRESOS!$A$4:$A$593,AG$1,EGRESOS!$E$4:$E$593,GASTOS!A58),0)</f>
        <v>0</v>
      </c>
      <c r="AH23" s="32">
        <f>IF(PROPIETARIOS!J25&lt;&gt;"",SUMIFS(EGRESOS!$C$4:$C$593,EGRESOS!$A$4:$A$593,AH$1,EGRESOS!$E$4:$E$593,GASTOS!A58),0)</f>
        <v>0</v>
      </c>
      <c r="AI23" s="32">
        <f>IF(PROPIETARIOS!K25&lt;&gt;"",SUMIFS(EGRESOS!$C$4:$C$593,EGRESOS!$A$4:$A$593,AI$1,EGRESOS!$E$4:$E$593,GASTOS!A58),0)</f>
        <v>0</v>
      </c>
      <c r="AJ23" s="32">
        <f>SUMIFS(EGRESOS!$C$4:$C$593,EGRESOS!$A$4:$A$593,AJ$1,EGRESOS!$E$4:$E$593,GASTOS!A58)</f>
        <v>0</v>
      </c>
      <c r="AK23" s="32">
        <f>SUMIFS(EGRESOS!$C$4:$C$593,EGRESOS!$A$4:$A$593,AK$1,EGRESOS!$E$4:$E$593,GASTOS!A58)</f>
        <v>0</v>
      </c>
      <c r="AL23" s="32">
        <f>SUMIFS(EGRESOS!$C$4:$C$593,EGRESOS!$A$4:$A$593,AL$1,EGRESOS!$E$4:$E$593,GASTOS!A58)</f>
        <v>0</v>
      </c>
      <c r="AM23" s="32">
        <f>D23*$C$23%</f>
        <v>5.5619999999999994</v>
      </c>
      <c r="AN23" s="32">
        <f t="shared" ref="AN23:BK23" si="26">E23*$C$23%</f>
        <v>-2.6264999999999996</v>
      </c>
      <c r="AO23" s="32">
        <f t="shared" si="26"/>
        <v>2.9354999999999998</v>
      </c>
      <c r="AP23" s="32">
        <f t="shared" si="26"/>
        <v>0</v>
      </c>
      <c r="AQ23" s="32">
        <f t="shared" si="26"/>
        <v>4.9439999999999991</v>
      </c>
      <c r="AR23" s="32">
        <f t="shared" si="26"/>
        <v>2.9354999999999998</v>
      </c>
      <c r="AS23" s="32">
        <f t="shared" si="26"/>
        <v>0</v>
      </c>
      <c r="AT23" s="32">
        <f t="shared" si="26"/>
        <v>0.46349999999999997</v>
      </c>
      <c r="AU23" s="32">
        <f t="shared" si="26"/>
        <v>0</v>
      </c>
      <c r="AV23" s="32">
        <f t="shared" si="26"/>
        <v>1.2359999999999998</v>
      </c>
      <c r="AW23" s="32">
        <f t="shared" si="26"/>
        <v>0.61799999999999988</v>
      </c>
      <c r="AX23" s="32">
        <f t="shared" si="26"/>
        <v>0</v>
      </c>
      <c r="AY23" s="32">
        <f t="shared" si="26"/>
        <v>0</v>
      </c>
      <c r="AZ23" s="32">
        <f t="shared" si="26"/>
        <v>0</v>
      </c>
      <c r="BA23" s="32">
        <f t="shared" si="26"/>
        <v>0</v>
      </c>
      <c r="BB23" s="32">
        <f t="shared" si="26"/>
        <v>0</v>
      </c>
      <c r="BC23" s="32">
        <f t="shared" si="26"/>
        <v>0</v>
      </c>
      <c r="BD23" s="32">
        <f t="shared" si="26"/>
        <v>0</v>
      </c>
      <c r="BE23" s="32">
        <f t="shared" si="26"/>
        <v>0.46349999999999997</v>
      </c>
      <c r="BF23" s="32">
        <f t="shared" si="26"/>
        <v>0</v>
      </c>
      <c r="BG23" s="32">
        <f t="shared" si="26"/>
        <v>0</v>
      </c>
      <c r="BH23" s="32">
        <f t="shared" si="26"/>
        <v>0</v>
      </c>
      <c r="BI23" s="32">
        <f t="shared" si="26"/>
        <v>0</v>
      </c>
      <c r="BJ23" s="32">
        <f t="shared" si="26"/>
        <v>0</v>
      </c>
      <c r="BK23" s="32">
        <f t="shared" si="26"/>
        <v>0</v>
      </c>
      <c r="BL23" s="32">
        <f t="shared" si="5"/>
        <v>2.3638499999999998</v>
      </c>
      <c r="BM23" s="32">
        <f>IFERROR(AD23/COUNTIF(PROPIETARIOS!$F$4:$F$38,"GNC02"),0)</f>
        <v>0</v>
      </c>
      <c r="BN23" s="32">
        <f>IFERROR(AE23/COUNTIF(PROPIETARIOS!$G$4:$G$38,"GNC03"),0)</f>
        <v>6.5714285714285712</v>
      </c>
      <c r="BO23" s="32">
        <f>IFERROR(AF23/COUNTIF(PROPIETARIOS!$H$4:$H$38,"GNC04"),0)</f>
        <v>0</v>
      </c>
      <c r="BP23" s="32">
        <f>IFERROR(AG23/COUNTIF(PROPIETARIOS!$I$4:$I$38,"GNC05"),0)</f>
        <v>0</v>
      </c>
      <c r="BQ23" s="32">
        <v>0</v>
      </c>
      <c r="BR23" s="32">
        <v>0</v>
      </c>
      <c r="BS23" s="204">
        <f t="shared" si="1"/>
        <v>841.5</v>
      </c>
      <c r="BT23" s="204">
        <f t="shared" si="2"/>
        <v>25.466778571428563</v>
      </c>
      <c r="BU23" s="33" t="s">
        <v>263</v>
      </c>
      <c r="BV23" s="34">
        <f t="shared" ca="1" si="3"/>
        <v>46209</v>
      </c>
      <c r="BW23" s="30">
        <v>0</v>
      </c>
      <c r="BX23" s="36">
        <f>Hoja6!FR25</f>
        <v>0</v>
      </c>
      <c r="BY23" s="30" t="str">
        <f t="shared" si="6"/>
        <v>3,09</v>
      </c>
      <c r="BZ23" s="27" t="s">
        <v>425</v>
      </c>
      <c r="CA23" s="28" t="str">
        <f>convertirnum(Tabla1[[#This Row],[TOTALAL]])</f>
        <v>VEINTICINCO CON 47/100 DÓLARES</v>
      </c>
      <c r="CB23" s="28">
        <f>5%*Hoja6!FT25</f>
        <v>0</v>
      </c>
      <c r="CC23" s="192">
        <f>IF(Tabla1[[#This Row],[DEUDA]]&gt;0,Hoja6!HL25,0)</f>
        <v>0</v>
      </c>
      <c r="CD23" s="28">
        <f>Hoja6!HM25</f>
        <v>0</v>
      </c>
      <c r="CE23" s="200">
        <f>IF(Tabla1[[#This Row],[DEUDA]]&gt;0,Hoja6!FT25,0)</f>
        <v>0</v>
      </c>
      <c r="CF23" s="28" t="str">
        <f>"_"&amp;Tabla1[[#This Row],[APTO-LOCAL-OFIC.]]&amp;" "&amp;Tabla1[[#This Row],[PROPIETARIO]]&amp;"-"</f>
        <v>_PENT HOUSE 2 MARIVEL NAVAS-</v>
      </c>
    </row>
    <row r="24" spans="1:86" ht="18" customHeight="1">
      <c r="A24" s="22" t="s">
        <v>264</v>
      </c>
      <c r="B24" s="23" t="s">
        <v>568</v>
      </c>
      <c r="C24" s="23">
        <v>3.12</v>
      </c>
      <c r="D24" s="25">
        <f>SUMIFS(EGRESOS!$C$4:$C$593,EGRESOS!$A$4:$A$593,D$1,EGRESOS!$E$4:$E$593,GASTOS!A58)</f>
        <v>180</v>
      </c>
      <c r="E24" s="25">
        <f>SUMIFS(EGRESOS!$C$4:$C$593,EGRESOS!$A$4:$A$593,E$1,EGRESOS!$E$4:$E$593,GASTOS!A58)</f>
        <v>-85</v>
      </c>
      <c r="F24" s="25">
        <f>SUMIFS(EGRESOS!$C$4:$C$593,EGRESOS!$A$4:$A$593,F$1,EGRESOS!$E$4:$E$593,GASTOS!A58)</f>
        <v>95</v>
      </c>
      <c r="G24" s="25">
        <f>SUMIFS(EGRESOS!$C$4:$C$593,EGRESOS!$A$4:$A$593,G$1,EGRESOS!$E$4:$E$593,GASTOS!A58)</f>
        <v>0</v>
      </c>
      <c r="H24" s="25">
        <f>SUMIFS(EGRESOS!$C$4:$C$593,EGRESOS!$A$4:$A$593,H$1,EGRESOS!$E$4:$E$593,GASTOS!A58)</f>
        <v>160</v>
      </c>
      <c r="I24" s="25">
        <f>SUMIFS(EGRESOS!$C$4:$C$593,EGRESOS!$A$4:$A$593,I$1,EGRESOS!$E$4:$E$593,GASTOS!A58)</f>
        <v>95</v>
      </c>
      <c r="J24" s="25">
        <f>SUMIFS(EGRESOS!$C$4:$C$593,EGRESOS!$A$4:$A$593,J$1,EGRESOS!$E$4:$E$593,GASTOS!A58)</f>
        <v>0</v>
      </c>
      <c r="K24" s="25">
        <f>SUMIFS(EGRESOS!$C$4:$C$593,EGRESOS!$A$4:$A$593,K$1,EGRESOS!$E$4:$E$593,GASTOS!A58)</f>
        <v>15</v>
      </c>
      <c r="L24" s="25">
        <f>SUMIFS(EGRESOS!$C$4:$C$593,EGRESOS!$A$4:$A$593,L$1,EGRESOS!$E$4:$E$593,GASTOS!A58)</f>
        <v>0</v>
      </c>
      <c r="M24" s="25">
        <f>SUMIFS(EGRESOS!$C$4:$C$593,EGRESOS!$A$4:$A$593,M$1,EGRESOS!$E$4:$E$593,GASTOS!A58)</f>
        <v>40</v>
      </c>
      <c r="N24" s="25">
        <f>SUMIFS(EGRESOS!$C$4:$C$593,EGRESOS!$A$4:$A$593,N$1,EGRESOS!$E$4:$E$593,GASTOS!A58)</f>
        <v>20</v>
      </c>
      <c r="O24" s="25">
        <f>SUMIFS(EGRESOS!$C$4:$C$593,EGRESOS!$A$4:$A$593,O$1,EGRESOS!$E$4:$E$593,GASTOS!A58)</f>
        <v>0</v>
      </c>
      <c r="P24" s="25">
        <f>SUMIFS(EGRESOS!$C$4:$C$593,EGRESOS!$A$4:$A$593,P$1,EGRESOS!$E$4:$E$593,GASTOS!A58)</f>
        <v>0</v>
      </c>
      <c r="Q24" s="25">
        <f>SUMIFS(EGRESOS!$C$4:$C$593,EGRESOS!$A$4:$A$593,Q$1,EGRESOS!$E$4:$E$593,GASTOS!A58)</f>
        <v>0</v>
      </c>
      <c r="R24" s="25">
        <f>SUMIFS(EGRESOS!$C$4:$C$593,EGRESOS!$A$4:$A$593,R$1,EGRESOS!$E$4:$E$593,GASTOS!A58)</f>
        <v>0</v>
      </c>
      <c r="S24" s="25">
        <f>SUMIFS(EGRESOS!$C$4:$C$593,EGRESOS!$A$4:$A$593,S$1,EGRESOS!$E$4:$E$593,GASTOS!A58)</f>
        <v>0</v>
      </c>
      <c r="T24" s="25">
        <f>SUMIFS(EGRESOS!$C$4:$C$593,EGRESOS!$A$4:$A$593,T$1,EGRESOS!$E$4:$E$593,GASTOS!A58)</f>
        <v>0</v>
      </c>
      <c r="U24" s="25">
        <f>SUMIFS(EGRESOS!$C$4:$C$593,EGRESOS!$A$4:$A$593,U$1,EGRESOS!$E$4:$E$593,GASTOS!A58)</f>
        <v>0</v>
      </c>
      <c r="V24" s="25">
        <f>SUMIFS(EGRESOS!$C$4:$C$593,EGRESOS!$A$4:$A$593,V$1,EGRESOS!$E$4:$E$593,GASTOS!A58)</f>
        <v>15</v>
      </c>
      <c r="W24" s="25">
        <f>SUMIFS(EGRESOS!$C$4:$C$593,EGRESOS!$A$4:$A$593,W$1,EGRESOS!$E$4:$E$593,GASTOS!A58)</f>
        <v>0</v>
      </c>
      <c r="X24" s="25">
        <f>SUMIFS(EGRESOS!$C$4:$C$593,EGRESOS!$A$4:$A$593,X$1,EGRESOS!$E$4:$E$593,GASTOS!A58)</f>
        <v>0</v>
      </c>
      <c r="Y24" s="25">
        <f>SUMIFS(EGRESOS!$C$4:$C$593,EGRESOS!$A$4:$A$593,Y$1,EGRESOS!$E$4:$E$593,GASTOS!A58)</f>
        <v>0</v>
      </c>
      <c r="Z24" s="25">
        <f>SUMIFS(EGRESOS!$C$4:$C$593,EGRESOS!$A$4:$A$593,Z$1,EGRESOS!$E$4:$E$593,GASTOS!A58)</f>
        <v>0</v>
      </c>
      <c r="AA24" s="25">
        <f>SUMIFS(EGRESOS!$C$4:$C$593,EGRESOS!$A$4:$A$593,AA$1,EGRESOS!$E$4:$E$593,GASTOS!A58)</f>
        <v>0</v>
      </c>
      <c r="AB24" s="25">
        <f>SUMIFS(EGRESOS!$C$4:$C$593,EGRESOS!$A$4:$A$593,AB$1,EGRESOS!$E$4:$E$593,GASTOS!A58)</f>
        <v>0</v>
      </c>
      <c r="AC24" s="25">
        <f>IF(PROPIETARIOS!E26&lt;&gt;"",SUMIFS(EGRESOS!$C$4:$C$593,EGRESOS!$A$4:$A$593,AC$1,EGRESOS!$E$4:$E$593,GASTOS!A58),0)</f>
        <v>76.5</v>
      </c>
      <c r="AD24" s="25">
        <f>IF(PROPIETARIOS!F33&lt;&gt;"",SUMIFS(EGRESOS!$C$4:$C$593,EGRESOS!$A$4:$A$593,AD$1,EGRESOS!$E$4:$E$593,GASTOS!A58),0)</f>
        <v>0</v>
      </c>
      <c r="AE24" s="25">
        <f>SUMIFS(EGRESOS!$C$4:$C$593,EGRESOS!$A$4:$A$593,AE$1,EGRESOS!$E$4:$E$593,GASTOS!$A$58)</f>
        <v>230</v>
      </c>
      <c r="AF24" s="25">
        <f>IF(PROPIETARIOS!H33&lt;&gt;"",SUMIFS(EGRESOS!$C$4:$C$593,EGRESOS!$A$4:$A$593,AF$1,EGRESOS!$E$4:$E$593,GASTOS!A58),0)</f>
        <v>0</v>
      </c>
      <c r="AG24" s="25">
        <f>IF(PROPIETARIOS!I26&lt;&gt;"",SUMIFS(EGRESOS!$C$4:$C$593,EGRESOS!$A$4:$A$593,AG$1,EGRESOS!$E$4:$E$593,GASTOS!A58),0)</f>
        <v>0</v>
      </c>
      <c r="AH24" s="25">
        <f>IF(PROPIETARIOS!J26&lt;&gt;"",SUMIFS(EGRESOS!$C$4:$C$593,EGRESOS!$A$4:$A$593,AH$1,EGRESOS!$E$4:$E$593,GASTOS!A58),0)</f>
        <v>0</v>
      </c>
      <c r="AI24" s="25">
        <f>IF(PROPIETARIOS!K26&lt;&gt;"",SUMIFS(EGRESOS!$C$4:$C$593,EGRESOS!$A$4:$A$593,AI$1,EGRESOS!$E$4:$E$593,GASTOS!A58),0)</f>
        <v>0</v>
      </c>
      <c r="AJ24" s="25">
        <f>SUMIFS(EGRESOS!$C$4:$C$593,EGRESOS!$A$4:$A$593,AJ$1,EGRESOS!$E$4:$E$593,GASTOS!A58)</f>
        <v>0</v>
      </c>
      <c r="AK24" s="25">
        <f>SUMIFS(EGRESOS!$C$4:$C$593,EGRESOS!$A$4:$A$593,AK$1,EGRESOS!$E$4:$E$593,GASTOS!A58)</f>
        <v>0</v>
      </c>
      <c r="AL24" s="25">
        <f>SUMIFS(EGRESOS!$C$4:$C$593,EGRESOS!$A$4:$A$593,AL$1,EGRESOS!$E$4:$E$593,GASTOS!A58)</f>
        <v>0</v>
      </c>
      <c r="AM24" s="25">
        <f>D24*$C$24%</f>
        <v>5.6160000000000005</v>
      </c>
      <c r="AN24" s="25">
        <f t="shared" ref="AN24:BK24" si="27">E24*$C$24%</f>
        <v>-2.6520000000000001</v>
      </c>
      <c r="AO24" s="25">
        <f t="shared" si="27"/>
        <v>2.9640000000000004</v>
      </c>
      <c r="AP24" s="25">
        <f t="shared" si="27"/>
        <v>0</v>
      </c>
      <c r="AQ24" s="25">
        <f t="shared" si="27"/>
        <v>4.992</v>
      </c>
      <c r="AR24" s="25">
        <f t="shared" si="27"/>
        <v>2.9640000000000004</v>
      </c>
      <c r="AS24" s="25">
        <f t="shared" si="27"/>
        <v>0</v>
      </c>
      <c r="AT24" s="25">
        <f t="shared" si="27"/>
        <v>0.46800000000000003</v>
      </c>
      <c r="AU24" s="25">
        <f t="shared" si="27"/>
        <v>0</v>
      </c>
      <c r="AV24" s="25">
        <f t="shared" si="27"/>
        <v>1.248</v>
      </c>
      <c r="AW24" s="25">
        <f t="shared" si="27"/>
        <v>0.624</v>
      </c>
      <c r="AX24" s="25">
        <f t="shared" si="27"/>
        <v>0</v>
      </c>
      <c r="AY24" s="25">
        <f t="shared" si="27"/>
        <v>0</v>
      </c>
      <c r="AZ24" s="25">
        <f t="shared" si="27"/>
        <v>0</v>
      </c>
      <c r="BA24" s="25">
        <f t="shared" si="27"/>
        <v>0</v>
      </c>
      <c r="BB24" s="25">
        <f t="shared" si="27"/>
        <v>0</v>
      </c>
      <c r="BC24" s="25">
        <f t="shared" si="27"/>
        <v>0</v>
      </c>
      <c r="BD24" s="25">
        <f t="shared" si="27"/>
        <v>0</v>
      </c>
      <c r="BE24" s="25">
        <f t="shared" si="27"/>
        <v>0.46800000000000003</v>
      </c>
      <c r="BF24" s="25">
        <f t="shared" si="27"/>
        <v>0</v>
      </c>
      <c r="BG24" s="25">
        <f t="shared" si="27"/>
        <v>0</v>
      </c>
      <c r="BH24" s="25">
        <f t="shared" si="27"/>
        <v>0</v>
      </c>
      <c r="BI24" s="25">
        <f t="shared" si="27"/>
        <v>0</v>
      </c>
      <c r="BJ24" s="25">
        <f t="shared" si="27"/>
        <v>0</v>
      </c>
      <c r="BK24" s="25">
        <f t="shared" si="27"/>
        <v>0</v>
      </c>
      <c r="BL24" s="25">
        <f t="shared" si="5"/>
        <v>2.3868</v>
      </c>
      <c r="BM24" s="25">
        <f>IFERROR(AD24/COUNTIF(PROPIETARIOS!$F$4:$F$38,"GNC02"),0)</f>
        <v>0</v>
      </c>
      <c r="BN24" s="25">
        <f>IFERROR(AE24/COUNTIF(PROPIETARIOS!$G$4:$G$38,"GNC03"),0)</f>
        <v>6.5714285714285712</v>
      </c>
      <c r="BO24" s="25">
        <f>IFERROR(AF24/COUNTIF(PROPIETARIOS!$H$4:$H$38,"GNC04"),0)</f>
        <v>0</v>
      </c>
      <c r="BP24" s="25">
        <f>IFERROR(AG24/COUNTIF(PROPIETARIOS!$I$4:$I$38,"GNC05"),0)</f>
        <v>0</v>
      </c>
      <c r="BQ24" s="25">
        <v>0</v>
      </c>
      <c r="BR24" s="25">
        <v>0</v>
      </c>
      <c r="BS24" s="203">
        <f t="shared" si="1"/>
        <v>841.5</v>
      </c>
      <c r="BT24" s="203">
        <f t="shared" si="2"/>
        <v>25.65022857142857</v>
      </c>
      <c r="BU24" s="26"/>
      <c r="BV24" s="34">
        <f t="shared" ca="1" si="3"/>
        <v>46209</v>
      </c>
      <c r="BW24" s="23">
        <v>0</v>
      </c>
      <c r="BX24" s="36">
        <f>Hoja6!FR26</f>
        <v>472.12800000000004</v>
      </c>
      <c r="BY24" s="23" t="str">
        <f t="shared" si="6"/>
        <v>3,12</v>
      </c>
      <c r="BZ24" s="27" t="s">
        <v>425</v>
      </c>
      <c r="CA24" s="28" t="str">
        <f>convertirnum(Tabla1[[#This Row],[TOTALAL]])</f>
        <v>VEINTICINCO CON 65/100 DÓLARES</v>
      </c>
      <c r="CB24" s="28">
        <f>5%*Hoja6!FT26</f>
        <v>0.9</v>
      </c>
      <c r="CC24" s="192">
        <f>IF(Tabla1[[#This Row],[DEUDA]]&gt;0,Hoja6!HL26,0)</f>
        <v>10.654148571428571</v>
      </c>
      <c r="CD24" s="28">
        <f>Hoja6!HM26</f>
        <v>482.78214857142859</v>
      </c>
      <c r="CE24" s="200">
        <f>IF(Tabla1[[#This Row],[DEUDA]]&gt;0,Hoja6!FT26,0)</f>
        <v>18</v>
      </c>
      <c r="CF24" s="28" t="str">
        <f>"_"&amp;Tabla1[[#This Row],[APTO-LOCAL-OFIC.]]&amp;" "&amp;Tabla1[[#This Row],[PROPIETARIO]]&amp;"-"</f>
        <v>_LOCAL 1 GOMITAS MANPECA-</v>
      </c>
    </row>
    <row r="25" spans="1:86" ht="18" customHeight="1">
      <c r="A25" s="29" t="s">
        <v>266</v>
      </c>
      <c r="B25" s="30" t="s">
        <v>65</v>
      </c>
      <c r="C25" s="30">
        <v>4.08</v>
      </c>
      <c r="D25" s="32">
        <f>SUMIFS(EGRESOS!$C$4:$C$593,EGRESOS!$A$4:$A$593,D$1,EGRESOS!$E$4:$E$593,GASTOS!A58)</f>
        <v>180</v>
      </c>
      <c r="E25" s="32">
        <f>SUMIFS(EGRESOS!$C$4:$C$593,EGRESOS!$A$4:$A$593,E$1,EGRESOS!$E$4:$E$593,GASTOS!A58)</f>
        <v>-85</v>
      </c>
      <c r="F25" s="32">
        <f>SUMIFS(EGRESOS!$C$4:$C$593,EGRESOS!$A$4:$A$593,F$1,EGRESOS!$E$4:$E$593,GASTOS!A58)</f>
        <v>95</v>
      </c>
      <c r="G25" s="32">
        <f>SUMIFS(EGRESOS!$C$4:$C$593,EGRESOS!$A$4:$A$593,G$1,EGRESOS!$E$4:$E$593,GASTOS!A58)</f>
        <v>0</v>
      </c>
      <c r="H25" s="32">
        <f>SUMIFS(EGRESOS!$C$4:$C$593,EGRESOS!$A$4:$A$593,H$1,EGRESOS!$E$4:$E$593,GASTOS!A58)</f>
        <v>160</v>
      </c>
      <c r="I25" s="32">
        <f>SUMIFS(EGRESOS!$C$4:$C$593,EGRESOS!$A$4:$A$593,I$1,EGRESOS!$E$4:$E$593,GASTOS!A58)</f>
        <v>95</v>
      </c>
      <c r="J25" s="32">
        <f>SUMIFS(EGRESOS!$C$4:$C$593,EGRESOS!$A$4:$A$593,J$1,EGRESOS!$E$4:$E$593,GASTOS!A58)</f>
        <v>0</v>
      </c>
      <c r="K25" s="32">
        <f>SUMIFS(EGRESOS!$C$4:$C$593,EGRESOS!$A$4:$A$593,K$1,EGRESOS!$E$4:$E$593,GASTOS!A58)</f>
        <v>15</v>
      </c>
      <c r="L25" s="32">
        <f>SUMIFS(EGRESOS!$C$4:$C$593,EGRESOS!$A$4:$A$593,L$1,EGRESOS!$E$4:$E$593,GASTOS!A58)</f>
        <v>0</v>
      </c>
      <c r="M25" s="32">
        <f>SUMIFS(EGRESOS!$C$4:$C$593,EGRESOS!$A$4:$A$593,M$1,EGRESOS!$E$4:$E$593,GASTOS!A58)</f>
        <v>40</v>
      </c>
      <c r="N25" s="32">
        <f>SUMIFS(EGRESOS!$C$4:$C$593,EGRESOS!$A$4:$A$593,N$1,EGRESOS!$E$4:$E$593,GASTOS!A58)</f>
        <v>20</v>
      </c>
      <c r="O25" s="32">
        <f>SUMIFS(EGRESOS!$C$4:$C$593,EGRESOS!$A$4:$A$593,O$1,EGRESOS!$E$4:$E$593,GASTOS!A58)</f>
        <v>0</v>
      </c>
      <c r="P25" s="32">
        <f>SUMIFS(EGRESOS!$C$4:$C$593,EGRESOS!$A$4:$A$593,P$1,EGRESOS!$E$4:$E$593,GASTOS!A58)</f>
        <v>0</v>
      </c>
      <c r="Q25" s="32">
        <f>SUMIFS(EGRESOS!$C$4:$C$593,EGRESOS!$A$4:$A$593,Q$1,EGRESOS!$E$4:$E$593,GASTOS!A58)</f>
        <v>0</v>
      </c>
      <c r="R25" s="32">
        <f>SUMIFS(EGRESOS!$C$4:$C$593,EGRESOS!$A$4:$A$593,R$1,EGRESOS!$E$4:$E$593,GASTOS!A58)</f>
        <v>0</v>
      </c>
      <c r="S25" s="32">
        <f>SUMIFS(EGRESOS!$C$4:$C$593,EGRESOS!$A$4:$A$593,S$1,EGRESOS!$E$4:$E$593,GASTOS!A58)</f>
        <v>0</v>
      </c>
      <c r="T25" s="32">
        <f>SUMIFS(EGRESOS!$C$4:$C$593,EGRESOS!$A$4:$A$593,T$1,EGRESOS!$E$4:$E$593,GASTOS!A58)</f>
        <v>0</v>
      </c>
      <c r="U25" s="32">
        <f>SUMIFS(EGRESOS!$C$4:$C$593,EGRESOS!$A$4:$A$593,U$1,EGRESOS!$E$4:$E$593,GASTOS!A58)</f>
        <v>0</v>
      </c>
      <c r="V25" s="32">
        <f>SUMIFS(EGRESOS!$C$4:$C$593,EGRESOS!$A$4:$A$593,V$1,EGRESOS!$E$4:$E$593,GASTOS!A58)</f>
        <v>15</v>
      </c>
      <c r="W25" s="32">
        <f>SUMIFS(EGRESOS!$C$4:$C$593,EGRESOS!$A$4:$A$593,W$1,EGRESOS!$E$4:$E$593,GASTOS!A58)</f>
        <v>0</v>
      </c>
      <c r="X25" s="32">
        <f>SUMIFS(EGRESOS!$C$4:$C$593,EGRESOS!$A$4:$A$593,X$1,EGRESOS!$E$4:$E$593,GASTOS!A58)</f>
        <v>0</v>
      </c>
      <c r="Y25" s="32">
        <f>SUMIFS(EGRESOS!$C$4:$C$593,EGRESOS!$A$4:$A$593,Y$1,EGRESOS!$E$4:$E$593,GASTOS!A58)</f>
        <v>0</v>
      </c>
      <c r="Z25" s="32">
        <f>SUMIFS(EGRESOS!$C$4:$C$593,EGRESOS!$A$4:$A$593,Z$1,EGRESOS!$E$4:$E$593,GASTOS!A58)</f>
        <v>0</v>
      </c>
      <c r="AA25" s="32">
        <f>SUMIFS(EGRESOS!$C$4:$C$593,EGRESOS!$A$4:$A$593,AA$1,EGRESOS!$E$4:$E$593,GASTOS!A58)</f>
        <v>0</v>
      </c>
      <c r="AB25" s="32">
        <f>SUMIFS(EGRESOS!$C$4:$C$593,EGRESOS!$A$4:$A$593,AB$1,EGRESOS!$E$4:$E$593,GASTOS!A58)</f>
        <v>0</v>
      </c>
      <c r="AC25" s="32">
        <f>IF(PROPIETARIOS!E27&lt;&gt;"",SUMIFS(EGRESOS!$C$4:$C$593,EGRESOS!$A$4:$A$593,AC$1,EGRESOS!$E$4:$E$593,GASTOS!A58),0)</f>
        <v>76.5</v>
      </c>
      <c r="AD25" s="32">
        <f>IF(PROPIETARIOS!F34&lt;&gt;"",SUMIFS(EGRESOS!$C$4:$C$593,EGRESOS!$A$4:$A$593,AD$1,EGRESOS!$E$4:$E$593,GASTOS!A58),0)</f>
        <v>0</v>
      </c>
      <c r="AE25" s="32">
        <f>SUMIFS(EGRESOS!$C$4:$C$593,EGRESOS!$A$4:$A$593,AE$1,EGRESOS!$E$4:$E$593,GASTOS!$A$58)</f>
        <v>230</v>
      </c>
      <c r="AF25" s="25">
        <f>IF(PROPIETARIOS!H34&lt;&gt;"",SUMIFS(EGRESOS!$C$4:$C$593,EGRESOS!$A$4:$A$593,AF$1,EGRESOS!$E$4:$E$593,GASTOS!$A$58),0)</f>
        <v>0</v>
      </c>
      <c r="AG25" s="32">
        <f>IF(PROPIETARIOS!I27&lt;&gt;"",SUMIFS(EGRESOS!$C$4:$C$593,EGRESOS!$A$4:$A$593,AG$1,EGRESOS!$E$4:$E$593,GASTOS!A58),0)</f>
        <v>0</v>
      </c>
      <c r="AH25" s="32">
        <f>IF(PROPIETARIOS!J27&lt;&gt;"",SUMIFS(EGRESOS!$C$4:$C$593,EGRESOS!$A$4:$A$593,AH$1,EGRESOS!$E$4:$E$593,GASTOS!A58),0)</f>
        <v>0</v>
      </c>
      <c r="AI25" s="32">
        <f>IF(PROPIETARIOS!K27&lt;&gt;"",SUMIFS(EGRESOS!$C$4:$C$593,EGRESOS!$A$4:$A$593,AI$1,EGRESOS!$E$4:$E$593,GASTOS!A58),0)</f>
        <v>0</v>
      </c>
      <c r="AJ25" s="32">
        <f>SUMIFS(EGRESOS!$C$4:$C$593,EGRESOS!$A$4:$A$593,AJ$1,EGRESOS!$E$4:$E$593,GASTOS!A58)</f>
        <v>0</v>
      </c>
      <c r="AK25" s="32">
        <f>SUMIFS(EGRESOS!$C$4:$C$593,EGRESOS!$A$4:$A$593,AK$1,EGRESOS!$E$4:$E$593,GASTOS!A58)</f>
        <v>0</v>
      </c>
      <c r="AL25" s="32">
        <f>SUMIFS(EGRESOS!$C$4:$C$593,EGRESOS!$A$4:$A$593,AL$1,EGRESOS!$E$4:$E$593,GASTOS!A58)</f>
        <v>0</v>
      </c>
      <c r="AM25" s="32">
        <f>D25*$C$25%</f>
        <v>7.3440000000000003</v>
      </c>
      <c r="AN25" s="32">
        <f t="shared" ref="AN25:BK25" si="28">E25*$C$25%</f>
        <v>-3.4680000000000004</v>
      </c>
      <c r="AO25" s="32">
        <f t="shared" si="28"/>
        <v>3.8760000000000003</v>
      </c>
      <c r="AP25" s="32">
        <f t="shared" si="28"/>
        <v>0</v>
      </c>
      <c r="AQ25" s="32">
        <f t="shared" si="28"/>
        <v>6.5280000000000005</v>
      </c>
      <c r="AR25" s="32">
        <f t="shared" si="28"/>
        <v>3.8760000000000003</v>
      </c>
      <c r="AS25" s="32">
        <f t="shared" si="28"/>
        <v>0</v>
      </c>
      <c r="AT25" s="32">
        <f t="shared" si="28"/>
        <v>0.6120000000000001</v>
      </c>
      <c r="AU25" s="32">
        <f t="shared" si="28"/>
        <v>0</v>
      </c>
      <c r="AV25" s="32">
        <f t="shared" si="28"/>
        <v>1.6320000000000001</v>
      </c>
      <c r="AW25" s="32">
        <f t="shared" si="28"/>
        <v>0.81600000000000006</v>
      </c>
      <c r="AX25" s="32">
        <f t="shared" si="28"/>
        <v>0</v>
      </c>
      <c r="AY25" s="32">
        <f t="shared" si="28"/>
        <v>0</v>
      </c>
      <c r="AZ25" s="32">
        <f t="shared" si="28"/>
        <v>0</v>
      </c>
      <c r="BA25" s="32">
        <f t="shared" si="28"/>
        <v>0</v>
      </c>
      <c r="BB25" s="32">
        <f t="shared" si="28"/>
        <v>0</v>
      </c>
      <c r="BC25" s="32">
        <f t="shared" si="28"/>
        <v>0</v>
      </c>
      <c r="BD25" s="32">
        <f t="shared" si="28"/>
        <v>0</v>
      </c>
      <c r="BE25" s="32">
        <f t="shared" si="28"/>
        <v>0.6120000000000001</v>
      </c>
      <c r="BF25" s="32">
        <f t="shared" si="28"/>
        <v>0</v>
      </c>
      <c r="BG25" s="32">
        <f t="shared" si="28"/>
        <v>0</v>
      </c>
      <c r="BH25" s="32">
        <f t="shared" si="28"/>
        <v>0</v>
      </c>
      <c r="BI25" s="32">
        <f t="shared" si="28"/>
        <v>0</v>
      </c>
      <c r="BJ25" s="32">
        <f t="shared" si="28"/>
        <v>0</v>
      </c>
      <c r="BK25" s="32">
        <f t="shared" si="28"/>
        <v>0</v>
      </c>
      <c r="BL25" s="32">
        <f t="shared" si="5"/>
        <v>3.1212000000000004</v>
      </c>
      <c r="BM25" s="32">
        <f>IFERROR(AD25/COUNTIF(PROPIETARIOS!$F$4:$F$38,"GNC02"),0)</f>
        <v>0</v>
      </c>
      <c r="BN25" s="32">
        <f>IFERROR(AE25/COUNTIF(PROPIETARIOS!$G$4:$G$38,"GNC03"),0)</f>
        <v>6.5714285714285712</v>
      </c>
      <c r="BO25" s="32">
        <f>IFERROR(AF25/COUNTIF(PROPIETARIOS!$H$4:$H$38,"GNC04"),0)</f>
        <v>0</v>
      </c>
      <c r="BP25" s="32">
        <f>IFERROR(AG25/COUNTIF(PROPIETARIOS!$I$4:$I$38,"GNC05"),0)</f>
        <v>0</v>
      </c>
      <c r="BQ25" s="32">
        <v>0</v>
      </c>
      <c r="BR25" s="32">
        <v>0</v>
      </c>
      <c r="BS25" s="204">
        <f t="shared" si="1"/>
        <v>841.5</v>
      </c>
      <c r="BT25" s="204">
        <f t="shared" si="2"/>
        <v>31.520628571428574</v>
      </c>
      <c r="BU25" s="33" t="s">
        <v>267</v>
      </c>
      <c r="BV25" s="34">
        <f t="shared" ca="1" si="3"/>
        <v>46209</v>
      </c>
      <c r="BW25" s="30">
        <v>0</v>
      </c>
      <c r="BX25" s="36">
        <f>Hoja6!FR27</f>
        <v>0</v>
      </c>
      <c r="BY25" s="30" t="str">
        <f t="shared" si="6"/>
        <v>4,08</v>
      </c>
      <c r="BZ25" s="27" t="s">
        <v>425</v>
      </c>
      <c r="CA25" s="28" t="str">
        <f>convertirnum(Tabla1[[#This Row],[TOTALAL]])</f>
        <v>TREINTA Y UNO CON 52/100 DÓLARES</v>
      </c>
      <c r="CB25" s="28">
        <f>5%*Hoja6!FT27</f>
        <v>0</v>
      </c>
      <c r="CC25" s="192">
        <f>IF(Tabla1[[#This Row],[DEUDA]]&gt;0,Hoja6!HL27,0)</f>
        <v>0</v>
      </c>
      <c r="CD25" s="28">
        <f>Hoja6!HM27</f>
        <v>0</v>
      </c>
      <c r="CE25" s="200">
        <f>IF(Tabla1[[#This Row],[DEUDA]]&gt;0,Hoja6!FT27,0)</f>
        <v>0</v>
      </c>
      <c r="CF25" s="28" t="str">
        <f>"_"&amp;Tabla1[[#This Row],[APTO-LOCAL-OFIC.]]&amp;" "&amp;Tabla1[[#This Row],[PROPIETARIO]]&amp;"-"</f>
        <v>_LOCAL 2 ODONTOIMAGEN CAGUA C.A.-</v>
      </c>
    </row>
    <row r="26" spans="1:86" ht="18" customHeight="1">
      <c r="A26" s="22" t="s">
        <v>268</v>
      </c>
      <c r="B26" s="23" t="s">
        <v>67</v>
      </c>
      <c r="C26" s="23">
        <v>2.4500000000000002</v>
      </c>
      <c r="D26" s="25">
        <f>SUMIFS(EGRESOS!$C$4:$C$593,EGRESOS!$A$4:$A$593,D$1,EGRESOS!$E$4:$E$593,GASTOS!A58)</f>
        <v>180</v>
      </c>
      <c r="E26" s="25">
        <f>SUMIFS(EGRESOS!$C$4:$C$593,EGRESOS!$A$4:$A$593,E$1,EGRESOS!$E$4:$E$593,GASTOS!A58)</f>
        <v>-85</v>
      </c>
      <c r="F26" s="25">
        <f>SUMIFS(EGRESOS!$C$4:$C$593,EGRESOS!$A$4:$A$593,F$1,EGRESOS!$E$4:$E$593,GASTOS!A58)</f>
        <v>95</v>
      </c>
      <c r="G26" s="25">
        <f>SUMIFS(EGRESOS!$C$4:$C$593,EGRESOS!$A$4:$A$593,G$1,EGRESOS!$E$4:$E$593,GASTOS!A58)</f>
        <v>0</v>
      </c>
      <c r="H26" s="25">
        <f>SUMIFS(EGRESOS!$C$4:$C$593,EGRESOS!$A$4:$A$593,H$1,EGRESOS!$E$4:$E$593,GASTOS!A58)</f>
        <v>160</v>
      </c>
      <c r="I26" s="25">
        <f>SUMIFS(EGRESOS!$C$4:$C$593,EGRESOS!$A$4:$A$593,I$1,EGRESOS!$E$4:$E$593,GASTOS!A58)</f>
        <v>95</v>
      </c>
      <c r="J26" s="25">
        <f>SUMIFS(EGRESOS!$C$4:$C$593,EGRESOS!$A$4:$A$593,J$1,EGRESOS!$E$4:$E$593,GASTOS!A58)</f>
        <v>0</v>
      </c>
      <c r="K26" s="25">
        <f>SUMIFS(EGRESOS!$C$4:$C$593,EGRESOS!$A$4:$A$593,K$1,EGRESOS!$E$4:$E$593,GASTOS!A58)</f>
        <v>15</v>
      </c>
      <c r="L26" s="25">
        <f>SUMIFS(EGRESOS!$C$4:$C$593,EGRESOS!$A$4:$A$593,L$1,EGRESOS!$E$4:$E$593,GASTOS!A58)</f>
        <v>0</v>
      </c>
      <c r="M26" s="25">
        <f>SUMIFS(EGRESOS!$C$4:$C$593,EGRESOS!$A$4:$A$593,M$1,EGRESOS!$E$4:$E$593,GASTOS!A58)</f>
        <v>40</v>
      </c>
      <c r="N26" s="25">
        <f>SUMIFS(EGRESOS!$C$4:$C$593,EGRESOS!$A$4:$A$593,N$1,EGRESOS!$E$4:$E$593,GASTOS!A58)</f>
        <v>20</v>
      </c>
      <c r="O26" s="25">
        <f>SUMIFS(EGRESOS!$C$4:$C$593,EGRESOS!$A$4:$A$593,O$1,EGRESOS!$E$4:$E$593,GASTOS!A58)</f>
        <v>0</v>
      </c>
      <c r="P26" s="25">
        <f>SUMIFS(EGRESOS!$C$4:$C$593,EGRESOS!$A$4:$A$593,P$1,EGRESOS!$E$4:$E$593,GASTOS!A58)</f>
        <v>0</v>
      </c>
      <c r="Q26" s="25">
        <f>SUMIFS(EGRESOS!$C$4:$C$593,EGRESOS!$A$4:$A$593,Q$1,EGRESOS!$E$4:$E$593,GASTOS!A58)</f>
        <v>0</v>
      </c>
      <c r="R26" s="25">
        <f>SUMIFS(EGRESOS!$C$4:$C$593,EGRESOS!$A$4:$A$593,R$1,EGRESOS!$E$4:$E$593,GASTOS!A58)</f>
        <v>0</v>
      </c>
      <c r="S26" s="25">
        <f>SUMIFS(EGRESOS!$C$4:$C$593,EGRESOS!$A$4:$A$593,S$1,EGRESOS!$E$4:$E$593,GASTOS!A58)</f>
        <v>0</v>
      </c>
      <c r="T26" s="25">
        <f>SUMIFS(EGRESOS!$C$4:$C$593,EGRESOS!$A$4:$A$593,T$1,EGRESOS!$E$4:$E$593,GASTOS!A58)</f>
        <v>0</v>
      </c>
      <c r="U26" s="25">
        <f>SUMIFS(EGRESOS!$C$4:$C$593,EGRESOS!$A$4:$A$593,U$1,EGRESOS!$E$4:$E$593,GASTOS!A58)</f>
        <v>0</v>
      </c>
      <c r="V26" s="25">
        <f>SUMIFS(EGRESOS!$C$4:$C$593,EGRESOS!$A$4:$A$593,V$1,EGRESOS!$E$4:$E$593,GASTOS!A58)</f>
        <v>15</v>
      </c>
      <c r="W26" s="25">
        <f>SUMIFS(EGRESOS!$C$4:$C$593,EGRESOS!$A$4:$A$593,W$1,EGRESOS!$E$4:$E$593,GASTOS!A58)</f>
        <v>0</v>
      </c>
      <c r="X26" s="25">
        <f>SUMIFS(EGRESOS!$C$4:$C$593,EGRESOS!$A$4:$A$593,X$1,EGRESOS!$E$4:$E$593,GASTOS!A58)</f>
        <v>0</v>
      </c>
      <c r="Y26" s="25">
        <f>SUMIFS(EGRESOS!$C$4:$C$593,EGRESOS!$A$4:$A$593,Y$1,EGRESOS!$E$4:$E$593,GASTOS!A58)</f>
        <v>0</v>
      </c>
      <c r="Z26" s="25">
        <f>SUMIFS(EGRESOS!$C$4:$C$593,EGRESOS!$A$4:$A$593,Z$1,EGRESOS!$E$4:$E$593,GASTOS!A58)</f>
        <v>0</v>
      </c>
      <c r="AA26" s="25">
        <f>SUMIFS(EGRESOS!$C$4:$C$593,EGRESOS!$A$4:$A$593,AA$1,EGRESOS!$E$4:$E$593,GASTOS!A58)</f>
        <v>0</v>
      </c>
      <c r="AB26" s="25">
        <f>SUMIFS(EGRESOS!$C$4:$C$593,EGRESOS!$A$4:$A$593,AB$1,EGRESOS!$E$4:$E$593,GASTOS!A58)</f>
        <v>0</v>
      </c>
      <c r="AC26" s="25">
        <f>IF(PROPIETARIOS!E28&lt;&gt;"",SUMIFS(EGRESOS!$C$4:$C$593,EGRESOS!$A$4:$A$593,AC$1,EGRESOS!$E$4:$E$593,GASTOS!A58),0)</f>
        <v>76.5</v>
      </c>
      <c r="AD26" s="25">
        <f>IF(PROPIETARIOS!F35&lt;&gt;"",SUMIFS(EGRESOS!$C$4:$C$593,EGRESOS!$A$4:$A$593,AD$1,EGRESOS!$E$4:$E$593,GASTOS!A58),0)</f>
        <v>0</v>
      </c>
      <c r="AE26" s="25">
        <f>SUMIFS(EGRESOS!$C$4:$C$593,EGRESOS!$A$4:$A$593,AE$1,EGRESOS!$E$4:$E$593,GASTOS!$A$58)</f>
        <v>230</v>
      </c>
      <c r="AF26" s="25">
        <f>IF(PROPIETARIOS!H35&lt;&gt;"",SUMIFS(EGRESOS!$C$4:$C$593,EGRESOS!$A$4:$A$593,AF$1,EGRESOS!$E$4:$E$593,GASTOS!$A$58),0)</f>
        <v>2</v>
      </c>
      <c r="AG26" s="25">
        <f>IF(PROPIETARIOS!I35&lt;&gt;"",SUMIFS(EGRESOS!$C$4:$C$593,EGRESOS!$A$4:$A$593,AG$1,EGRESOS!$E$4:$E$593,GASTOS!A58),0)</f>
        <v>0</v>
      </c>
      <c r="AH26" s="25">
        <f>IF(PROPIETARIOS!J28&lt;&gt;"",SUMIFS(EGRESOS!$C$4:$C$593,EGRESOS!$A$4:$A$593,AH$1,EGRESOS!$E$4:$E$593,GASTOS!A58),0)</f>
        <v>0</v>
      </c>
      <c r="AI26" s="25">
        <f>IF(PROPIETARIOS!K28&lt;&gt;"",SUMIFS(EGRESOS!$C$4:$C$593,EGRESOS!$A$4:$A$593,AI$1,EGRESOS!$E$4:$E$593,GASTOS!A58),0)</f>
        <v>0</v>
      </c>
      <c r="AJ26" s="25">
        <f>SUMIFS(EGRESOS!$C$4:$C$593,EGRESOS!$A$4:$A$593,AJ$1,EGRESOS!$E$4:$E$593,GASTOS!A58)</f>
        <v>0</v>
      </c>
      <c r="AK26" s="25">
        <f>SUMIFS(EGRESOS!$C$4:$C$593,EGRESOS!$A$4:$A$593,AK$1,EGRESOS!$E$4:$E$593,GASTOS!A58)</f>
        <v>0</v>
      </c>
      <c r="AL26" s="25">
        <f>SUMIFS(EGRESOS!$C$4:$C$593,EGRESOS!$A$4:$A$593,AL$1,EGRESOS!$E$4:$E$593,GASTOS!A58)</f>
        <v>0</v>
      </c>
      <c r="AM26" s="25">
        <f>D26*$C$26%</f>
        <v>4.41</v>
      </c>
      <c r="AN26" s="25">
        <f t="shared" ref="AN26:BK26" si="29">E26*$C$26%</f>
        <v>-2.0825</v>
      </c>
      <c r="AO26" s="25">
        <f t="shared" si="29"/>
        <v>2.3275000000000001</v>
      </c>
      <c r="AP26" s="25">
        <f t="shared" si="29"/>
        <v>0</v>
      </c>
      <c r="AQ26" s="25">
        <f t="shared" si="29"/>
        <v>3.92</v>
      </c>
      <c r="AR26" s="25">
        <f t="shared" si="29"/>
        <v>2.3275000000000001</v>
      </c>
      <c r="AS26" s="25">
        <f t="shared" si="29"/>
        <v>0</v>
      </c>
      <c r="AT26" s="25">
        <f t="shared" si="29"/>
        <v>0.36749999999999999</v>
      </c>
      <c r="AU26" s="25">
        <f t="shared" si="29"/>
        <v>0</v>
      </c>
      <c r="AV26" s="25">
        <f t="shared" si="29"/>
        <v>0.98</v>
      </c>
      <c r="AW26" s="25">
        <f t="shared" si="29"/>
        <v>0.49</v>
      </c>
      <c r="AX26" s="25">
        <f t="shared" si="29"/>
        <v>0</v>
      </c>
      <c r="AY26" s="25">
        <f t="shared" si="29"/>
        <v>0</v>
      </c>
      <c r="AZ26" s="25">
        <f t="shared" si="29"/>
        <v>0</v>
      </c>
      <c r="BA26" s="25">
        <f t="shared" si="29"/>
        <v>0</v>
      </c>
      <c r="BB26" s="25">
        <f t="shared" si="29"/>
        <v>0</v>
      </c>
      <c r="BC26" s="25">
        <f t="shared" si="29"/>
        <v>0</v>
      </c>
      <c r="BD26" s="25">
        <f t="shared" si="29"/>
        <v>0</v>
      </c>
      <c r="BE26" s="25">
        <f t="shared" si="29"/>
        <v>0.36749999999999999</v>
      </c>
      <c r="BF26" s="25">
        <f t="shared" si="29"/>
        <v>0</v>
      </c>
      <c r="BG26" s="25">
        <f t="shared" si="29"/>
        <v>0</v>
      </c>
      <c r="BH26" s="25">
        <f t="shared" si="29"/>
        <v>0</v>
      </c>
      <c r="BI26" s="25">
        <f t="shared" si="29"/>
        <v>0</v>
      </c>
      <c r="BJ26" s="25">
        <f t="shared" si="29"/>
        <v>0</v>
      </c>
      <c r="BK26" s="25">
        <f t="shared" si="29"/>
        <v>0</v>
      </c>
      <c r="BL26" s="25">
        <f t="shared" si="5"/>
        <v>1.87425</v>
      </c>
      <c r="BM26" s="25">
        <f>IFERROR(AD26/COUNTIF(PROPIETARIOS!$F$4:$F$38,"GNC02"),0)</f>
        <v>0</v>
      </c>
      <c r="BN26" s="25">
        <f>IFERROR(AE26/COUNTIF(PROPIETARIOS!$G$4:$G$38,"GNC03"),0)</f>
        <v>6.5714285714285712</v>
      </c>
      <c r="BO26" s="25">
        <f>IFERROR(AF26/COUNTIF(PROPIETARIOS!$H$4:$H$38,"GNC04"),0)</f>
        <v>0.5</v>
      </c>
      <c r="BP26" s="25">
        <f>IFERROR(AG26/COUNTIF(PROPIETARIOS!$I$4:$I$38,"GNC05"),0)</f>
        <v>0</v>
      </c>
      <c r="BQ26" s="25">
        <v>0</v>
      </c>
      <c r="BR26" s="32">
        <v>0</v>
      </c>
      <c r="BS26" s="203">
        <f t="shared" si="1"/>
        <v>843.5</v>
      </c>
      <c r="BT26" s="203">
        <f t="shared" si="2"/>
        <v>22.053178571428571</v>
      </c>
      <c r="BU26" s="26"/>
      <c r="BV26" s="34">
        <f t="shared" ca="1" si="3"/>
        <v>46209</v>
      </c>
      <c r="BW26" s="23">
        <v>0</v>
      </c>
      <c r="BX26" s="36">
        <f>Hoja6!FR28</f>
        <v>103.38885714285713</v>
      </c>
      <c r="BY26" s="23" t="str">
        <f t="shared" si="6"/>
        <v>2,45</v>
      </c>
      <c r="BZ26" s="27" t="s">
        <v>425</v>
      </c>
      <c r="CA26" s="28" t="str">
        <f>convertirnum(Tabla1[[#This Row],[TOTALAL]])</f>
        <v>VEINTIDOS CON 05/100 DÓLARES</v>
      </c>
      <c r="CB26" s="28">
        <f>5%*Hoja6!FT28</f>
        <v>0.2</v>
      </c>
      <c r="CC26" s="192">
        <f>IF(Tabla1[[#This Row],[DEUDA]]&gt;0,Hoja6!HL28,0)</f>
        <v>0.64116035714285713</v>
      </c>
      <c r="CD26" s="28">
        <f>Hoja6!HM28</f>
        <v>104.03001749999999</v>
      </c>
      <c r="CE26" s="200">
        <f>IF(Tabla1[[#This Row],[DEUDA]]&gt;0,Hoja6!FT28,0)</f>
        <v>4</v>
      </c>
      <c r="CF26" s="28" t="str">
        <f>"_"&amp;Tabla1[[#This Row],[APTO-LOCAL-OFIC.]]&amp;" "&amp;Tabla1[[#This Row],[PROPIETARIO]]&amp;"-"</f>
        <v>_LOCAL 3 MANUEL CLEMENTE-</v>
      </c>
    </row>
    <row r="27" spans="1:86" ht="18" customHeight="1">
      <c r="A27" s="29" t="s">
        <v>270</v>
      </c>
      <c r="B27" s="30" t="s">
        <v>571</v>
      </c>
      <c r="C27" s="30">
        <v>3.41</v>
      </c>
      <c r="D27" s="32">
        <f>SUMIFS(EGRESOS!$C$4:$C$593,EGRESOS!$A$4:$A$593,D$1,EGRESOS!$E$4:$E$593,GASTOS!A58)</f>
        <v>180</v>
      </c>
      <c r="E27" s="32">
        <f>SUMIFS(EGRESOS!$C$4:$C$593,EGRESOS!$A$4:$A$593,E$1,EGRESOS!$E$4:$E$593,GASTOS!A58)</f>
        <v>-85</v>
      </c>
      <c r="F27" s="32">
        <f>SUMIFS(EGRESOS!$C$4:$C$593,EGRESOS!$A$4:$A$593,F$1,EGRESOS!$E$4:$E$593,GASTOS!A58)</f>
        <v>95</v>
      </c>
      <c r="G27" s="32">
        <f>SUMIFS(EGRESOS!$C$4:$C$593,EGRESOS!$A$4:$A$593,G$1,EGRESOS!$E$4:$E$593,GASTOS!A58)</f>
        <v>0</v>
      </c>
      <c r="H27" s="32">
        <f>SUMIFS(EGRESOS!$C$4:$C$593,EGRESOS!$A$4:$A$593,H$1,EGRESOS!$E$4:$E$593,GASTOS!A58)</f>
        <v>160</v>
      </c>
      <c r="I27" s="32">
        <f>SUMIFS(EGRESOS!$C$4:$C$593,EGRESOS!$A$4:$A$593,I$1,EGRESOS!$E$4:$E$593,GASTOS!A58)</f>
        <v>95</v>
      </c>
      <c r="J27" s="32">
        <f>SUMIFS(EGRESOS!$C$4:$C$593,EGRESOS!$A$4:$A$593,J$1,EGRESOS!$E$4:$E$593,GASTOS!A58)</f>
        <v>0</v>
      </c>
      <c r="K27" s="32">
        <f>SUMIFS(EGRESOS!$C$4:$C$593,EGRESOS!$A$4:$A$593,K$1,EGRESOS!$E$4:$E$593,GASTOS!A58)</f>
        <v>15</v>
      </c>
      <c r="L27" s="32">
        <f>SUMIFS(EGRESOS!$C$4:$C$593,EGRESOS!$A$4:$A$593,L$1,EGRESOS!$E$4:$E$593,GASTOS!A58)</f>
        <v>0</v>
      </c>
      <c r="M27" s="32">
        <f>SUMIFS(EGRESOS!$C$4:$C$593,EGRESOS!$A$4:$A$593,M$1,EGRESOS!$E$4:$E$593,GASTOS!A58)</f>
        <v>40</v>
      </c>
      <c r="N27" s="32">
        <f>SUMIFS(EGRESOS!$C$4:$C$593,EGRESOS!$A$4:$A$593,N$1,EGRESOS!$E$4:$E$593,GASTOS!A58)</f>
        <v>20</v>
      </c>
      <c r="O27" s="32">
        <f>SUMIFS(EGRESOS!$C$4:$C$593,EGRESOS!$A$4:$A$593,O$1,EGRESOS!$E$4:$E$593,GASTOS!A58)</f>
        <v>0</v>
      </c>
      <c r="P27" s="32">
        <f>SUMIFS(EGRESOS!$C$4:$C$593,EGRESOS!$A$4:$A$593,P$1,EGRESOS!$E$4:$E$593,GASTOS!A58)</f>
        <v>0</v>
      </c>
      <c r="Q27" s="32">
        <f>SUMIFS(EGRESOS!$C$4:$C$593,EGRESOS!$A$4:$A$593,Q$1,EGRESOS!$E$4:$E$593,GASTOS!A58)</f>
        <v>0</v>
      </c>
      <c r="R27" s="32">
        <f>SUMIFS(EGRESOS!$C$4:$C$593,EGRESOS!$A$4:$A$593,R$1,EGRESOS!$E$4:$E$593,GASTOS!A58)</f>
        <v>0</v>
      </c>
      <c r="S27" s="32">
        <f>SUMIFS(EGRESOS!$C$4:$C$593,EGRESOS!$A$4:$A$593,S$1,EGRESOS!$E$4:$E$593,GASTOS!A58)</f>
        <v>0</v>
      </c>
      <c r="T27" s="32">
        <f>SUMIFS(EGRESOS!$C$4:$C$593,EGRESOS!$A$4:$A$593,T$1,EGRESOS!$E$4:$E$593,GASTOS!A58)</f>
        <v>0</v>
      </c>
      <c r="U27" s="32">
        <f>SUMIFS(EGRESOS!$C$4:$C$593,EGRESOS!$A$4:$A$593,U$1,EGRESOS!$E$4:$E$593,GASTOS!A58)</f>
        <v>0</v>
      </c>
      <c r="V27" s="32">
        <f>SUMIFS(EGRESOS!$C$4:$C$593,EGRESOS!$A$4:$A$593,V$1,EGRESOS!$E$4:$E$593,GASTOS!A58)</f>
        <v>15</v>
      </c>
      <c r="W27" s="32">
        <f>SUMIFS(EGRESOS!$C$4:$C$593,EGRESOS!$A$4:$A$593,W$1,EGRESOS!$E$4:$E$593,GASTOS!A58)</f>
        <v>0</v>
      </c>
      <c r="X27" s="32">
        <f>SUMIFS(EGRESOS!$C$4:$C$593,EGRESOS!$A$4:$A$593,X$1,EGRESOS!$E$4:$E$593,GASTOS!A58)</f>
        <v>0</v>
      </c>
      <c r="Y27" s="32">
        <f>SUMIFS(EGRESOS!$C$4:$C$593,EGRESOS!$A$4:$A$593,Y$1,EGRESOS!$E$4:$E$593,GASTOS!A58)</f>
        <v>0</v>
      </c>
      <c r="Z27" s="32">
        <f>SUMIFS(EGRESOS!$C$4:$C$593,EGRESOS!$A$4:$A$593,Z$1,EGRESOS!$E$4:$E$593,GASTOS!A58)</f>
        <v>0</v>
      </c>
      <c r="AA27" s="32">
        <f>SUMIFS(EGRESOS!$C$4:$C$593,EGRESOS!$A$4:$A$593,AA$1,EGRESOS!$E$4:$E$593,GASTOS!A58)</f>
        <v>0</v>
      </c>
      <c r="AB27" s="32">
        <f>SUMIFS(EGRESOS!$C$4:$C$593,EGRESOS!$A$4:$A$593,AB$1,EGRESOS!$E$4:$E$593,GASTOS!A58)</f>
        <v>0</v>
      </c>
      <c r="AC27" s="32">
        <f>IF(PROPIETARIOS!E29&lt;&gt;"",SUMIFS(EGRESOS!$C$4:$C$593,EGRESOS!$A$4:$A$593,AC$1,EGRESOS!$E$4:$E$593,GASTOS!A58),0)</f>
        <v>76.5</v>
      </c>
      <c r="AD27" s="32">
        <f>IF(PROPIETARIOS!F36&lt;&gt;"",SUMIFS(EGRESOS!$C$4:$C$593,EGRESOS!$A$4:$A$593,AD$1,EGRESOS!$E$4:$E$593,GASTOS!A58),0)</f>
        <v>0</v>
      </c>
      <c r="AE27" s="32">
        <f>SUMIFS(EGRESOS!$C$4:$C$593,EGRESOS!$A$4:$A$593,AE$1,EGRESOS!$E$4:$E$593,GASTOS!$A$58)</f>
        <v>230</v>
      </c>
      <c r="AF27" s="25">
        <f>IF(PROPIETARIOS!H36&lt;&gt;"",SUMIFS(EGRESOS!$C$4:$C$593,EGRESOS!$A$4:$A$593,AF$1,EGRESOS!$E$4:$E$593,GASTOS!$A$58),0)</f>
        <v>2</v>
      </c>
      <c r="AG27" s="32">
        <f>IF(PROPIETARIOS!I36&lt;&gt;"",SUMIFS(EGRESOS!$C$4:$C$593,EGRESOS!$A$4:$A$593,AG$1,EGRESOS!$E$4:$E$593,GASTOS!A58),0)</f>
        <v>0</v>
      </c>
      <c r="AH27" s="32">
        <f>IF(PROPIETARIOS!J29&lt;&gt;"",SUMIFS(EGRESOS!$C$4:$C$593,EGRESOS!$A$4:$A$593,AH$1,EGRESOS!$E$4:$E$593,GASTOS!A58),0)</f>
        <v>0</v>
      </c>
      <c r="AI27" s="32">
        <f>IF(PROPIETARIOS!K29&lt;&gt;"",SUMIFS(EGRESOS!$C$4:$C$593,EGRESOS!$A$4:$A$593,AI$1,EGRESOS!$E$4:$E$593,GASTOS!A58),0)</f>
        <v>0</v>
      </c>
      <c r="AJ27" s="32">
        <f>SUMIFS(EGRESOS!$C$4:$C$593,EGRESOS!$A$4:$A$593,AJ$1,EGRESOS!$E$4:$E$593,GASTOS!A58)</f>
        <v>0</v>
      </c>
      <c r="AK27" s="32">
        <f>SUMIFS(EGRESOS!$C$4:$C$593,EGRESOS!$A$4:$A$593,AK$1,EGRESOS!$E$4:$E$593,GASTOS!A58)</f>
        <v>0</v>
      </c>
      <c r="AL27" s="32">
        <f>SUMIFS(EGRESOS!$C$4:$C$593,EGRESOS!$A$4:$A$593,AL$1,EGRESOS!$E$4:$E$593,GASTOS!A58)</f>
        <v>0</v>
      </c>
      <c r="AM27" s="32">
        <f>D27*$C$27%</f>
        <v>6.1379999999999999</v>
      </c>
      <c r="AN27" s="32">
        <f t="shared" ref="AN27:BK27" si="30">E27*$C$27%</f>
        <v>-2.8984999999999999</v>
      </c>
      <c r="AO27" s="32">
        <f t="shared" si="30"/>
        <v>3.2395</v>
      </c>
      <c r="AP27" s="32">
        <f t="shared" si="30"/>
        <v>0</v>
      </c>
      <c r="AQ27" s="32">
        <f t="shared" si="30"/>
        <v>5.4559999999999995</v>
      </c>
      <c r="AR27" s="32">
        <f>I27*$C$27%</f>
        <v>3.2395</v>
      </c>
      <c r="AS27" s="32">
        <f t="shared" si="30"/>
        <v>0</v>
      </c>
      <c r="AT27" s="32">
        <f t="shared" si="30"/>
        <v>0.51149999999999995</v>
      </c>
      <c r="AU27" s="32">
        <f t="shared" si="30"/>
        <v>0</v>
      </c>
      <c r="AV27" s="32">
        <f t="shared" si="30"/>
        <v>1.3639999999999999</v>
      </c>
      <c r="AW27" s="32">
        <f t="shared" si="30"/>
        <v>0.68199999999999994</v>
      </c>
      <c r="AX27" s="32">
        <f t="shared" si="30"/>
        <v>0</v>
      </c>
      <c r="AY27" s="32">
        <f t="shared" si="30"/>
        <v>0</v>
      </c>
      <c r="AZ27" s="32">
        <f t="shared" si="30"/>
        <v>0</v>
      </c>
      <c r="BA27" s="32">
        <f t="shared" si="30"/>
        <v>0</v>
      </c>
      <c r="BB27" s="32">
        <f t="shared" si="30"/>
        <v>0</v>
      </c>
      <c r="BC27" s="32">
        <f t="shared" si="30"/>
        <v>0</v>
      </c>
      <c r="BD27" s="32">
        <f t="shared" si="30"/>
        <v>0</v>
      </c>
      <c r="BE27" s="32">
        <f t="shared" si="30"/>
        <v>0.51149999999999995</v>
      </c>
      <c r="BF27" s="32">
        <f t="shared" si="30"/>
        <v>0</v>
      </c>
      <c r="BG27" s="32">
        <f t="shared" si="30"/>
        <v>0</v>
      </c>
      <c r="BH27" s="32">
        <f t="shared" si="30"/>
        <v>0</v>
      </c>
      <c r="BI27" s="32">
        <f t="shared" si="30"/>
        <v>0</v>
      </c>
      <c r="BJ27" s="32">
        <f t="shared" si="30"/>
        <v>0</v>
      </c>
      <c r="BK27" s="32">
        <f t="shared" si="30"/>
        <v>0</v>
      </c>
      <c r="BL27" s="32">
        <f t="shared" si="5"/>
        <v>2.6086499999999999</v>
      </c>
      <c r="BM27" s="32">
        <f>IFERROR(AD27/COUNTIF(PROPIETARIOS!$F$4:$F$38,"GNC02"),0)</f>
        <v>0</v>
      </c>
      <c r="BN27" s="32">
        <f>IFERROR(AE27/COUNTIF(PROPIETARIOS!$G$4:$G$38,"GNC03"),0)</f>
        <v>6.5714285714285712</v>
      </c>
      <c r="BO27" s="32">
        <f>IFERROR(AF27/COUNTIF(PROPIETARIOS!$H$4:$H$38,"GNC04"),0)</f>
        <v>0.5</v>
      </c>
      <c r="BP27" s="32">
        <f>IFERROR(AG27/COUNTIF(PROPIETARIOS!$I$4:$I$38,"GNC05"),0)</f>
        <v>0</v>
      </c>
      <c r="BQ27" s="32">
        <v>0</v>
      </c>
      <c r="BR27" s="32">
        <v>0</v>
      </c>
      <c r="BS27" s="204">
        <f t="shared" si="1"/>
        <v>843.5</v>
      </c>
      <c r="BT27" s="204">
        <f t="shared" si="2"/>
        <v>27.923578571428568</v>
      </c>
      <c r="BU27" s="33" t="s">
        <v>595</v>
      </c>
      <c r="BV27" s="34">
        <f ca="1">TODAY()-15</f>
        <v>46209</v>
      </c>
      <c r="BW27" s="30">
        <v>0</v>
      </c>
      <c r="BX27" s="36">
        <f>Hoja6!FR29</f>
        <v>67.722228571428559</v>
      </c>
      <c r="BY27" s="30" t="str">
        <f t="shared" si="6"/>
        <v>3,41</v>
      </c>
      <c r="BZ27" s="27" t="s">
        <v>425</v>
      </c>
      <c r="CA27" s="28" t="str">
        <f>convertirnum(Tabla1[[#This Row],[TOTALAL]])</f>
        <v>VEINTISIETE CON 92/100 DÓLARES</v>
      </c>
      <c r="CB27" s="28">
        <f>5%*Hoja6!FT29</f>
        <v>0.1</v>
      </c>
      <c r="CC27" s="192">
        <f>IF(Tabla1[[#This Row],[DEUDA]]&gt;0,Hoja6!HL29,0)</f>
        <v>0.2594143571428571</v>
      </c>
      <c r="CD27" s="28">
        <f>Hoja6!HM29</f>
        <v>67.981642928571418</v>
      </c>
      <c r="CE27" s="200">
        <f>IF(Tabla1[[#This Row],[DEUDA]]&gt;0,Hoja6!FT29,0)</f>
        <v>2</v>
      </c>
      <c r="CF27" s="28" t="str">
        <f>"_"&amp;Tabla1[[#This Row],[APTO-LOCAL-OFIC.]]&amp;" "&amp;Tabla1[[#This Row],[PROPIETARIO]]&amp;"-"</f>
        <v>_LOCAL 4 OSMARY BRICEÑO-</v>
      </c>
    </row>
    <row r="28" spans="1:86" ht="22.5" customHeight="1" thickBot="1">
      <c r="A28" s="22" t="s">
        <v>272</v>
      </c>
      <c r="B28" s="190" t="s">
        <v>566</v>
      </c>
      <c r="C28" s="37">
        <v>14.83</v>
      </c>
      <c r="D28" s="25">
        <f>SUMIFS(EGRESOS!$C$4:$C$593,EGRESOS!$A$4:$A$593,D$1,EGRESOS!$E$4:$E$593,GASTOS!A58)</f>
        <v>180</v>
      </c>
      <c r="E28" s="25">
        <f>SUMIFS(EGRESOS!$C$4:$C$593,EGRESOS!$A$4:$A$593,E$1,EGRESOS!$E$4:$E$593,GASTOS!A58)</f>
        <v>-85</v>
      </c>
      <c r="F28" s="25">
        <f>SUMIFS(EGRESOS!$C$4:$C$593,EGRESOS!$A$4:$A$593,F$1,EGRESOS!$E$4:$E$593,GASTOS!A58)</f>
        <v>95</v>
      </c>
      <c r="G28" s="25">
        <f>SUMIFS(EGRESOS!$C$4:$C$593,EGRESOS!$A$4:$A$593,G$1,EGRESOS!$E$4:$E$593,GASTOS!A58)</f>
        <v>0</v>
      </c>
      <c r="H28" s="25">
        <f>SUMIFS(EGRESOS!$C$4:$C$593,EGRESOS!$A$4:$A$593,H$1,EGRESOS!$E$4:$E$593,GASTOS!A58)</f>
        <v>160</v>
      </c>
      <c r="I28" s="25">
        <f>SUMIFS(EGRESOS!$C$4:$C$593,EGRESOS!$A$4:$A$593,I$1,EGRESOS!$E$4:$E$593,GASTOS!A58)</f>
        <v>95</v>
      </c>
      <c r="J28" s="25">
        <f>SUMIFS(EGRESOS!$C$4:$C$593,EGRESOS!$A$4:$A$593,J$1,EGRESOS!$E$4:$E$593,GASTOS!A58)</f>
        <v>0</v>
      </c>
      <c r="K28" s="25">
        <f>SUMIFS(EGRESOS!$C$4:$C$593,EGRESOS!$A$4:$A$593,K$1,EGRESOS!$E$4:$E$593,GASTOS!A58)</f>
        <v>15</v>
      </c>
      <c r="L28" s="25">
        <f>SUMIFS(EGRESOS!$C$4:$C$593,EGRESOS!$A$4:$A$593,L$1,EGRESOS!$E$4:$E$593,GASTOS!A58)</f>
        <v>0</v>
      </c>
      <c r="M28" s="25">
        <f>SUMIFS(EGRESOS!$C$4:$C$593,EGRESOS!$A$4:$A$593,M$1,EGRESOS!$E$4:$E$593,GASTOS!A58)</f>
        <v>40</v>
      </c>
      <c r="N28" s="25">
        <f>SUMIFS(EGRESOS!$C$4:$C$593,EGRESOS!$A$4:$A$593,N$1,EGRESOS!$E$4:$E$593,GASTOS!A58)</f>
        <v>20</v>
      </c>
      <c r="O28" s="25">
        <f>SUMIFS(EGRESOS!$C$4:$C$593,EGRESOS!$A$4:$A$593,O$1,EGRESOS!$E$4:$E$593,GASTOS!A58)</f>
        <v>0</v>
      </c>
      <c r="P28" s="25">
        <f>SUMIFS(EGRESOS!$C$4:$C$593,EGRESOS!$A$4:$A$593,P$1,EGRESOS!$E$4:$E$593,GASTOS!A58)</f>
        <v>0</v>
      </c>
      <c r="Q28" s="25">
        <f>SUMIFS(EGRESOS!$C$4:$C$593,EGRESOS!$A$4:$A$593,Q$1,EGRESOS!$E$4:$E$593,GASTOS!A58)</f>
        <v>0</v>
      </c>
      <c r="R28" s="25">
        <f>SUMIFS(EGRESOS!$C$4:$C$593,EGRESOS!$A$4:$A$593,R$1,EGRESOS!$E$4:$E$593,GASTOS!A58)</f>
        <v>0</v>
      </c>
      <c r="S28" s="25">
        <f>SUMIFS(EGRESOS!$C$4:$C$593,EGRESOS!$A$4:$A$593,S$1,EGRESOS!$E$4:$E$593,GASTOS!A58)</f>
        <v>0</v>
      </c>
      <c r="T28" s="25">
        <f>SUMIFS(EGRESOS!$C$4:$C$593,EGRESOS!$A$4:$A$593,T$1,EGRESOS!$E$4:$E$593,GASTOS!A58)</f>
        <v>0</v>
      </c>
      <c r="U28" s="25">
        <f>SUMIFS(EGRESOS!$C$4:$C$593,EGRESOS!$A$4:$A$593,U$1,EGRESOS!$E$4:$E$593,GASTOS!A58)</f>
        <v>0</v>
      </c>
      <c r="V28" s="25">
        <f>SUMIFS(EGRESOS!$C$4:$C$593,EGRESOS!$A$4:$A$593,V$1,EGRESOS!$E$4:$E$593,GASTOS!A58)</f>
        <v>15</v>
      </c>
      <c r="W28" s="25">
        <f>SUMIFS(EGRESOS!$C$4:$C$593,EGRESOS!$A$4:$A$593,W$1,EGRESOS!$E$4:$E$593,GASTOS!A58)</f>
        <v>0</v>
      </c>
      <c r="X28" s="25">
        <f>SUMIFS(EGRESOS!$C$4:$C$593,EGRESOS!$A$4:$A$593,X$1,EGRESOS!$E$4:$E$593,GASTOS!A58)</f>
        <v>0</v>
      </c>
      <c r="Y28" s="25">
        <f>SUMIFS(EGRESOS!$C$4:$C$593,EGRESOS!$A$4:$A$593,Y$1,EGRESOS!$E$4:$E$593,GASTOS!A58)</f>
        <v>0</v>
      </c>
      <c r="Z28" s="25">
        <f>SUMIFS(EGRESOS!$C$4:$C$593,EGRESOS!$A$4:$A$593,Z$1,EGRESOS!$E$4:$E$593,GASTOS!A58)</f>
        <v>0</v>
      </c>
      <c r="AA28" s="25">
        <f>SUMIFS(EGRESOS!$C$4:$C$593,EGRESOS!$A$4:$A$593,AA$1,EGRESOS!$E$4:$E$593,GASTOS!A58)</f>
        <v>0</v>
      </c>
      <c r="AB28" s="25">
        <f>SUMIFS(EGRESOS!$C$4:$C$593,EGRESOS!$A$4:$A$593,AB$1,EGRESOS!$E$4:$E$593,GASTOS!A58)</f>
        <v>0</v>
      </c>
      <c r="AC28" s="25">
        <f>IF(PROPIETARIOS!E30&lt;&gt;"",SUMIFS(EGRESOS!$C$4:$C$593,EGRESOS!$A$4:$A$593,AC$1,EGRESOS!$E$4:$E$593,GASTOS!A58),0)</f>
        <v>76.5</v>
      </c>
      <c r="AD28" s="25">
        <f>IF(PROPIETARIOS!F37&lt;&gt;"",SUMIFS(EGRESOS!$C$4:$C$593,EGRESOS!$A$4:$A$593,AD$1,EGRESOS!$E$4:$E$593,GASTOS!A58),0)</f>
        <v>0</v>
      </c>
      <c r="AE28" s="25">
        <f>SUMIFS(EGRESOS!$C$4:$C$593,EGRESOS!$A$4:$A$593,AE$1,EGRESOS!$E$4:$E$593,GASTOS!$A$58)</f>
        <v>230</v>
      </c>
      <c r="AF28" s="25">
        <f>IF(PROPIETARIOS!H37&lt;&gt;"",SUMIFS(EGRESOS!$C$4:$C$593,EGRESOS!$A$4:$A$593,AF$1,EGRESOS!$E$4:$E$593,GASTOS!$A$58),0)</f>
        <v>2</v>
      </c>
      <c r="AG28" s="25">
        <f>IF(PROPIETARIOS!I37&lt;&gt;"",SUMIFS(EGRESOS!$C$4:$C$593,EGRESOS!$A$4:$A$593,AG$1,EGRESOS!$E$4:$E$593,GASTOS!A58),0)</f>
        <v>0</v>
      </c>
      <c r="AH28" s="25">
        <f>IF(PROPIETARIOS!J30&lt;&gt;"",SUMIFS(EGRESOS!$C$4:$C$593,EGRESOS!$A$4:$A$593,AH$1,EGRESOS!$E$4:$E$593,GASTOS!A58),0)</f>
        <v>0</v>
      </c>
      <c r="AI28" s="25">
        <f>IF(PROPIETARIOS!K30&lt;&gt;"",SUMIFS(EGRESOS!$C$4:$C$593,EGRESOS!$A$4:$A$593,AI$1,EGRESOS!$E$4:$E$593,GASTOS!A58),0)</f>
        <v>0</v>
      </c>
      <c r="AJ28" s="25">
        <f>SUMIFS(EGRESOS!$C$4:$C$593,EGRESOS!$A$4:$A$593,AJ$1,EGRESOS!$E$4:$E$593,GASTOS!A58)</f>
        <v>0</v>
      </c>
      <c r="AK28" s="25">
        <f>SUMIFS(EGRESOS!$C$4:$C$593,EGRESOS!$A$4:$A$593,AK$1,EGRESOS!$E$4:$E$593,GASTOS!A58)</f>
        <v>0</v>
      </c>
      <c r="AL28" s="25">
        <f>SUMIFS(EGRESOS!$C$4:$C$593,EGRESOS!$A$4:$A$593,AL$1,EGRESOS!$E$4:$E$593,GASTOS!A58)</f>
        <v>0</v>
      </c>
      <c r="AM28" s="25">
        <f>D28*$C$28%</f>
        <v>26.693999999999999</v>
      </c>
      <c r="AN28" s="25">
        <f t="shared" ref="AN28:BK28" si="31">E28*$C$28%</f>
        <v>-12.605499999999999</v>
      </c>
      <c r="AO28" s="25">
        <f t="shared" si="31"/>
        <v>14.088499999999998</v>
      </c>
      <c r="AP28" s="25">
        <f t="shared" si="31"/>
        <v>0</v>
      </c>
      <c r="AQ28" s="25">
        <f t="shared" si="31"/>
        <v>23.727999999999998</v>
      </c>
      <c r="AR28" s="25">
        <f>I28*$C$28%</f>
        <v>14.088499999999998</v>
      </c>
      <c r="AS28" s="25">
        <f t="shared" si="31"/>
        <v>0</v>
      </c>
      <c r="AT28" s="25">
        <f t="shared" si="31"/>
        <v>2.2244999999999999</v>
      </c>
      <c r="AU28" s="25">
        <f t="shared" si="31"/>
        <v>0</v>
      </c>
      <c r="AV28" s="25">
        <f t="shared" si="31"/>
        <v>5.9319999999999995</v>
      </c>
      <c r="AW28" s="25">
        <f t="shared" si="31"/>
        <v>2.9659999999999997</v>
      </c>
      <c r="AX28" s="25">
        <f t="shared" si="31"/>
        <v>0</v>
      </c>
      <c r="AY28" s="25">
        <f t="shared" si="31"/>
        <v>0</v>
      </c>
      <c r="AZ28" s="25">
        <f t="shared" si="31"/>
        <v>0</v>
      </c>
      <c r="BA28" s="25">
        <f t="shared" si="31"/>
        <v>0</v>
      </c>
      <c r="BB28" s="25">
        <f t="shared" si="31"/>
        <v>0</v>
      </c>
      <c r="BC28" s="25">
        <f t="shared" si="31"/>
        <v>0</v>
      </c>
      <c r="BD28" s="25">
        <f t="shared" si="31"/>
        <v>0</v>
      </c>
      <c r="BE28" s="25">
        <f t="shared" si="31"/>
        <v>2.2244999999999999</v>
      </c>
      <c r="BF28" s="25">
        <f t="shared" si="31"/>
        <v>0</v>
      </c>
      <c r="BG28" s="25">
        <f t="shared" si="31"/>
        <v>0</v>
      </c>
      <c r="BH28" s="25">
        <f t="shared" si="31"/>
        <v>0</v>
      </c>
      <c r="BI28" s="25">
        <f t="shared" si="31"/>
        <v>0</v>
      </c>
      <c r="BJ28" s="25">
        <f t="shared" si="31"/>
        <v>0</v>
      </c>
      <c r="BK28" s="25">
        <f t="shared" si="31"/>
        <v>0</v>
      </c>
      <c r="BL28" s="25">
        <f t="shared" si="5"/>
        <v>11.344949999999999</v>
      </c>
      <c r="BM28" s="25">
        <f>IFERROR(AD28/COUNTIF(PROPIETARIOS!$F$4:$F$38,"GNC02"),0)</f>
        <v>0</v>
      </c>
      <c r="BN28" s="25">
        <f>IFERROR(AE28/COUNTIF(PROPIETARIOS!$G$4:$G$38,"GNC03"),0)</f>
        <v>6.5714285714285712</v>
      </c>
      <c r="BO28" s="25">
        <f>IFERROR(AF28/COUNTIF(PROPIETARIOS!$H$4:$H$38,"GNC04"),0)</f>
        <v>0.5</v>
      </c>
      <c r="BP28" s="25">
        <f>IFERROR(AG28/COUNTIF(PROPIETARIOS!$I$4:$I$38,"GNC05"),0)</f>
        <v>0</v>
      </c>
      <c r="BQ28" s="25">
        <v>0</v>
      </c>
      <c r="BR28" s="32">
        <v>0</v>
      </c>
      <c r="BS28" s="203">
        <f t="shared" si="1"/>
        <v>843.5</v>
      </c>
      <c r="BT28" s="203">
        <f>SUM(AM28:BK28)+SUM(BM28:BP28)+BR28+BW28+BL28</f>
        <v>97.756878571428572</v>
      </c>
      <c r="BU28" s="33" t="s">
        <v>271</v>
      </c>
      <c r="BV28" s="34">
        <f t="shared" ref="BV28:BV36" ca="1" si="32">TODAY()-15</f>
        <v>46209</v>
      </c>
      <c r="BW28" s="23">
        <v>0</v>
      </c>
      <c r="BX28" s="36">
        <f>Hoja6!FR30</f>
        <v>3134.6507428571454</v>
      </c>
      <c r="BY28" s="23" t="str">
        <f t="shared" si="6"/>
        <v>14,83</v>
      </c>
      <c r="BZ28" s="27" t="s">
        <v>425</v>
      </c>
      <c r="CA28" s="28" t="str">
        <f>convertirnum(Tabla1[[#This Row],[TOTALAL]])</f>
        <v>NOVENTA Y SIETE CON 76/100 DÓLARES</v>
      </c>
      <c r="CB28" s="28">
        <f>5%*Hoja6!FT30</f>
        <v>1.6</v>
      </c>
      <c r="CC28" s="192">
        <f>IF(Tabla1[[#This Row],[DEUDA]]&gt;0,Hoja6!HL30,0)</f>
        <v>123.01368350000014</v>
      </c>
      <c r="CD28" s="28">
        <f>Hoja6!HM30</f>
        <v>3257.6644263571457</v>
      </c>
      <c r="CE28" s="200">
        <f>IF(Tabla1[[#This Row],[DEUDA]]&gt;0,Hoja6!FT30,0)</f>
        <v>32</v>
      </c>
      <c r="CF28" s="28" t="str">
        <f>"_"&amp;Tabla1[[#This Row],[APTO-LOCAL-OFIC.]]&amp;" "&amp;Tabla1[[#This Row],[PROPIETARIO]]&amp;"-"</f>
        <v>_LOCAL 5 BANCO BICENTENARIO-</v>
      </c>
    </row>
    <row r="29" spans="1:86" ht="18" customHeight="1">
      <c r="A29" s="29" t="s">
        <v>273</v>
      </c>
      <c r="B29" s="39" t="s">
        <v>567</v>
      </c>
      <c r="C29" s="30">
        <v>4.9400000000000004</v>
      </c>
      <c r="D29" s="32">
        <f>SUMIFS(EGRESOS!$C$4:$C$593,EGRESOS!$A$4:$A$593,D$1,EGRESOS!$E$4:$E$593,GASTOS!A58)</f>
        <v>180</v>
      </c>
      <c r="E29" s="32">
        <f>SUMIFS(EGRESOS!$C$4:$C$593,EGRESOS!$A$4:$A$593,E$1,EGRESOS!$E$4:$E$593,GASTOS!A58)</f>
        <v>-85</v>
      </c>
      <c r="F29" s="32">
        <f>SUMIFS(EGRESOS!$C$4:$C$593,EGRESOS!$A$4:$A$593,F$1,EGRESOS!$E$4:$E$593,GASTOS!A58)</f>
        <v>95</v>
      </c>
      <c r="G29" s="32">
        <f>SUMIFS(EGRESOS!$C$4:$C$593,EGRESOS!$A$4:$A$593,G$1,EGRESOS!$E$4:$E$593,GASTOS!A58)</f>
        <v>0</v>
      </c>
      <c r="H29" s="32">
        <f>SUMIFS(EGRESOS!$C$4:$C$593,EGRESOS!$A$4:$A$593,H$1,EGRESOS!$E$4:$E$593,GASTOS!A58)</f>
        <v>160</v>
      </c>
      <c r="I29" s="32">
        <f>SUMIFS(EGRESOS!$C$4:$C$593,EGRESOS!$A$4:$A$593,I$1,EGRESOS!$E$4:$E$593,GASTOS!A58)</f>
        <v>95</v>
      </c>
      <c r="J29" s="32">
        <f>SUMIFS(EGRESOS!$C$4:$C$593,EGRESOS!$A$4:$A$593,J$1,EGRESOS!$E$4:$E$593,GASTOS!A58)</f>
        <v>0</v>
      </c>
      <c r="K29" s="32">
        <f>SUMIFS(EGRESOS!$C$4:$C$593,EGRESOS!$A$4:$A$593,K$1,EGRESOS!$E$4:$E$593,GASTOS!A58)</f>
        <v>15</v>
      </c>
      <c r="L29" s="32">
        <f>SUMIFS(EGRESOS!$C$4:$C$593,EGRESOS!$A$4:$A$593,L$1,EGRESOS!$E$4:$E$593,GASTOS!A58)</f>
        <v>0</v>
      </c>
      <c r="M29" s="32">
        <f>SUMIFS(EGRESOS!$C$4:$C$593,EGRESOS!$A$4:$A$593,M$1,EGRESOS!$E$4:$E$593,GASTOS!A58)</f>
        <v>40</v>
      </c>
      <c r="N29" s="32">
        <f>SUMIFS(EGRESOS!$C$4:$C$593,EGRESOS!$A$4:$A$593,N$1,EGRESOS!$E$4:$E$593,GASTOS!A58)</f>
        <v>20</v>
      </c>
      <c r="O29" s="32">
        <f>SUMIFS(EGRESOS!$C$4:$C$593,EGRESOS!$A$4:$A$593,O$1,EGRESOS!$E$4:$E$593,GASTOS!A58)</f>
        <v>0</v>
      </c>
      <c r="P29" s="32">
        <f>SUMIFS(EGRESOS!$C$4:$C$593,EGRESOS!$A$4:$A$593,P$1,EGRESOS!$E$4:$E$593,GASTOS!A58)</f>
        <v>0</v>
      </c>
      <c r="Q29" s="32">
        <f>SUMIFS(EGRESOS!$C$4:$C$593,EGRESOS!$A$4:$A$593,Q$1,EGRESOS!$E$4:$E$593,GASTOS!A58)</f>
        <v>0</v>
      </c>
      <c r="R29" s="32">
        <f>SUMIFS(EGRESOS!$C$4:$C$593,EGRESOS!$A$4:$A$593,R$1,EGRESOS!$E$4:$E$593,GASTOS!A58)</f>
        <v>0</v>
      </c>
      <c r="S29" s="32">
        <f>SUMIFS(EGRESOS!$C$4:$C$593,EGRESOS!$A$4:$A$593,S$1,EGRESOS!$E$4:$E$593,GASTOS!A58)</f>
        <v>0</v>
      </c>
      <c r="T29" s="32">
        <f>SUMIFS(EGRESOS!$C$4:$C$593,EGRESOS!$A$4:$A$593,T$1,EGRESOS!$E$4:$E$593,GASTOS!A58)</f>
        <v>0</v>
      </c>
      <c r="U29" s="32">
        <f>SUMIFS(EGRESOS!$C$4:$C$593,EGRESOS!$A$4:$A$593,U$1,EGRESOS!$E$4:$E$593,GASTOS!A58)</f>
        <v>0</v>
      </c>
      <c r="V29" s="32">
        <f>SUMIFS(EGRESOS!$C$4:$C$593,EGRESOS!$A$4:$A$593,V$1,EGRESOS!$E$4:$E$593,GASTOS!A58)</f>
        <v>15</v>
      </c>
      <c r="W29" s="32">
        <f>SUMIFS(EGRESOS!$C$4:$C$593,EGRESOS!$A$4:$A$593,W$1,EGRESOS!$E$4:$E$593,GASTOS!A58)</f>
        <v>0</v>
      </c>
      <c r="X29" s="32">
        <f>SUMIFS(EGRESOS!$C$4:$C$593,EGRESOS!$A$4:$A$593,X$1,EGRESOS!$E$4:$E$593,GASTOS!A58)</f>
        <v>0</v>
      </c>
      <c r="Y29" s="32">
        <f>SUMIFS(EGRESOS!$C$4:$C$593,EGRESOS!$A$4:$A$593,Y$1,EGRESOS!$E$4:$E$593,GASTOS!A58)</f>
        <v>0</v>
      </c>
      <c r="Z29" s="32">
        <f>SUMIFS(EGRESOS!$C$4:$C$593,EGRESOS!$A$4:$A$593,Z$1,EGRESOS!$E$4:$E$593,GASTOS!A58)</f>
        <v>0</v>
      </c>
      <c r="AA29" s="32">
        <f>SUMIFS(EGRESOS!$C$4:$C$593,EGRESOS!$A$4:$A$593,AA$1,EGRESOS!$E$4:$E$593,GASTOS!A58)</f>
        <v>0</v>
      </c>
      <c r="AB29" s="32">
        <f>SUMIFS(EGRESOS!$C$4:$C$593,EGRESOS!$A$4:$A$593,AB$1,EGRESOS!$E$4:$E$593,GASTOS!A58)</f>
        <v>0</v>
      </c>
      <c r="AC29" s="32">
        <f>IF(PROPIETARIOS!E31&lt;&gt;"",SUMIFS(EGRESOS!$C$4:$C$593,EGRESOS!$A$4:$A$593,AC$1,EGRESOS!$E$4:$E$593,GASTOS!A58),0)</f>
        <v>76.5</v>
      </c>
      <c r="AD29" s="32">
        <f>IF(PROPIETARIOS!F38&lt;&gt;"",SUMIFS(EGRESOS!$C$4:$C$593,EGRESOS!$A$4:$A$593,AD$1,EGRESOS!$E$4:$E$593,GASTOS!A58),0)</f>
        <v>0</v>
      </c>
      <c r="AE29" s="32">
        <f>SUMIFS(EGRESOS!$C$4:$C$593,EGRESOS!$A$4:$A$593,AE$1,EGRESOS!$E$4:$E$593,GASTOS!$A$58)</f>
        <v>230</v>
      </c>
      <c r="AF29" s="25">
        <f>IF(PROPIETARIOS!H38&lt;&gt;"",SUMIFS(EGRESOS!$C$4:$C$593,EGRESOS!$A$4:$A$593,AF$1,EGRESOS!$E$4:$E$593,GASTOS!$A$58),0)</f>
        <v>0</v>
      </c>
      <c r="AG29" s="32">
        <f>IF(PROPIETARIOS!I31&lt;&gt;"",SUMIFS(EGRESOS!$C$4:$C$593,EGRESOS!$A$4:$A$593,AG$1,EGRESOS!$E$4:$E$593,GASTOS!A58),0)</f>
        <v>0</v>
      </c>
      <c r="AH29" s="32">
        <f>IF(PROPIETARIOS!J31&lt;&gt;"",SUMIFS(EGRESOS!$C$4:$C$593,EGRESOS!$A$4:$A$593,AH$1,EGRESOS!$E$4:$E$593,GASTOS!A58),0)</f>
        <v>0</v>
      </c>
      <c r="AI29" s="32">
        <f>IF(PROPIETARIOS!K31&lt;&gt;"",SUMIFS(EGRESOS!$C$4:$C$593,EGRESOS!$A$4:$A$593,AI$1,EGRESOS!$E$4:$E$593,GASTOS!A58),0)</f>
        <v>0</v>
      </c>
      <c r="AJ29" s="32">
        <f>SUMIFS(EGRESOS!$C$4:$C$593,EGRESOS!$A$4:$A$593,AJ$1,EGRESOS!$E$4:$E$593,GASTOS!A58)</f>
        <v>0</v>
      </c>
      <c r="AK29" s="32">
        <f>SUMIFS(EGRESOS!$C$4:$C$593,EGRESOS!$A$4:$A$593,AK$1,EGRESOS!$E$4:$E$593,GASTOS!A58)</f>
        <v>0</v>
      </c>
      <c r="AL29" s="32">
        <f>SUMIFS(EGRESOS!$C$4:$C$593,EGRESOS!$A$4:$A$593,AL$1,EGRESOS!$E$4:$E$593,GASTOS!A58)</f>
        <v>0</v>
      </c>
      <c r="AM29" s="32">
        <f>D29*$C$29%</f>
        <v>8.8920000000000012</v>
      </c>
      <c r="AN29" s="32">
        <f t="shared" ref="AN29:BK29" si="33">E29*$C$29%</f>
        <v>-4.1990000000000007</v>
      </c>
      <c r="AO29" s="32">
        <f t="shared" si="33"/>
        <v>4.6930000000000005</v>
      </c>
      <c r="AP29" s="32">
        <f t="shared" si="33"/>
        <v>0</v>
      </c>
      <c r="AQ29" s="32">
        <f t="shared" si="33"/>
        <v>7.9040000000000008</v>
      </c>
      <c r="AR29" s="32">
        <f t="shared" si="33"/>
        <v>4.6930000000000005</v>
      </c>
      <c r="AS29" s="32">
        <f t="shared" si="33"/>
        <v>0</v>
      </c>
      <c r="AT29" s="32">
        <f t="shared" si="33"/>
        <v>0.7410000000000001</v>
      </c>
      <c r="AU29" s="32">
        <f t="shared" si="33"/>
        <v>0</v>
      </c>
      <c r="AV29" s="32">
        <f t="shared" si="33"/>
        <v>1.9760000000000002</v>
      </c>
      <c r="AW29" s="32">
        <f t="shared" si="33"/>
        <v>0.9880000000000001</v>
      </c>
      <c r="AX29" s="32">
        <f t="shared" si="33"/>
        <v>0</v>
      </c>
      <c r="AY29" s="32">
        <f t="shared" si="33"/>
        <v>0</v>
      </c>
      <c r="AZ29" s="32">
        <f t="shared" si="33"/>
        <v>0</v>
      </c>
      <c r="BA29" s="32">
        <f t="shared" si="33"/>
        <v>0</v>
      </c>
      <c r="BB29" s="32">
        <f t="shared" si="33"/>
        <v>0</v>
      </c>
      <c r="BC29" s="32">
        <f t="shared" si="33"/>
        <v>0</v>
      </c>
      <c r="BD29" s="32">
        <f t="shared" si="33"/>
        <v>0</v>
      </c>
      <c r="BE29" s="32">
        <f t="shared" si="33"/>
        <v>0.7410000000000001</v>
      </c>
      <c r="BF29" s="32">
        <f t="shared" si="33"/>
        <v>0</v>
      </c>
      <c r="BG29" s="32">
        <f t="shared" si="33"/>
        <v>0</v>
      </c>
      <c r="BH29" s="32">
        <f t="shared" si="33"/>
        <v>0</v>
      </c>
      <c r="BI29" s="32">
        <f t="shared" si="33"/>
        <v>0</v>
      </c>
      <c r="BJ29" s="32">
        <f t="shared" si="33"/>
        <v>0</v>
      </c>
      <c r="BK29" s="32">
        <f t="shared" si="33"/>
        <v>0</v>
      </c>
      <c r="BL29" s="32">
        <f t="shared" si="5"/>
        <v>3.7791000000000006</v>
      </c>
      <c r="BM29" s="32">
        <f>IFERROR(AD29/COUNTIF(PROPIETARIOS!$F$4:$F$38,"GNC02"),0)</f>
        <v>0</v>
      </c>
      <c r="BN29" s="32">
        <f>IFERROR(AE29/COUNTIF(PROPIETARIOS!$G$4:$G$38,"GNC03"),0)</f>
        <v>6.5714285714285712</v>
      </c>
      <c r="BO29" s="32">
        <f>IFERROR(AF29/COUNTIF(PROPIETARIOS!$H$4:$H$38,"GNC04"),0)</f>
        <v>0</v>
      </c>
      <c r="BP29" s="32">
        <f>IFERROR(AG29/COUNTIF(PROPIETARIOS!$I$4:$I$38,"GNC05"),0)</f>
        <v>0</v>
      </c>
      <c r="BQ29" s="32">
        <v>0</v>
      </c>
      <c r="BR29" s="32">
        <v>0</v>
      </c>
      <c r="BS29" s="204">
        <f t="shared" si="1"/>
        <v>841.5</v>
      </c>
      <c r="BT29" s="204">
        <f t="shared" si="2"/>
        <v>36.779528571428571</v>
      </c>
      <c r="BU29" s="193" t="s">
        <v>474</v>
      </c>
      <c r="BV29" s="34">
        <f t="shared" ca="1" si="32"/>
        <v>46209</v>
      </c>
      <c r="BW29" s="30">
        <v>0</v>
      </c>
      <c r="BX29" s="36">
        <f>Hoja6!FR31</f>
        <v>0</v>
      </c>
      <c r="BY29" s="30" t="str">
        <f t="shared" si="6"/>
        <v>4,94</v>
      </c>
      <c r="BZ29" s="27" t="s">
        <v>425</v>
      </c>
      <c r="CA29" s="28" t="str">
        <f>convertirnum(Tabla1[[#This Row],[TOTALAL]])</f>
        <v>TREINTA Y SEIS CON 78/100 DÓLARES</v>
      </c>
      <c r="CB29" s="28">
        <f>5%*Hoja6!FT31</f>
        <v>0</v>
      </c>
      <c r="CC29" s="192">
        <f>IF(Tabla1[[#This Row],[DEUDA]]&gt;0,Hoja6!HL31,0)</f>
        <v>0</v>
      </c>
      <c r="CD29" s="28">
        <f>Hoja6!HM31</f>
        <v>0</v>
      </c>
      <c r="CE29" s="200">
        <f>IF(Tabla1[[#This Row],[DEUDA]]&gt;0,Hoja6!FT31,0)</f>
        <v>0</v>
      </c>
      <c r="CF29" s="28" t="str">
        <f>"_"&amp;Tabla1[[#This Row],[APTO-LOCAL-OFIC.]]&amp;" "&amp;Tabla1[[#This Row],[PROPIETARIO]]&amp;"-"</f>
        <v>_LOCAL 6 REP. COMERCIALIZADORA -</v>
      </c>
      <c r="CG29" s="40">
        <v>732619.64</v>
      </c>
    </row>
    <row r="30" spans="1:86" ht="18" customHeight="1">
      <c r="A30" s="22" t="s">
        <v>51</v>
      </c>
      <c r="B30" s="23" t="s">
        <v>52</v>
      </c>
      <c r="C30" s="23">
        <v>2.92</v>
      </c>
      <c r="D30" s="25">
        <f>SUMIFS(EGRESOS!$C$4:$C$593,EGRESOS!$A$4:$A$593,D$1,EGRESOS!$E$4:$E$593,GASTOS!A58)</f>
        <v>180</v>
      </c>
      <c r="E30" s="25">
        <f>SUMIFS(EGRESOS!$C$4:$C$593,EGRESOS!$A$4:$A$593,E$1,EGRESOS!$E$4:$E$593,GASTOS!A58)</f>
        <v>-85</v>
      </c>
      <c r="F30" s="25">
        <f>SUMIFS(EGRESOS!$C$4:$C$593,EGRESOS!$A$4:$A$593,F$1,EGRESOS!$E$4:$E$593,GASTOS!A58)</f>
        <v>95</v>
      </c>
      <c r="G30" s="25">
        <f>SUMIFS(EGRESOS!$C$4:$C$593,EGRESOS!$A$4:$A$593,G$1,EGRESOS!$E$4:$E$593,GASTOS!A58)</f>
        <v>0</v>
      </c>
      <c r="H30" s="25">
        <f>SUMIFS(EGRESOS!$C$4:$C$593,EGRESOS!$A$4:$A$593,H$1,EGRESOS!$E$4:$E$593,GASTOS!A58)</f>
        <v>160</v>
      </c>
      <c r="I30" s="25">
        <f>SUMIFS(EGRESOS!$C$4:$C$593,EGRESOS!$A$4:$A$593,I$1,EGRESOS!$E$4:$E$593,GASTOS!A58)</f>
        <v>95</v>
      </c>
      <c r="J30" s="25">
        <f>SUMIFS(EGRESOS!$C$4:$C$593,EGRESOS!$A$4:$A$593,J$1,EGRESOS!$E$4:$E$593,GASTOS!A58)</f>
        <v>0</v>
      </c>
      <c r="K30" s="25">
        <f>SUMIFS(EGRESOS!$C$4:$C$593,EGRESOS!$A$4:$A$593,K$1,EGRESOS!$E$4:$E$593,GASTOS!A58)</f>
        <v>15</v>
      </c>
      <c r="L30" s="25">
        <f>SUMIFS(EGRESOS!$C$4:$C$593,EGRESOS!$A$4:$A$593,L$1,EGRESOS!$E$4:$E$593,GASTOS!A58)</f>
        <v>0</v>
      </c>
      <c r="M30" s="25">
        <f>SUMIFS(EGRESOS!$C$4:$C$593,EGRESOS!$A$4:$A$593,M$1,EGRESOS!$E$4:$E$593,GASTOS!A58)</f>
        <v>40</v>
      </c>
      <c r="N30" s="25">
        <f>SUMIFS(EGRESOS!$C$4:$C$593,EGRESOS!$A$4:$A$593,N$1,EGRESOS!$E$4:$E$593,GASTOS!A58)</f>
        <v>20</v>
      </c>
      <c r="O30" s="25">
        <f>SUMIFS(EGRESOS!$C$4:$C$593,EGRESOS!$A$4:$A$593,O$1,EGRESOS!$E$4:$E$593,GASTOS!A58)</f>
        <v>0</v>
      </c>
      <c r="P30" s="25">
        <f>SUMIFS(EGRESOS!$C$4:$C$593,EGRESOS!$A$4:$A$593,P$1,EGRESOS!$E$4:$E$593,GASTOS!A58)</f>
        <v>0</v>
      </c>
      <c r="Q30" s="25">
        <f>SUMIFS(EGRESOS!$C$4:$C$593,EGRESOS!$A$4:$A$593,Q$1,EGRESOS!$E$4:$E$593,GASTOS!A58)</f>
        <v>0</v>
      </c>
      <c r="R30" s="25">
        <f>SUMIFS(EGRESOS!$C$4:$C$593,EGRESOS!$A$4:$A$593,R$1,EGRESOS!$E$4:$E$593,GASTOS!A58)</f>
        <v>0</v>
      </c>
      <c r="S30" s="25">
        <f>SUMIFS(EGRESOS!$C$4:$C$593,EGRESOS!$A$4:$A$593,S$1,EGRESOS!$E$4:$E$593,GASTOS!A58)</f>
        <v>0</v>
      </c>
      <c r="T30" s="25">
        <f>SUMIFS(EGRESOS!$C$4:$C$593,EGRESOS!$A$4:$A$593,T$1,EGRESOS!$E$4:$E$593,GASTOS!A58)</f>
        <v>0</v>
      </c>
      <c r="U30" s="25">
        <f>SUMIFS(EGRESOS!$C$4:$C$593,EGRESOS!$A$4:$A$593,U$1,EGRESOS!$E$4:$E$593,GASTOS!A58)</f>
        <v>0</v>
      </c>
      <c r="V30" s="25">
        <f>SUMIFS(EGRESOS!$C$4:$C$593,EGRESOS!$A$4:$A$593,V$1,EGRESOS!$E$4:$E$593,GASTOS!A58)</f>
        <v>15</v>
      </c>
      <c r="W30" s="25">
        <f>SUMIFS(EGRESOS!$C$4:$C$593,EGRESOS!$A$4:$A$593,W$1,EGRESOS!$E$4:$E$593,GASTOS!A58)</f>
        <v>0</v>
      </c>
      <c r="X30" s="25">
        <f>SUMIFS(EGRESOS!$C$4:$C$593,EGRESOS!$A$4:$A$593,X$1,EGRESOS!$E$4:$E$593,GASTOS!A58)</f>
        <v>0</v>
      </c>
      <c r="Y30" s="25">
        <f>SUMIFS(EGRESOS!$C$4:$C$593,EGRESOS!$A$4:$A$593,Y$1,EGRESOS!$E$4:$E$593,GASTOS!A58)</f>
        <v>0</v>
      </c>
      <c r="Z30" s="25">
        <f>SUMIFS(EGRESOS!$C$4:$C$593,EGRESOS!$A$4:$A$593,Z$1,EGRESOS!$E$4:$E$593,GASTOS!A58)</f>
        <v>0</v>
      </c>
      <c r="AA30" s="25">
        <f>SUMIFS(EGRESOS!$C$4:$C$593,EGRESOS!$A$4:$A$593,AA$1,EGRESOS!$E$4:$E$593,GASTOS!A58)</f>
        <v>0</v>
      </c>
      <c r="AB30" s="25">
        <f>SUMIFS(EGRESOS!$C$4:$C$593,EGRESOS!$A$4:$A$593,AB$1,EGRESOS!$E$4:$E$593,GASTOS!A58)</f>
        <v>0</v>
      </c>
      <c r="AC30" s="25">
        <f>IF(PROPIETARIOS!E32&lt;&gt;"",SUMIFS(EGRESOS!$C$4:$C$593,EGRESOS!$A$4:$A$593,AC$1,EGRESOS!$E$4:$E$593,GASTOS!A58),0)</f>
        <v>76.5</v>
      </c>
      <c r="AD30" s="25">
        <f>IF(PROPIETARIOS!F26&lt;&gt;"",SUMIFS(EGRESOS!$C$4:$C$593,EGRESOS!$A$4:$A$593,AD$1,EGRESOS!$E$4:$E$593,GASTOS!A58),0)</f>
        <v>0</v>
      </c>
      <c r="AE30" s="25">
        <f>SUMIFS(EGRESOS!$C$4:$C$593,EGRESOS!$A$4:$A$593,AE$1,EGRESOS!$E$4:$E$593,GASTOS!$A$58)</f>
        <v>230</v>
      </c>
      <c r="AF30" s="25">
        <f>IF(PROPIETARIOS!H26&lt;&gt;"",SUMIFS(EGRESOS!$C$4:$C$593,EGRESOS!$A$4:$A$593,AF$1,EGRESOS!$E$4:$E$593,GASTOS!$A$58),0)</f>
        <v>0</v>
      </c>
      <c r="AG30" s="25">
        <f>IF(PROPIETARIOS!I32&lt;&gt;"",SUMIFS(EGRESOS!$C$4:$C$593,EGRESOS!$A$4:$A$593,AG$1,EGRESOS!$E$4:$E$593,GASTOS!A58),0)</f>
        <v>0</v>
      </c>
      <c r="AH30" s="25">
        <f>IF(PROPIETARIOS!J32&lt;&gt;"",SUMIFS(EGRESOS!$C$4:$C$593,EGRESOS!$A$4:$A$593,AH$1,EGRESOS!$E$4:$E$593,GASTOS!A58),0)</f>
        <v>0</v>
      </c>
      <c r="AI30" s="25">
        <f>IF(PROPIETARIOS!K32&lt;&gt;"",SUMIFS(EGRESOS!$C$4:$C$593,EGRESOS!$A$4:$A$593,AI$1,EGRESOS!$E$4:$E$593,GASTOS!A58),0)</f>
        <v>0</v>
      </c>
      <c r="AJ30" s="25">
        <f>SUMIFS(EGRESOS!$C$4:$C$593,EGRESOS!$A$4:$A$593,AJ$1,EGRESOS!$E$4:$E$593,GASTOS!A58)</f>
        <v>0</v>
      </c>
      <c r="AK30" s="25">
        <f>SUMIFS(EGRESOS!$C$4:$C$593,EGRESOS!$A$4:$A$593,AK$1,EGRESOS!$E$4:$E$593,GASTOS!A58)</f>
        <v>0</v>
      </c>
      <c r="AL30" s="25">
        <f>SUMIFS(EGRESOS!$C$4:$C$593,EGRESOS!$A$4:$A$593,AL$1,EGRESOS!$E$4:$E$593,GASTOS!A58)</f>
        <v>0</v>
      </c>
      <c r="AM30" s="25">
        <f>D30*$C$30%</f>
        <v>5.2560000000000002</v>
      </c>
      <c r="AN30" s="25">
        <f t="shared" ref="AN30:BK30" si="34">E30*$C$30%</f>
        <v>-2.4820000000000002</v>
      </c>
      <c r="AO30" s="25">
        <f t="shared" si="34"/>
        <v>2.774</v>
      </c>
      <c r="AP30" s="25">
        <f t="shared" si="34"/>
        <v>0</v>
      </c>
      <c r="AQ30" s="25">
        <f t="shared" si="34"/>
        <v>4.6719999999999997</v>
      </c>
      <c r="AR30" s="25">
        <f t="shared" si="34"/>
        <v>2.774</v>
      </c>
      <c r="AS30" s="25">
        <f t="shared" si="34"/>
        <v>0</v>
      </c>
      <c r="AT30" s="25">
        <f t="shared" si="34"/>
        <v>0.438</v>
      </c>
      <c r="AU30" s="25">
        <f t="shared" si="34"/>
        <v>0</v>
      </c>
      <c r="AV30" s="25">
        <f t="shared" si="34"/>
        <v>1.1679999999999999</v>
      </c>
      <c r="AW30" s="25">
        <f t="shared" si="34"/>
        <v>0.58399999999999996</v>
      </c>
      <c r="AX30" s="25">
        <f t="shared" si="34"/>
        <v>0</v>
      </c>
      <c r="AY30" s="25">
        <f t="shared" si="34"/>
        <v>0</v>
      </c>
      <c r="AZ30" s="25">
        <f t="shared" si="34"/>
        <v>0</v>
      </c>
      <c r="BA30" s="25">
        <f t="shared" si="34"/>
        <v>0</v>
      </c>
      <c r="BB30" s="25">
        <f t="shared" si="34"/>
        <v>0</v>
      </c>
      <c r="BC30" s="25">
        <f t="shared" si="34"/>
        <v>0</v>
      </c>
      <c r="BD30" s="25">
        <f t="shared" si="34"/>
        <v>0</v>
      </c>
      <c r="BE30" s="25">
        <f t="shared" si="34"/>
        <v>0.438</v>
      </c>
      <c r="BF30" s="25">
        <f t="shared" si="34"/>
        <v>0</v>
      </c>
      <c r="BG30" s="25">
        <f t="shared" si="34"/>
        <v>0</v>
      </c>
      <c r="BH30" s="25">
        <f t="shared" si="34"/>
        <v>0</v>
      </c>
      <c r="BI30" s="25">
        <f t="shared" si="34"/>
        <v>0</v>
      </c>
      <c r="BJ30" s="25">
        <f t="shared" si="34"/>
        <v>0</v>
      </c>
      <c r="BK30" s="25">
        <f t="shared" si="34"/>
        <v>0</v>
      </c>
      <c r="BL30" s="25">
        <f t="shared" si="5"/>
        <v>2.2338</v>
      </c>
      <c r="BM30" s="25">
        <f>IFERROR(AD30/COUNTIF(PROPIETARIOS!$F$4:$F$38,"GNC02"),0)</f>
        <v>0</v>
      </c>
      <c r="BN30" s="25">
        <f>IFERROR(AE30/COUNTIF(PROPIETARIOS!$G$4:$G$38,"GNC03"),0)</f>
        <v>6.5714285714285712</v>
      </c>
      <c r="BO30" s="25">
        <f>IFERROR(AF30/COUNTIF(PROPIETARIOS!$H$4:$H$38,"GNC04"),0)</f>
        <v>0</v>
      </c>
      <c r="BP30" s="25">
        <f>IFERROR(AG30/COUNTIF(PROPIETARIOS!$I$4:$I$38,"GNC05"),0)</f>
        <v>0</v>
      </c>
      <c r="BQ30" s="25">
        <v>0</v>
      </c>
      <c r="BR30" s="25">
        <v>0</v>
      </c>
      <c r="BS30" s="203">
        <f t="shared" si="1"/>
        <v>841.5</v>
      </c>
      <c r="BT30" s="203">
        <f t="shared" si="2"/>
        <v>24.427228571428568</v>
      </c>
      <c r="BU30" s="41" t="s">
        <v>274</v>
      </c>
      <c r="BV30" s="34">
        <f t="shared" ca="1" si="32"/>
        <v>46209</v>
      </c>
      <c r="BW30" s="23">
        <v>0</v>
      </c>
      <c r="BX30" s="36">
        <f>Hoja6!FR32</f>
        <v>0</v>
      </c>
      <c r="BY30" s="23" t="str">
        <f t="shared" si="6"/>
        <v>2,92</v>
      </c>
      <c r="BZ30" s="27" t="s">
        <v>425</v>
      </c>
      <c r="CA30" s="28" t="str">
        <f>convertirnum(Tabla1[[#This Row],[TOTALAL]])</f>
        <v>VEINTICUATRO CON 43/100 DÓLARES</v>
      </c>
      <c r="CB30" s="28">
        <f>5%*Hoja6!FT32</f>
        <v>0</v>
      </c>
      <c r="CC30" s="192">
        <f>IF(Tabla1[[#This Row],[DEUDA]]&gt;0,Hoja6!HL32,0)</f>
        <v>0</v>
      </c>
      <c r="CD30" s="28">
        <f>Hoja6!HM32</f>
        <v>0</v>
      </c>
      <c r="CE30" s="200">
        <f>IF(Tabla1[[#This Row],[DEUDA]]&gt;0,Hoja6!FT32,0)</f>
        <v>0</v>
      </c>
      <c r="CF30" s="28" t="str">
        <f>"_"&amp;Tabla1[[#This Row],[APTO-LOCAL-OFIC.]]&amp;" "&amp;Tabla1[[#This Row],[PROPIETARIO]]&amp;"-"</f>
        <v>_OFICINA 1 JUDITH BOTARDO-</v>
      </c>
    </row>
    <row r="31" spans="1:86" ht="18" customHeight="1">
      <c r="A31" s="29" t="s">
        <v>53</v>
      </c>
      <c r="B31" s="30" t="s">
        <v>52</v>
      </c>
      <c r="C31" s="30">
        <v>2.84</v>
      </c>
      <c r="D31" s="32">
        <f>SUMIFS(EGRESOS!$C$4:$C$593,EGRESOS!$A$4:$A$593,D$1,EGRESOS!$E$4:$E$593,GASTOS!A58)</f>
        <v>180</v>
      </c>
      <c r="E31" s="32">
        <f>SUMIFS(EGRESOS!$C$4:$C$593,EGRESOS!$A$4:$A$593,E$1,EGRESOS!$E$4:$E$593,GASTOS!A58)</f>
        <v>-85</v>
      </c>
      <c r="F31" s="32">
        <f>SUMIFS(EGRESOS!$C$4:$C$593,EGRESOS!$A$4:$A$593,F$1,EGRESOS!$E$4:$E$593,GASTOS!A58)</f>
        <v>95</v>
      </c>
      <c r="G31" s="32">
        <f>SUMIFS(EGRESOS!$C$4:$C$593,EGRESOS!$A$4:$A$593,G$1,EGRESOS!$E$4:$E$593,GASTOS!A58)</f>
        <v>0</v>
      </c>
      <c r="H31" s="32">
        <f>SUMIFS(EGRESOS!$C$4:$C$593,EGRESOS!$A$4:$A$593,H$1,EGRESOS!$E$4:$E$593,GASTOS!A58)</f>
        <v>160</v>
      </c>
      <c r="I31" s="32">
        <f>SUMIFS(EGRESOS!$C$4:$C$593,EGRESOS!$A$4:$A$593,I$1,EGRESOS!$E$4:$E$593,GASTOS!A58)</f>
        <v>95</v>
      </c>
      <c r="J31" s="32">
        <f>SUMIFS(EGRESOS!$C$4:$C$593,EGRESOS!$A$4:$A$593,J$1,EGRESOS!$E$4:$E$593,GASTOS!A58)</f>
        <v>0</v>
      </c>
      <c r="K31" s="32">
        <f>SUMIFS(EGRESOS!$C$4:$C$593,EGRESOS!$A$4:$A$593,K$1,EGRESOS!$E$4:$E$593,GASTOS!A58)</f>
        <v>15</v>
      </c>
      <c r="L31" s="32">
        <f>SUMIFS(EGRESOS!$C$4:$C$593,EGRESOS!$A$4:$A$593,L$1,EGRESOS!$E$4:$E$593,GASTOS!A58)</f>
        <v>0</v>
      </c>
      <c r="M31" s="32">
        <f>SUMIFS(EGRESOS!$C$4:$C$593,EGRESOS!$A$4:$A$593,M$1,EGRESOS!$E$4:$E$593,GASTOS!A58)</f>
        <v>40</v>
      </c>
      <c r="N31" s="32">
        <f>SUMIFS(EGRESOS!$C$4:$C$593,EGRESOS!$A$4:$A$593,N$1,EGRESOS!$E$4:$E$593,GASTOS!A58)</f>
        <v>20</v>
      </c>
      <c r="O31" s="32">
        <f>SUMIFS(EGRESOS!$C$4:$C$593,EGRESOS!$A$4:$A$593,O$1,EGRESOS!$E$4:$E$593,GASTOS!A58)</f>
        <v>0</v>
      </c>
      <c r="P31" s="32">
        <f>SUMIFS(EGRESOS!$C$4:$C$593,EGRESOS!$A$4:$A$593,P$1,EGRESOS!$E$4:$E$593,GASTOS!A58)</f>
        <v>0</v>
      </c>
      <c r="Q31" s="32">
        <f>SUMIFS(EGRESOS!$C$4:$C$593,EGRESOS!$A$4:$A$593,Q$1,EGRESOS!$E$4:$E$593,GASTOS!A58)</f>
        <v>0</v>
      </c>
      <c r="R31" s="32">
        <f>SUMIFS(EGRESOS!$C$4:$C$593,EGRESOS!$A$4:$A$593,R$1,EGRESOS!$E$4:$E$593,GASTOS!A58)</f>
        <v>0</v>
      </c>
      <c r="S31" s="32">
        <f>SUMIFS(EGRESOS!$C$4:$C$593,EGRESOS!$A$4:$A$593,S$1,EGRESOS!$E$4:$E$593,GASTOS!A58)</f>
        <v>0</v>
      </c>
      <c r="T31" s="32">
        <f>SUMIFS(EGRESOS!$C$4:$C$593,EGRESOS!$A$4:$A$593,T$1,EGRESOS!$E$4:$E$593,GASTOS!A58)</f>
        <v>0</v>
      </c>
      <c r="U31" s="32">
        <f>SUMIFS(EGRESOS!$C$4:$C$593,EGRESOS!$A$4:$A$593,U$1,EGRESOS!$E$4:$E$593,GASTOS!A58)</f>
        <v>0</v>
      </c>
      <c r="V31" s="32">
        <f>SUMIFS(EGRESOS!$C$4:$C$593,EGRESOS!$A$4:$A$593,V$1,EGRESOS!$E$4:$E$593,GASTOS!A58)</f>
        <v>15</v>
      </c>
      <c r="W31" s="32">
        <f>SUMIFS(EGRESOS!$C$4:$C$593,EGRESOS!$A$4:$A$593,W$1,EGRESOS!$E$4:$E$593,GASTOS!A58)</f>
        <v>0</v>
      </c>
      <c r="X31" s="32">
        <f>SUMIFS(EGRESOS!$C$4:$C$593,EGRESOS!$A$4:$A$593,X$1,EGRESOS!$E$4:$E$593,GASTOS!A58)</f>
        <v>0</v>
      </c>
      <c r="Y31" s="32">
        <f>SUMIFS(EGRESOS!$C$4:$C$593,EGRESOS!$A$4:$A$593,Y$1,EGRESOS!$E$4:$E$593,GASTOS!A58)</f>
        <v>0</v>
      </c>
      <c r="Z31" s="32">
        <f>SUMIFS(EGRESOS!$C$4:$C$593,EGRESOS!$A$4:$A$593,Z$1,EGRESOS!$E$4:$E$593,GASTOS!A58)</f>
        <v>0</v>
      </c>
      <c r="AA31" s="32">
        <f>SUMIFS(EGRESOS!$C$4:$C$593,EGRESOS!$A$4:$A$593,AA$1,EGRESOS!$E$4:$E$593,GASTOS!A58)</f>
        <v>0</v>
      </c>
      <c r="AB31" s="32">
        <f>SUMIFS(EGRESOS!$C$4:$C$593,EGRESOS!$A$4:$A$593,AB$1,EGRESOS!$E$4:$E$593,GASTOS!A58)</f>
        <v>0</v>
      </c>
      <c r="AC31" s="32">
        <f>IF(PROPIETARIOS!E33&lt;&gt;"",SUMIFS(EGRESOS!$C$4:$C$593,EGRESOS!$A$4:$A$593,AC$1,EGRESOS!$E$4:$E$593,GASTOS!A58),0)</f>
        <v>76.5</v>
      </c>
      <c r="AD31" s="32">
        <f>IF(PROPIETARIOS!F27&lt;&gt;"",SUMIFS(EGRESOS!$C$4:$C$593,EGRESOS!$A$4:$A$593,AD$1,EGRESOS!$E$4:$E$593,GASTOS!A58),0)</f>
        <v>0</v>
      </c>
      <c r="AE31" s="32">
        <f>SUMIFS(EGRESOS!$C$4:$C$593,EGRESOS!$A$4:$A$593,AE$1,EGRESOS!$E$4:$E$593,GASTOS!$A$58)</f>
        <v>230</v>
      </c>
      <c r="AF31" s="25">
        <f>IF(PROPIETARIOS!H27&lt;&gt;"",SUMIFS(EGRESOS!$C$4:$C$593,EGRESOS!$A$4:$A$593,AF$1,EGRESOS!$E$4:$E$593,GASTOS!$A$58),0)</f>
        <v>0</v>
      </c>
      <c r="AG31" s="32">
        <f>IF(PROPIETARIOS!I33&lt;&gt;"",SUMIFS(EGRESOS!$C$4:$C$593,EGRESOS!$A$4:$A$593,AG$1,EGRESOS!$E$4:$E$593,GASTOS!A58),0)</f>
        <v>0</v>
      </c>
      <c r="AH31" s="32">
        <f>IF(PROPIETARIOS!J33&lt;&gt;"",SUMIFS(EGRESOS!$C$4:$C$593,EGRESOS!$A$4:$A$593,AH$1,EGRESOS!$E$4:$E$593,GASTOS!A58),0)</f>
        <v>0</v>
      </c>
      <c r="AI31" s="32">
        <f>IF(PROPIETARIOS!K33&lt;&gt;"",SUMIFS(EGRESOS!$C$4:$C$593,EGRESOS!$A$4:$A$593,AI$1,EGRESOS!$E$4:$E$593,GASTOS!A58),0)</f>
        <v>0</v>
      </c>
      <c r="AJ31" s="32">
        <f>SUMIFS(EGRESOS!$C$4:$C$593,EGRESOS!$A$4:$A$593,AJ$1,EGRESOS!$E$4:$E$593,GASTOS!A58)</f>
        <v>0</v>
      </c>
      <c r="AK31" s="32">
        <f>SUMIFS(EGRESOS!$C$4:$C$593,EGRESOS!$A$4:$A$593,AK$1,EGRESOS!$E$4:$E$593,GASTOS!A58)</f>
        <v>0</v>
      </c>
      <c r="AL31" s="32">
        <f>SUMIFS(EGRESOS!$C$4:$C$593,EGRESOS!$A$4:$A$593,AL$1,EGRESOS!$E$4:$E$593,GASTOS!A58)</f>
        <v>0</v>
      </c>
      <c r="AM31" s="32">
        <f>D31*$C$31%</f>
        <v>5.1120000000000001</v>
      </c>
      <c r="AN31" s="32">
        <f t="shared" ref="AN31:BK31" si="35">E31*$C$31%</f>
        <v>-2.4139999999999997</v>
      </c>
      <c r="AO31" s="32">
        <f t="shared" si="35"/>
        <v>2.698</v>
      </c>
      <c r="AP31" s="32">
        <f t="shared" si="35"/>
        <v>0</v>
      </c>
      <c r="AQ31" s="32">
        <f t="shared" si="35"/>
        <v>4.5439999999999996</v>
      </c>
      <c r="AR31" s="32">
        <f t="shared" si="35"/>
        <v>2.698</v>
      </c>
      <c r="AS31" s="32">
        <f t="shared" si="35"/>
        <v>0</v>
      </c>
      <c r="AT31" s="32">
        <f t="shared" si="35"/>
        <v>0.42599999999999999</v>
      </c>
      <c r="AU31" s="32">
        <f t="shared" si="35"/>
        <v>0</v>
      </c>
      <c r="AV31" s="32">
        <f t="shared" si="35"/>
        <v>1.1359999999999999</v>
      </c>
      <c r="AW31" s="32">
        <f t="shared" si="35"/>
        <v>0.56799999999999995</v>
      </c>
      <c r="AX31" s="32">
        <f t="shared" si="35"/>
        <v>0</v>
      </c>
      <c r="AY31" s="32">
        <f t="shared" si="35"/>
        <v>0</v>
      </c>
      <c r="AZ31" s="32">
        <f t="shared" si="35"/>
        <v>0</v>
      </c>
      <c r="BA31" s="32">
        <f t="shared" si="35"/>
        <v>0</v>
      </c>
      <c r="BB31" s="32">
        <f t="shared" si="35"/>
        <v>0</v>
      </c>
      <c r="BC31" s="32">
        <f t="shared" si="35"/>
        <v>0</v>
      </c>
      <c r="BD31" s="32">
        <f t="shared" si="35"/>
        <v>0</v>
      </c>
      <c r="BE31" s="32">
        <f t="shared" si="35"/>
        <v>0.42599999999999999</v>
      </c>
      <c r="BF31" s="32">
        <f t="shared" si="35"/>
        <v>0</v>
      </c>
      <c r="BG31" s="32">
        <f t="shared" si="35"/>
        <v>0</v>
      </c>
      <c r="BH31" s="32">
        <f t="shared" si="35"/>
        <v>0</v>
      </c>
      <c r="BI31" s="32">
        <f t="shared" si="35"/>
        <v>0</v>
      </c>
      <c r="BJ31" s="32">
        <f t="shared" si="35"/>
        <v>0</v>
      </c>
      <c r="BK31" s="32">
        <f t="shared" si="35"/>
        <v>0</v>
      </c>
      <c r="BL31" s="32">
        <f t="shared" si="5"/>
        <v>2.1725999999999996</v>
      </c>
      <c r="BM31" s="32">
        <f>IFERROR(AD31/COUNTIF(PROPIETARIOS!$F$4:$F$38,"GNC02"),0)</f>
        <v>0</v>
      </c>
      <c r="BN31" s="32">
        <f>IFERROR(AE31/COUNTIF(PROPIETARIOS!$G$4:$G$38,"GNC03"),0)</f>
        <v>6.5714285714285712</v>
      </c>
      <c r="BO31" s="32">
        <f>IFERROR(AF31/COUNTIF(PROPIETARIOS!$H$4:$H$38,"GNC04"),0)</f>
        <v>0</v>
      </c>
      <c r="BP31" s="32">
        <f>IFERROR(AG31/COUNTIF(PROPIETARIOS!$I$4:$I$38,"GNC05"),0)</f>
        <v>0</v>
      </c>
      <c r="BQ31" s="32">
        <v>0</v>
      </c>
      <c r="BR31" s="32">
        <v>0</v>
      </c>
      <c r="BS31" s="204">
        <f t="shared" si="1"/>
        <v>841.5</v>
      </c>
      <c r="BT31" s="204">
        <f t="shared" si="2"/>
        <v>23.938028571428571</v>
      </c>
      <c r="BU31" s="41" t="s">
        <v>274</v>
      </c>
      <c r="BV31" s="34">
        <f t="shared" ca="1" si="32"/>
        <v>46209</v>
      </c>
      <c r="BW31" s="30">
        <v>0</v>
      </c>
      <c r="BX31" s="36">
        <f>Hoja6!FR33</f>
        <v>0</v>
      </c>
      <c r="BY31" s="30" t="str">
        <f t="shared" si="6"/>
        <v>2,84</v>
      </c>
      <c r="BZ31" s="27" t="s">
        <v>425</v>
      </c>
      <c r="CA31" s="28" t="str">
        <f>convertirnum(Tabla1[[#This Row],[TOTALAL]])</f>
        <v>VEINTITRES CON 94/100 DÓLARES</v>
      </c>
      <c r="CB31" s="28">
        <f>5%*Hoja6!FT33</f>
        <v>0</v>
      </c>
      <c r="CC31" s="192">
        <f>IF(Tabla1[[#This Row],[DEUDA]]&gt;0,Hoja6!HL33,0)</f>
        <v>0</v>
      </c>
      <c r="CD31" s="28">
        <f>Hoja6!HM33</f>
        <v>0</v>
      </c>
      <c r="CE31" s="200">
        <f>IF(Tabla1[[#This Row],[DEUDA]]&gt;0,Hoja6!FT33,0)</f>
        <v>0</v>
      </c>
      <c r="CF31" s="28" t="str">
        <f>"_"&amp;Tabla1[[#This Row],[APTO-LOCAL-OFIC.]]&amp;" "&amp;Tabla1[[#This Row],[PROPIETARIO]]&amp;"-"</f>
        <v>_OFICINA 2 JUDITH BOTARDO-</v>
      </c>
    </row>
    <row r="32" spans="1:86" ht="18" customHeight="1">
      <c r="A32" s="22" t="s">
        <v>54</v>
      </c>
      <c r="B32" s="23" t="s">
        <v>55</v>
      </c>
      <c r="C32" s="23">
        <v>2.92</v>
      </c>
      <c r="D32" s="25">
        <f>SUMIFS(EGRESOS!$C$4:$C$593,EGRESOS!$A$4:$A$593,D$1,EGRESOS!$E$4:$E$593,GASTOS!A58)</f>
        <v>180</v>
      </c>
      <c r="E32" s="25">
        <f>SUMIFS(EGRESOS!$C$4:$C$593,EGRESOS!$A$4:$A$593,E$1,EGRESOS!$E$4:$E$593,GASTOS!A58)</f>
        <v>-85</v>
      </c>
      <c r="F32" s="25">
        <f>SUMIFS(EGRESOS!$C$4:$C$593,EGRESOS!$A$4:$A$593,F$1,EGRESOS!$E$4:$E$593,GASTOS!A58)</f>
        <v>95</v>
      </c>
      <c r="G32" s="25">
        <f>SUMIFS(EGRESOS!$C$4:$C$593,EGRESOS!$A$4:$A$593,G$1,EGRESOS!$E$4:$E$593,GASTOS!A58)</f>
        <v>0</v>
      </c>
      <c r="H32" s="25">
        <f>SUMIFS(EGRESOS!$C$4:$C$593,EGRESOS!$A$4:$A$593,H$1,EGRESOS!$E$4:$E$593,GASTOS!A58)</f>
        <v>160</v>
      </c>
      <c r="I32" s="25">
        <f>SUMIFS(EGRESOS!$C$4:$C$593,EGRESOS!$A$4:$A$593,I$1,EGRESOS!$E$4:$E$593,GASTOS!A58)</f>
        <v>95</v>
      </c>
      <c r="J32" s="25">
        <f>SUMIFS(EGRESOS!$C$4:$C$593,EGRESOS!$A$4:$A$593,J$1,EGRESOS!$E$4:$E$593,GASTOS!A58)</f>
        <v>0</v>
      </c>
      <c r="K32" s="25">
        <f>SUMIFS(EGRESOS!$C$4:$C$593,EGRESOS!$A$4:$A$593,K$1,EGRESOS!$E$4:$E$593,GASTOS!A58)</f>
        <v>15</v>
      </c>
      <c r="L32" s="25">
        <f>SUMIFS(EGRESOS!$C$4:$C$593,EGRESOS!$A$4:$A$593,L$1,EGRESOS!$E$4:$E$593,GASTOS!A58)</f>
        <v>0</v>
      </c>
      <c r="M32" s="25">
        <f>SUMIFS(EGRESOS!$C$4:$C$593,EGRESOS!$A$4:$A$593,M$1,EGRESOS!$E$4:$E$593,GASTOS!A58)</f>
        <v>40</v>
      </c>
      <c r="N32" s="25">
        <f>SUMIFS(EGRESOS!$C$4:$C$593,EGRESOS!$A$4:$A$593,N$1,EGRESOS!$E$4:$E$593,GASTOS!A58)</f>
        <v>20</v>
      </c>
      <c r="O32" s="25">
        <f>SUMIFS(EGRESOS!$C$4:$C$593,EGRESOS!$A$4:$A$593,O$1,EGRESOS!$E$4:$E$593,GASTOS!A58)</f>
        <v>0</v>
      </c>
      <c r="P32" s="25">
        <f>SUMIFS(EGRESOS!$C$4:$C$593,EGRESOS!$A$4:$A$593,P$1,EGRESOS!$E$4:$E$593,GASTOS!A58)</f>
        <v>0</v>
      </c>
      <c r="Q32" s="25">
        <f>SUMIFS(EGRESOS!$C$4:$C$593,EGRESOS!$A$4:$A$593,Q$1,EGRESOS!$E$4:$E$593,GASTOS!A58)</f>
        <v>0</v>
      </c>
      <c r="R32" s="25">
        <f>SUMIFS(EGRESOS!$C$4:$C$593,EGRESOS!$A$4:$A$593,R$1,EGRESOS!$E$4:$E$593,GASTOS!A58)</f>
        <v>0</v>
      </c>
      <c r="S32" s="25">
        <f>SUMIFS(EGRESOS!$C$4:$C$593,EGRESOS!$A$4:$A$593,S$1,EGRESOS!$E$4:$E$593,GASTOS!A58)</f>
        <v>0</v>
      </c>
      <c r="T32" s="25">
        <f>SUMIFS(EGRESOS!$C$4:$C$593,EGRESOS!$A$4:$A$593,T$1,EGRESOS!$E$4:$E$593,GASTOS!A58)</f>
        <v>0</v>
      </c>
      <c r="U32" s="25">
        <f>SUMIFS(EGRESOS!$C$4:$C$593,EGRESOS!$A$4:$A$593,U$1,EGRESOS!$E$4:$E$593,GASTOS!A58)</f>
        <v>0</v>
      </c>
      <c r="V32" s="25">
        <f>SUMIFS(EGRESOS!$C$4:$C$593,EGRESOS!$A$4:$A$593,V$1,EGRESOS!$E$4:$E$593,GASTOS!A58)</f>
        <v>15</v>
      </c>
      <c r="W32" s="25">
        <f>SUMIFS(EGRESOS!$C$4:$C$593,EGRESOS!$A$4:$A$593,W$1,EGRESOS!$E$4:$E$593,GASTOS!A58)</f>
        <v>0</v>
      </c>
      <c r="X32" s="25">
        <f>SUMIFS(EGRESOS!$C$4:$C$593,EGRESOS!$A$4:$A$593,X$1,EGRESOS!$E$4:$E$593,GASTOS!A58)</f>
        <v>0</v>
      </c>
      <c r="Y32" s="25">
        <f>SUMIFS(EGRESOS!$C$4:$C$593,EGRESOS!$A$4:$A$593,Y$1,EGRESOS!$E$4:$E$593,GASTOS!A58)</f>
        <v>0</v>
      </c>
      <c r="Z32" s="25">
        <f>SUMIFS(EGRESOS!$C$4:$C$593,EGRESOS!$A$4:$A$593,Z$1,EGRESOS!$E$4:$E$593,GASTOS!A58)</f>
        <v>0</v>
      </c>
      <c r="AA32" s="25">
        <f>SUMIFS(EGRESOS!$C$4:$C$593,EGRESOS!$A$4:$A$593,AA$1,EGRESOS!$E$4:$E$593,GASTOS!A58)</f>
        <v>0</v>
      </c>
      <c r="AB32" s="25">
        <f>SUMIFS(EGRESOS!$C$4:$C$593,EGRESOS!$A$4:$A$593,AB$1,EGRESOS!$E$4:$E$593,GASTOS!A58)</f>
        <v>0</v>
      </c>
      <c r="AC32" s="25">
        <f>IF(PROPIETARIOS!E34&lt;&gt;"",SUMIFS(EGRESOS!$C$4:$C$593,EGRESOS!$A$4:$A$593,AC$1,EGRESOS!$E$4:$E$593,GASTOS!A58),0)</f>
        <v>76.5</v>
      </c>
      <c r="AD32" s="25">
        <f>IF(PROPIETARIOS!F28&lt;&gt;"",SUMIFS(EGRESOS!$C$4:$C$593,EGRESOS!$A$4:$A$593,AD$1,EGRESOS!$E$4:$E$593,GASTOS!A58),0)</f>
        <v>0</v>
      </c>
      <c r="AE32" s="25">
        <f>SUMIFS(EGRESOS!$C$4:$C$593,EGRESOS!$A$4:$A$593,AE$1,EGRESOS!$E$4:$E$593,GASTOS!$A$58)</f>
        <v>230</v>
      </c>
      <c r="AF32" s="25">
        <f>IF(PROPIETARIOS!H28&lt;&gt;"",SUMIFS(EGRESOS!$C$4:$C$593,EGRESOS!$A$4:$A$593,AF$1,EGRESOS!$E$4:$E$593,GASTOS!$A$58),0)</f>
        <v>0</v>
      </c>
      <c r="AG32" s="25">
        <f>IF(PROPIETARIOS!I34&lt;&gt;"",SUMIFS(EGRESOS!$C$4:$C$593,EGRESOS!$A$4:$A$593,AG$1,EGRESOS!$E$4:$E$593,GASTOS!A58),0)</f>
        <v>0</v>
      </c>
      <c r="AH32" s="25">
        <f>IF(PROPIETARIOS!J34&lt;&gt;"",SUMIFS(EGRESOS!$C$4:$C$593,EGRESOS!$A$4:$A$593,AH$1,EGRESOS!$E$4:$E$593,GASTOS!A58),0)</f>
        <v>0</v>
      </c>
      <c r="AI32" s="25">
        <f>IF(PROPIETARIOS!K34&lt;&gt;"",SUMIFS(EGRESOS!$C$4:$C$593,EGRESOS!$A$4:$A$593,AI$1,EGRESOS!$E$4:$E$593,GASTOS!A58),0)</f>
        <v>0</v>
      </c>
      <c r="AJ32" s="25">
        <f>SUMIFS(EGRESOS!$C$4:$C$593,EGRESOS!$A$4:$A$593,AJ$1,EGRESOS!$E$4:$E$593,GASTOS!A58)</f>
        <v>0</v>
      </c>
      <c r="AK32" s="25">
        <f>SUMIFS(EGRESOS!$C$4:$C$593,EGRESOS!$A$4:$A$593,AK$1,EGRESOS!$E$4:$E$593,GASTOS!A58)</f>
        <v>0</v>
      </c>
      <c r="AL32" s="25">
        <f>SUMIFS(EGRESOS!$C$4:$C$593,EGRESOS!$A$4:$A$593,AL$1,EGRESOS!$E$4:$E$593,GASTOS!A58)</f>
        <v>0</v>
      </c>
      <c r="AM32" s="25">
        <f>D32*$C$32%</f>
        <v>5.2560000000000002</v>
      </c>
      <c r="AN32" s="25">
        <f t="shared" ref="AN32:BK32" si="36">E32*$C$32%</f>
        <v>-2.4820000000000002</v>
      </c>
      <c r="AO32" s="25">
        <f t="shared" si="36"/>
        <v>2.774</v>
      </c>
      <c r="AP32" s="25">
        <f t="shared" si="36"/>
        <v>0</v>
      </c>
      <c r="AQ32" s="25">
        <f t="shared" si="36"/>
        <v>4.6719999999999997</v>
      </c>
      <c r="AR32" s="25">
        <f t="shared" si="36"/>
        <v>2.774</v>
      </c>
      <c r="AS32" s="25">
        <f t="shared" si="36"/>
        <v>0</v>
      </c>
      <c r="AT32" s="25">
        <f t="shared" si="36"/>
        <v>0.438</v>
      </c>
      <c r="AU32" s="25">
        <f t="shared" si="36"/>
        <v>0</v>
      </c>
      <c r="AV32" s="25">
        <f t="shared" si="36"/>
        <v>1.1679999999999999</v>
      </c>
      <c r="AW32" s="25">
        <f t="shared" si="36"/>
        <v>0.58399999999999996</v>
      </c>
      <c r="AX32" s="25">
        <f t="shared" si="36"/>
        <v>0</v>
      </c>
      <c r="AY32" s="25">
        <f t="shared" si="36"/>
        <v>0</v>
      </c>
      <c r="AZ32" s="25">
        <f t="shared" si="36"/>
        <v>0</v>
      </c>
      <c r="BA32" s="25">
        <f t="shared" si="36"/>
        <v>0</v>
      </c>
      <c r="BB32" s="25">
        <f t="shared" si="36"/>
        <v>0</v>
      </c>
      <c r="BC32" s="25">
        <f t="shared" si="36"/>
        <v>0</v>
      </c>
      <c r="BD32" s="25">
        <f t="shared" si="36"/>
        <v>0</v>
      </c>
      <c r="BE32" s="25">
        <f t="shared" si="36"/>
        <v>0.438</v>
      </c>
      <c r="BF32" s="25">
        <f t="shared" si="36"/>
        <v>0</v>
      </c>
      <c r="BG32" s="25">
        <f t="shared" si="36"/>
        <v>0</v>
      </c>
      <c r="BH32" s="25">
        <f t="shared" si="36"/>
        <v>0</v>
      </c>
      <c r="BI32" s="25">
        <f t="shared" si="36"/>
        <v>0</v>
      </c>
      <c r="BJ32" s="25">
        <f t="shared" si="36"/>
        <v>0</v>
      </c>
      <c r="BK32" s="25">
        <f t="shared" si="36"/>
        <v>0</v>
      </c>
      <c r="BL32" s="25">
        <f t="shared" si="5"/>
        <v>2.2338</v>
      </c>
      <c r="BM32" s="25">
        <f>IFERROR(AD32/COUNTIF(PROPIETARIOS!$F$4:$F$38,"GNC02"),0)</f>
        <v>0</v>
      </c>
      <c r="BN32" s="25">
        <f>IFERROR(AE32/COUNTIF(PROPIETARIOS!$G$4:$G$38,"GNC03"),0)</f>
        <v>6.5714285714285712</v>
      </c>
      <c r="BO32" s="25">
        <f>IFERROR(AF32/COUNTIF(PROPIETARIOS!$H$4:$H$38,"GNC04"),0)</f>
        <v>0</v>
      </c>
      <c r="BP32" s="25">
        <f>IFERROR(AG32/COUNTIF(PROPIETARIOS!$I$4:$I$38,"GNC05"),0)</f>
        <v>0</v>
      </c>
      <c r="BQ32" s="25">
        <v>0</v>
      </c>
      <c r="BR32" s="25">
        <v>0</v>
      </c>
      <c r="BS32" s="203">
        <f t="shared" si="1"/>
        <v>841.5</v>
      </c>
      <c r="BT32" s="203">
        <f t="shared" si="2"/>
        <v>24.427228571428568</v>
      </c>
      <c r="BU32" s="26" t="s">
        <v>506</v>
      </c>
      <c r="BV32" s="34">
        <f t="shared" ca="1" si="32"/>
        <v>46209</v>
      </c>
      <c r="BW32" s="38">
        <v>0</v>
      </c>
      <c r="BX32" s="36">
        <f>Hoja6!FR34</f>
        <v>0</v>
      </c>
      <c r="BY32" s="23" t="str">
        <f t="shared" si="6"/>
        <v>2,92</v>
      </c>
      <c r="BZ32" s="27" t="s">
        <v>425</v>
      </c>
      <c r="CA32" s="28" t="str">
        <f>convertirnum(Tabla1[[#This Row],[TOTALAL]])</f>
        <v>VEINTICUATRO CON 43/100 DÓLARES</v>
      </c>
      <c r="CB32" s="28">
        <f>5%*Hoja6!FT34</f>
        <v>0</v>
      </c>
      <c r="CC32" s="192">
        <f>IF(Tabla1[[#This Row],[DEUDA]]&gt;0,Hoja6!HL34,0)</f>
        <v>0</v>
      </c>
      <c r="CD32" s="28">
        <f>Hoja6!HM34</f>
        <v>0</v>
      </c>
      <c r="CE32" s="200">
        <f>IF(Tabla1[[#This Row],[DEUDA]]&gt;0,Hoja6!FT34,0)</f>
        <v>0</v>
      </c>
      <c r="CF32" s="28" t="str">
        <f>"_"&amp;Tabla1[[#This Row],[APTO-LOCAL-OFIC.]]&amp;" "&amp;Tabla1[[#This Row],[PROPIETARIO]]&amp;"-"</f>
        <v>_OFICINA 3 V.C. CONSTRUCCIONES-</v>
      </c>
      <c r="CG32">
        <f>27000*35</f>
        <v>945000</v>
      </c>
      <c r="CH32">
        <f>CG32*2</f>
        <v>1890000</v>
      </c>
    </row>
    <row r="33" spans="1:86" ht="18" customHeight="1">
      <c r="A33" s="29" t="s">
        <v>56</v>
      </c>
      <c r="B33" s="30" t="s">
        <v>57</v>
      </c>
      <c r="C33" s="30">
        <v>3.17</v>
      </c>
      <c r="D33" s="32">
        <f>SUMIFS(EGRESOS!$C$4:$C$593,EGRESOS!$A$4:$A$593,D$1,EGRESOS!$E$4:$E$593,GASTOS!A58)</f>
        <v>180</v>
      </c>
      <c r="E33" s="32">
        <f>SUMIFS(EGRESOS!$C$4:$C$593,EGRESOS!$A$4:$A$593,E$1,EGRESOS!$E$4:$E$593,GASTOS!A58)</f>
        <v>-85</v>
      </c>
      <c r="F33" s="32">
        <f>SUMIFS(EGRESOS!$C$4:$C$593,EGRESOS!$A$4:$A$593,F$1,EGRESOS!$E$4:$E$593,GASTOS!A58)</f>
        <v>95</v>
      </c>
      <c r="G33" s="32">
        <f>SUMIFS(EGRESOS!$C$4:$C$593,EGRESOS!$A$4:$A$593,G$1,EGRESOS!$E$4:$E$593,GASTOS!A58)</f>
        <v>0</v>
      </c>
      <c r="H33" s="32">
        <f>SUMIFS(EGRESOS!$C$4:$C$593,EGRESOS!$A$4:$A$593,H$1,EGRESOS!$E$4:$E$593,GASTOS!A58)</f>
        <v>160</v>
      </c>
      <c r="I33" s="32">
        <f>SUMIFS(EGRESOS!$C$4:$C$593,EGRESOS!$A$4:$A$593,I$1,EGRESOS!$E$4:$E$593,GASTOS!A58)</f>
        <v>95</v>
      </c>
      <c r="J33" s="32">
        <f>SUMIFS(EGRESOS!$C$4:$C$593,EGRESOS!$A$4:$A$593,J$1,EGRESOS!$E$4:$E$593,GASTOS!A58)</f>
        <v>0</v>
      </c>
      <c r="K33" s="32">
        <f>SUMIFS(EGRESOS!$C$4:$C$593,EGRESOS!$A$4:$A$593,K$1,EGRESOS!$E$4:$E$593,GASTOS!A58)</f>
        <v>15</v>
      </c>
      <c r="L33" s="32">
        <f>SUMIFS(EGRESOS!$C$4:$C$593,EGRESOS!$A$4:$A$593,L$1,EGRESOS!$E$4:$E$593,GASTOS!A58)</f>
        <v>0</v>
      </c>
      <c r="M33" s="32">
        <f>SUMIFS(EGRESOS!$C$4:$C$593,EGRESOS!$A$4:$A$593,M$1,EGRESOS!$E$4:$E$593,GASTOS!A58)</f>
        <v>40</v>
      </c>
      <c r="N33" s="32">
        <f>SUMIFS(EGRESOS!$C$4:$C$593,EGRESOS!$A$4:$A$593,N$1,EGRESOS!$E$4:$E$593,GASTOS!A58)</f>
        <v>20</v>
      </c>
      <c r="O33" s="32">
        <f>SUMIFS(EGRESOS!$C$4:$C$593,EGRESOS!$A$4:$A$593,O$1,EGRESOS!$E$4:$E$593,GASTOS!A58)</f>
        <v>0</v>
      </c>
      <c r="P33" s="32">
        <f>SUMIFS(EGRESOS!$C$4:$C$593,EGRESOS!$A$4:$A$593,P$1,EGRESOS!$E$4:$E$593,GASTOS!A58)</f>
        <v>0</v>
      </c>
      <c r="Q33" s="32">
        <f>SUMIFS(EGRESOS!$C$4:$C$593,EGRESOS!$A$4:$A$593,Q$1,EGRESOS!$E$4:$E$593,GASTOS!A58)</f>
        <v>0</v>
      </c>
      <c r="R33" s="32">
        <f>SUMIFS(EGRESOS!$C$4:$C$593,EGRESOS!$A$4:$A$593,R$1,EGRESOS!$E$4:$E$593,GASTOS!A58)</f>
        <v>0</v>
      </c>
      <c r="S33" s="32">
        <f>SUMIFS(EGRESOS!$C$4:$C$593,EGRESOS!$A$4:$A$593,S$1,EGRESOS!$E$4:$E$593,GASTOS!A58)</f>
        <v>0</v>
      </c>
      <c r="T33" s="32">
        <f>SUMIFS(EGRESOS!$C$4:$C$593,EGRESOS!$A$4:$A$593,T$1,EGRESOS!$E$4:$E$593,GASTOS!A58)</f>
        <v>0</v>
      </c>
      <c r="U33" s="32">
        <f>SUMIFS(EGRESOS!$C$4:$C$593,EGRESOS!$A$4:$A$593,U$1,EGRESOS!$E$4:$E$593,GASTOS!A58)</f>
        <v>0</v>
      </c>
      <c r="V33" s="32">
        <f>SUMIFS(EGRESOS!$C$4:$C$593,EGRESOS!$A$4:$A$593,V$1,EGRESOS!$E$4:$E$593,GASTOS!A58)</f>
        <v>15</v>
      </c>
      <c r="W33" s="32">
        <f>SUMIFS(EGRESOS!$C$4:$C$593,EGRESOS!$A$4:$A$593,W$1,EGRESOS!$E$4:$E$593,GASTOS!A58)</f>
        <v>0</v>
      </c>
      <c r="X33" s="32">
        <f>SUMIFS(EGRESOS!$C$4:$C$593,EGRESOS!$A$4:$A$593,X$1,EGRESOS!$E$4:$E$593,GASTOS!A58)</f>
        <v>0</v>
      </c>
      <c r="Y33" s="32">
        <f>SUMIFS(EGRESOS!$C$4:$C$593,EGRESOS!$A$4:$A$593,Y$1,EGRESOS!$E$4:$E$593,GASTOS!A58)</f>
        <v>0</v>
      </c>
      <c r="Z33" s="32">
        <f>SUMIFS(EGRESOS!$C$4:$C$593,EGRESOS!$A$4:$A$593,Z$1,EGRESOS!$E$4:$E$593,GASTOS!A58)</f>
        <v>0</v>
      </c>
      <c r="AA33" s="32">
        <f>SUMIFS(EGRESOS!$C$4:$C$593,EGRESOS!$A$4:$A$593,AA$1,EGRESOS!$E$4:$E$593,GASTOS!A58)</f>
        <v>0</v>
      </c>
      <c r="AB33" s="32">
        <f>SUMIFS(EGRESOS!$C$4:$C$593,EGRESOS!$A$4:$A$593,AB$1,EGRESOS!$E$4:$E$593,GASTOS!A58)</f>
        <v>0</v>
      </c>
      <c r="AC33" s="32">
        <f>IF(PROPIETARIOS!E35&lt;&gt;"",SUMIFS(EGRESOS!$C$4:$C$593,EGRESOS!$A$4:$A$593,AC$1,EGRESOS!$E$4:$E$593,GASTOS!A58),0)</f>
        <v>76.5</v>
      </c>
      <c r="AD33" s="32">
        <f>IF(PROPIETARIOS!F29&lt;&gt;"",SUMIFS(EGRESOS!$C$4:$C$593,EGRESOS!$A$4:$A$593,AD$1,EGRESOS!$E$4:$E$593,GASTOS!A58),0)</f>
        <v>0</v>
      </c>
      <c r="AE33" s="32">
        <f>SUMIFS(EGRESOS!$C$4:$C$593,EGRESOS!$A$4:$A$593,AE$1,EGRESOS!$E$4:$E$593,GASTOS!$A$58)</f>
        <v>230</v>
      </c>
      <c r="AF33" s="25">
        <f>IF(PROPIETARIOS!H29&lt;&gt;"",SUMIFS(EGRESOS!$C$4:$C$593,EGRESOS!$A$4:$A$593,AF$1,EGRESOS!$E$4:$E$593,GASTOS!$A$58),0)</f>
        <v>0</v>
      </c>
      <c r="AG33" s="32">
        <f>IF(PROPIETARIOS!I28&lt;&gt;"",SUMIFS(EGRESOS!$C$4:$C$593,EGRESOS!$A$4:$A$593,AG$1,EGRESOS!$E$4:$E$593,GASTOS!A58),0)</f>
        <v>0</v>
      </c>
      <c r="AH33" s="32">
        <f>IF(PROPIETARIOS!J35&lt;&gt;"",SUMIFS(EGRESOS!$C$4:$C$593,EGRESOS!$A$4:$A$593,AH$1,EGRESOS!$E$4:$E$593,GASTOS!A58),0)</f>
        <v>0</v>
      </c>
      <c r="AI33" s="32">
        <f>IF(PROPIETARIOS!K35&lt;&gt;"",SUMIFS(EGRESOS!$C$4:$C$593,EGRESOS!$A$4:$A$593,AI$1,EGRESOS!$E$4:$E$593,GASTOS!A58),0)</f>
        <v>0</v>
      </c>
      <c r="AJ33" s="32">
        <f>SUMIFS(EGRESOS!$C$4:$C$593,EGRESOS!$A$4:$A$593,AJ$1,EGRESOS!$E$4:$E$593,GASTOS!A58)</f>
        <v>0</v>
      </c>
      <c r="AK33" s="32">
        <f>SUMIFS(EGRESOS!$C$4:$C$593,EGRESOS!$A$4:$A$593,AK$1,EGRESOS!$E$4:$E$593,GASTOS!A58)</f>
        <v>0</v>
      </c>
      <c r="AL33" s="32">
        <f>SUMIFS(EGRESOS!$C$4:$C$593,EGRESOS!$A$4:$A$593,AL$1,EGRESOS!$E$4:$E$593,GASTOS!A58)</f>
        <v>0</v>
      </c>
      <c r="AM33" s="32">
        <f>D33*$C$33%</f>
        <v>5.7059999999999995</v>
      </c>
      <c r="AN33" s="32">
        <f t="shared" ref="AN33:BK33" si="37">E33*$C$33%</f>
        <v>-2.6945000000000001</v>
      </c>
      <c r="AO33" s="32">
        <f t="shared" si="37"/>
        <v>3.0114999999999998</v>
      </c>
      <c r="AP33" s="32">
        <f t="shared" si="37"/>
        <v>0</v>
      </c>
      <c r="AQ33" s="32">
        <f t="shared" si="37"/>
        <v>5.0720000000000001</v>
      </c>
      <c r="AR33" s="32">
        <f t="shared" si="37"/>
        <v>3.0114999999999998</v>
      </c>
      <c r="AS33" s="32">
        <f t="shared" si="37"/>
        <v>0</v>
      </c>
      <c r="AT33" s="32">
        <f t="shared" si="37"/>
        <v>0.47549999999999998</v>
      </c>
      <c r="AU33" s="32">
        <f t="shared" si="37"/>
        <v>0</v>
      </c>
      <c r="AV33" s="32">
        <f t="shared" si="37"/>
        <v>1.268</v>
      </c>
      <c r="AW33" s="32">
        <f t="shared" si="37"/>
        <v>0.63400000000000001</v>
      </c>
      <c r="AX33" s="32">
        <f t="shared" si="37"/>
        <v>0</v>
      </c>
      <c r="AY33" s="32">
        <f t="shared" si="37"/>
        <v>0</v>
      </c>
      <c r="AZ33" s="32">
        <f t="shared" si="37"/>
        <v>0</v>
      </c>
      <c r="BA33" s="32">
        <f t="shared" si="37"/>
        <v>0</v>
      </c>
      <c r="BB33" s="32">
        <f t="shared" si="37"/>
        <v>0</v>
      </c>
      <c r="BC33" s="32">
        <f t="shared" si="37"/>
        <v>0</v>
      </c>
      <c r="BD33" s="32">
        <f t="shared" si="37"/>
        <v>0</v>
      </c>
      <c r="BE33" s="32">
        <f t="shared" si="37"/>
        <v>0.47549999999999998</v>
      </c>
      <c r="BF33" s="32">
        <f t="shared" si="37"/>
        <v>0</v>
      </c>
      <c r="BG33" s="32">
        <f t="shared" si="37"/>
        <v>0</v>
      </c>
      <c r="BH33" s="32">
        <f t="shared" si="37"/>
        <v>0</v>
      </c>
      <c r="BI33" s="32">
        <f t="shared" si="37"/>
        <v>0</v>
      </c>
      <c r="BJ33" s="32">
        <f t="shared" si="37"/>
        <v>0</v>
      </c>
      <c r="BK33" s="32">
        <f t="shared" si="37"/>
        <v>0</v>
      </c>
      <c r="BL33" s="32">
        <f t="shared" si="5"/>
        <v>2.4250499999999997</v>
      </c>
      <c r="BM33" s="32">
        <f>IFERROR(AD33/COUNTIF(PROPIETARIOS!$F$4:$F$38,"GNC02"),0)</f>
        <v>0</v>
      </c>
      <c r="BN33" s="32">
        <f>IFERROR(AE33/COUNTIF(PROPIETARIOS!$G$4:$G$38,"GNC03"),0)</f>
        <v>6.5714285714285712</v>
      </c>
      <c r="BO33" s="32">
        <f>IFERROR(AF33/COUNTIF(PROPIETARIOS!$H$4:$H$38,"GNC04"),0)</f>
        <v>0</v>
      </c>
      <c r="BP33" s="32">
        <f>IFERROR(AG33/COUNTIF(PROPIETARIOS!$I$4:$I$38,"GNC05"),0)</f>
        <v>0</v>
      </c>
      <c r="BQ33" s="32">
        <v>0</v>
      </c>
      <c r="BR33" s="32">
        <v>0</v>
      </c>
      <c r="BS33" s="204">
        <f t="shared" si="1"/>
        <v>841.5</v>
      </c>
      <c r="BT33" s="204">
        <f t="shared" si="2"/>
        <v>25.955978571428567</v>
      </c>
      <c r="BU33" s="26" t="s">
        <v>506</v>
      </c>
      <c r="BV33" s="34">
        <f t="shared" ca="1" si="32"/>
        <v>46209</v>
      </c>
      <c r="BW33" s="36">
        <v>0</v>
      </c>
      <c r="BX33" s="36">
        <f>Hoja6!FR35</f>
        <v>0</v>
      </c>
      <c r="BY33" s="30" t="str">
        <f t="shared" si="6"/>
        <v>3,17</v>
      </c>
      <c r="BZ33" s="27" t="s">
        <v>425</v>
      </c>
      <c r="CA33" s="28" t="str">
        <f>convertirnum(Tabla1[[#This Row],[TOTALAL]])</f>
        <v>VEINTICINCO CON 96/100 DÓLARES</v>
      </c>
      <c r="CB33" s="28">
        <f>5%*Hoja6!FT35</f>
        <v>0</v>
      </c>
      <c r="CC33" s="192">
        <f>IF(Tabla1[[#This Row],[DEUDA]]&gt;0,Hoja6!HL35,0)</f>
        <v>0</v>
      </c>
      <c r="CD33" s="28">
        <f>Hoja6!HM35</f>
        <v>0</v>
      </c>
      <c r="CE33" s="200">
        <f>IF(Tabla1[[#This Row],[DEUDA]]&gt;0,Hoja6!FT35,0)</f>
        <v>0</v>
      </c>
      <c r="CF33" s="28" t="str">
        <f>"_"&amp;Tabla1[[#This Row],[APTO-LOCAL-OFIC.]]&amp;" "&amp;Tabla1[[#This Row],[PROPIETARIO]]&amp;"-"</f>
        <v>_OFICINA 4 ELEAZAR ROSA AREVALO-</v>
      </c>
      <c r="CH33">
        <f>750000/30</f>
        <v>25000</v>
      </c>
    </row>
    <row r="34" spans="1:86" ht="18" customHeight="1">
      <c r="A34" s="22" t="s">
        <v>58</v>
      </c>
      <c r="B34" s="23" t="s">
        <v>59</v>
      </c>
      <c r="C34" s="23">
        <v>4.49</v>
      </c>
      <c r="D34" s="25">
        <f>SUMIFS(EGRESOS!$C$4:$C$593,EGRESOS!$A$4:$A$593,D$1,EGRESOS!$E$4:$E$593,GASTOS!A58)</f>
        <v>180</v>
      </c>
      <c r="E34" s="25">
        <f>SUMIFS(EGRESOS!$C$4:$C$593,EGRESOS!$A$4:$A$593,E$1,EGRESOS!$E$4:$E$593,GASTOS!A58)</f>
        <v>-85</v>
      </c>
      <c r="F34" s="25">
        <f>SUMIFS(EGRESOS!$C$4:$C$593,EGRESOS!$A$4:$A$593,F$1,EGRESOS!$E$4:$E$593,GASTOS!A58)</f>
        <v>95</v>
      </c>
      <c r="G34" s="25">
        <f>SUMIFS(EGRESOS!$C$4:$C$593,EGRESOS!$A$4:$A$593,G$1,EGRESOS!$E$4:$E$593,GASTOS!A58)</f>
        <v>0</v>
      </c>
      <c r="H34" s="25">
        <f>SUMIFS(EGRESOS!$C$4:$C$593,EGRESOS!$A$4:$A$593,H$1,EGRESOS!$E$4:$E$593,GASTOS!A58)</f>
        <v>160</v>
      </c>
      <c r="I34" s="25">
        <f>SUMIFS(EGRESOS!$C$4:$C$593,EGRESOS!$A$4:$A$593,I$1,EGRESOS!$E$4:$E$593,GASTOS!A58)</f>
        <v>95</v>
      </c>
      <c r="J34" s="25">
        <f>SUMIFS(EGRESOS!$C$4:$C$593,EGRESOS!$A$4:$A$593,J$1,EGRESOS!$E$4:$E$593,GASTOS!A58)</f>
        <v>0</v>
      </c>
      <c r="K34" s="25">
        <f>SUMIFS(EGRESOS!$C$4:$C$593,EGRESOS!$A$4:$A$593,K$1,EGRESOS!$E$4:$E$593,GASTOS!A58)</f>
        <v>15</v>
      </c>
      <c r="L34" s="25">
        <f>SUMIFS(EGRESOS!$C$4:$C$593,EGRESOS!$A$4:$A$593,L$1,EGRESOS!$E$4:$E$593,GASTOS!A58)</f>
        <v>0</v>
      </c>
      <c r="M34" s="25">
        <f>SUMIFS(EGRESOS!$C$4:$C$593,EGRESOS!$A$4:$A$593,M$1,EGRESOS!$E$4:$E$593,GASTOS!A58)</f>
        <v>40</v>
      </c>
      <c r="N34" s="25">
        <f>SUMIFS(EGRESOS!$C$4:$C$593,EGRESOS!$A$4:$A$593,N$1,EGRESOS!$E$4:$E$593,GASTOS!A58)</f>
        <v>20</v>
      </c>
      <c r="O34" s="25">
        <f>SUMIFS(EGRESOS!$C$4:$C$593,EGRESOS!$A$4:$A$593,O$1,EGRESOS!$E$4:$E$593,GASTOS!A58)</f>
        <v>0</v>
      </c>
      <c r="P34" s="25">
        <f>SUMIFS(EGRESOS!$C$4:$C$593,EGRESOS!$A$4:$A$593,P$1,EGRESOS!$E$4:$E$593,GASTOS!A58)</f>
        <v>0</v>
      </c>
      <c r="Q34" s="25">
        <f>SUMIFS(EGRESOS!$C$4:$C$593,EGRESOS!$A$4:$A$593,Q$1,EGRESOS!$E$4:$E$593,GASTOS!A58)</f>
        <v>0</v>
      </c>
      <c r="R34" s="25">
        <f>SUMIFS(EGRESOS!$C$4:$C$593,EGRESOS!$A$4:$A$593,R$1,EGRESOS!$E$4:$E$593,GASTOS!A58)</f>
        <v>0</v>
      </c>
      <c r="S34" s="25">
        <f>SUMIFS(EGRESOS!$C$4:$C$593,EGRESOS!$A$4:$A$593,S$1,EGRESOS!$E$4:$E$593,GASTOS!A58)</f>
        <v>0</v>
      </c>
      <c r="T34" s="25">
        <f>SUMIFS(EGRESOS!$C$4:$C$593,EGRESOS!$A$4:$A$593,T$1,EGRESOS!$E$4:$E$593,GASTOS!A58)</f>
        <v>0</v>
      </c>
      <c r="U34" s="25">
        <f>SUMIFS(EGRESOS!$C$4:$C$593,EGRESOS!$A$4:$A$593,U$1,EGRESOS!$E$4:$E$593,GASTOS!A58)</f>
        <v>0</v>
      </c>
      <c r="V34" s="25">
        <f>SUMIFS(EGRESOS!$C$4:$C$593,EGRESOS!$A$4:$A$593,V$1,EGRESOS!$E$4:$E$593,GASTOS!A58)</f>
        <v>15</v>
      </c>
      <c r="W34" s="25">
        <f>SUMIFS(EGRESOS!$C$4:$C$593,EGRESOS!$A$4:$A$593,W$1,EGRESOS!$E$4:$E$593,GASTOS!A58)</f>
        <v>0</v>
      </c>
      <c r="X34" s="25">
        <f>SUMIFS(EGRESOS!$C$4:$C$593,EGRESOS!$A$4:$A$593,X$1,EGRESOS!$E$4:$E$593,GASTOS!A58)</f>
        <v>0</v>
      </c>
      <c r="Y34" s="25">
        <f>SUMIFS(EGRESOS!$C$4:$C$593,EGRESOS!$A$4:$A$593,Y$1,EGRESOS!$E$4:$E$593,GASTOS!A58)</f>
        <v>0</v>
      </c>
      <c r="Z34" s="25">
        <f>SUMIFS(EGRESOS!$C$4:$C$593,EGRESOS!$A$4:$A$593,Z$1,EGRESOS!$E$4:$E$593,GASTOS!A58)</f>
        <v>0</v>
      </c>
      <c r="AA34" s="25">
        <f>SUMIFS(EGRESOS!$C$4:$C$593,EGRESOS!$A$4:$A$593,AA$1,EGRESOS!$E$4:$E$593,GASTOS!A58)</f>
        <v>0</v>
      </c>
      <c r="AB34" s="25">
        <f>SUMIFS(EGRESOS!$C$4:$C$593,EGRESOS!$A$4:$A$593,AB$1,EGRESOS!$E$4:$E$593,GASTOS!A58)</f>
        <v>0</v>
      </c>
      <c r="AC34" s="25">
        <f>IF(PROPIETARIOS!E36&lt;&gt;"",SUMIFS(EGRESOS!$C$4:$C$593,EGRESOS!$A$4:$A$593,AC$1,EGRESOS!$E$4:$E$593,GASTOS!A58),0)</f>
        <v>76.5</v>
      </c>
      <c r="AD34" s="25">
        <f>IF(PROPIETARIOS!F30&lt;&gt;"",SUMIFS(EGRESOS!$C$4:$C$593,EGRESOS!$A$4:$A$593,AD$1,EGRESOS!$E$4:$E$593,GASTOS!A58),0)</f>
        <v>0</v>
      </c>
      <c r="AE34" s="25">
        <f>SUMIFS(EGRESOS!$C$4:$C$593,EGRESOS!$A$4:$A$593,AE$1,EGRESOS!$E$4:$E$593,GASTOS!$A$58)</f>
        <v>230</v>
      </c>
      <c r="AF34" s="25">
        <f>IF(PROPIETARIOS!H30&lt;&gt;"",SUMIFS(EGRESOS!$C$4:$C$593,EGRESOS!$A$4:$A$593,AF$1,EGRESOS!$E$4:$E$593,GASTOS!$A$58),0)</f>
        <v>0</v>
      </c>
      <c r="AG34" s="25">
        <f>IF(PROPIETARIOS!I29&lt;&gt;"",SUMIFS(EGRESOS!$C$4:$C$593,EGRESOS!$A$4:$A$593,AG$1,EGRESOS!$E$4:$E$593,GASTOS!A58),0)</f>
        <v>0</v>
      </c>
      <c r="AH34" s="25">
        <f>IF(PROPIETARIOS!J36&lt;&gt;"",SUMIFS(EGRESOS!$C$4:$C$593,EGRESOS!$A$4:$A$593,AH$1,EGRESOS!$E$4:$E$593,GASTOS!A58),0)</f>
        <v>0</v>
      </c>
      <c r="AI34" s="25">
        <f>IF(PROPIETARIOS!K36&lt;&gt;"",SUMIFS(EGRESOS!$C$4:$C$593,EGRESOS!$A$4:$A$593,AI$1,EGRESOS!$E$4:$E$593,GASTOS!A58),0)</f>
        <v>0</v>
      </c>
      <c r="AJ34" s="25">
        <f>SUMIFS(EGRESOS!$C$4:$C$593,EGRESOS!$A$4:$A$593,AJ$1,EGRESOS!$E$4:$E$593,GASTOS!A58)</f>
        <v>0</v>
      </c>
      <c r="AK34" s="25">
        <f>SUMIFS(EGRESOS!$C$4:$C$593,EGRESOS!$A$4:$A$593,AK$1,EGRESOS!$E$4:$E$593,GASTOS!A58)</f>
        <v>0</v>
      </c>
      <c r="AL34" s="25">
        <f>SUMIFS(EGRESOS!$C$4:$C$593,EGRESOS!$A$4:$A$593,AL$1,EGRESOS!$E$4:$E$593,GASTOS!A58)</f>
        <v>0</v>
      </c>
      <c r="AM34" s="25">
        <f>D34*$C$34%</f>
        <v>8.0820000000000007</v>
      </c>
      <c r="AN34" s="25">
        <f t="shared" ref="AN34:BK34" si="38">E34*$C$34%</f>
        <v>-3.8165</v>
      </c>
      <c r="AO34" s="25">
        <f t="shared" si="38"/>
        <v>4.2655000000000003</v>
      </c>
      <c r="AP34" s="25">
        <f t="shared" si="38"/>
        <v>0</v>
      </c>
      <c r="AQ34" s="25">
        <f t="shared" si="38"/>
        <v>7.1840000000000002</v>
      </c>
      <c r="AR34" s="25">
        <f t="shared" si="38"/>
        <v>4.2655000000000003</v>
      </c>
      <c r="AS34" s="25">
        <f t="shared" si="38"/>
        <v>0</v>
      </c>
      <c r="AT34" s="25">
        <f t="shared" si="38"/>
        <v>0.67349999999999999</v>
      </c>
      <c r="AU34" s="25">
        <f t="shared" si="38"/>
        <v>0</v>
      </c>
      <c r="AV34" s="25">
        <f t="shared" si="38"/>
        <v>1.796</v>
      </c>
      <c r="AW34" s="25">
        <f t="shared" si="38"/>
        <v>0.89800000000000002</v>
      </c>
      <c r="AX34" s="25">
        <f t="shared" si="38"/>
        <v>0</v>
      </c>
      <c r="AY34" s="25">
        <f t="shared" si="38"/>
        <v>0</v>
      </c>
      <c r="AZ34" s="25">
        <f t="shared" si="38"/>
        <v>0</v>
      </c>
      <c r="BA34" s="25">
        <f t="shared" si="38"/>
        <v>0</v>
      </c>
      <c r="BB34" s="25">
        <f t="shared" si="38"/>
        <v>0</v>
      </c>
      <c r="BC34" s="25">
        <f t="shared" si="38"/>
        <v>0</v>
      </c>
      <c r="BD34" s="25">
        <f t="shared" si="38"/>
        <v>0</v>
      </c>
      <c r="BE34" s="25">
        <f t="shared" si="38"/>
        <v>0.67349999999999999</v>
      </c>
      <c r="BF34" s="25">
        <f t="shared" si="38"/>
        <v>0</v>
      </c>
      <c r="BG34" s="25">
        <f t="shared" si="38"/>
        <v>0</v>
      </c>
      <c r="BH34" s="25">
        <f t="shared" si="38"/>
        <v>0</v>
      </c>
      <c r="BI34" s="25">
        <f t="shared" si="38"/>
        <v>0</v>
      </c>
      <c r="BJ34" s="25">
        <f t="shared" si="38"/>
        <v>0</v>
      </c>
      <c r="BK34" s="25">
        <f t="shared" si="38"/>
        <v>0</v>
      </c>
      <c r="BL34" s="25">
        <f t="shared" si="5"/>
        <v>3.4348500000000004</v>
      </c>
      <c r="BM34" s="25">
        <f>IFERROR(AD34/COUNTIF(PROPIETARIOS!$F$4:$F$38,"GNC02"),0)</f>
        <v>0</v>
      </c>
      <c r="BN34" s="25">
        <f>IFERROR(AE34/COUNTIF(PROPIETARIOS!$G$4:$G$38,"GNC03"),0)</f>
        <v>6.5714285714285712</v>
      </c>
      <c r="BO34" s="25">
        <f>IFERROR(AF34/COUNTIF(PROPIETARIOS!$H$4:$H$38,"GNC04"),0)</f>
        <v>0</v>
      </c>
      <c r="BP34" s="25">
        <f>IFERROR(AG34/COUNTIF(PROPIETARIOS!$I$4:$I$38,"GNC05"),0)</f>
        <v>0</v>
      </c>
      <c r="BQ34" s="25">
        <v>0</v>
      </c>
      <c r="BR34" s="25">
        <v>0</v>
      </c>
      <c r="BS34" s="203">
        <f t="shared" si="1"/>
        <v>841.5</v>
      </c>
      <c r="BT34" s="203">
        <f t="shared" si="2"/>
        <v>34.02777857142857</v>
      </c>
      <c r="BU34" s="26" t="s">
        <v>242</v>
      </c>
      <c r="BV34" s="34">
        <f t="shared" ca="1" si="32"/>
        <v>46209</v>
      </c>
      <c r="BW34" s="23">
        <v>0</v>
      </c>
      <c r="BX34" s="36">
        <f>Hoja6!FR36</f>
        <v>0</v>
      </c>
      <c r="BY34" s="23" t="str">
        <f t="shared" si="6"/>
        <v>4,49</v>
      </c>
      <c r="BZ34" s="27" t="s">
        <v>425</v>
      </c>
      <c r="CA34" s="28" t="str">
        <f>convertirnum(Tabla1[[#This Row],[TOTALAL]])</f>
        <v>TREINTA Y CUATRO CON 03/100 DÓLARES</v>
      </c>
      <c r="CB34" s="28">
        <f>5%*Hoja6!FT36</f>
        <v>0</v>
      </c>
      <c r="CC34" s="192">
        <f>IF(Tabla1[[#This Row],[DEUDA]]&gt;0,Hoja6!HL36,0)</f>
        <v>0</v>
      </c>
      <c r="CD34" s="28">
        <f>Hoja6!HM36</f>
        <v>0</v>
      </c>
      <c r="CE34" s="200">
        <f>IF(Tabla1[[#This Row],[DEUDA]]&gt;0,Hoja6!FT36,0)</f>
        <v>0</v>
      </c>
      <c r="CF34" s="28" t="str">
        <f>"_"&amp;Tabla1[[#This Row],[APTO-LOCAL-OFIC.]]&amp;" "&amp;Tabla1[[#This Row],[PROPIETARIO]]&amp;"-"</f>
        <v>_OFICINA 5 DIVINA DIVININ C.A.-</v>
      </c>
    </row>
    <row r="35" spans="1:86" ht="18" customHeight="1">
      <c r="A35" s="29" t="s">
        <v>60</v>
      </c>
      <c r="B35" s="30" t="s">
        <v>59</v>
      </c>
      <c r="C35" s="30">
        <v>3.25</v>
      </c>
      <c r="D35" s="32">
        <f>SUMIFS(EGRESOS!$C$4:$C$593,EGRESOS!$A$4:$A$593,D$1,EGRESOS!$E$4:$E$593,GASTOS!A58)</f>
        <v>180</v>
      </c>
      <c r="E35" s="32">
        <f>SUMIFS(EGRESOS!$C$4:$C$593,EGRESOS!$A$4:$A$593,E$1,EGRESOS!$E$4:$E$593,GASTOS!A58)</f>
        <v>-85</v>
      </c>
      <c r="F35" s="32">
        <f>SUMIFS(EGRESOS!$C$4:$C$593,EGRESOS!$A$4:$A$593,F$1,EGRESOS!$E$4:$E$593,GASTOS!A58)</f>
        <v>95</v>
      </c>
      <c r="G35" s="32">
        <f>SUMIFS(EGRESOS!$C$4:$C$593,EGRESOS!$A$4:$A$593,G$1,EGRESOS!$E$4:$E$593,GASTOS!A58)</f>
        <v>0</v>
      </c>
      <c r="H35" s="32">
        <f>SUMIFS(EGRESOS!$C$4:$C$593,EGRESOS!$A$4:$A$593,H$1,EGRESOS!$E$4:$E$593,GASTOS!A58)</f>
        <v>160</v>
      </c>
      <c r="I35" s="32">
        <f>SUMIFS(EGRESOS!$C$4:$C$593,EGRESOS!$A$4:$A$593,I$1,EGRESOS!$E$4:$E$593,GASTOS!A58)</f>
        <v>95</v>
      </c>
      <c r="J35" s="32">
        <f>SUMIFS(EGRESOS!$C$4:$C$593,EGRESOS!$A$4:$A$593,J$1,EGRESOS!$E$4:$E$593,GASTOS!A58)</f>
        <v>0</v>
      </c>
      <c r="K35" s="32">
        <f>SUMIFS(EGRESOS!$C$4:$C$593,EGRESOS!$A$4:$A$593,K$1,EGRESOS!$E$4:$E$593,GASTOS!A58)</f>
        <v>15</v>
      </c>
      <c r="L35" s="32">
        <f>SUMIFS(EGRESOS!$C$4:$C$593,EGRESOS!$A$4:$A$593,L$1,EGRESOS!$E$4:$E$593,GASTOS!A58)</f>
        <v>0</v>
      </c>
      <c r="M35" s="32">
        <f>SUMIFS(EGRESOS!$C$4:$C$593,EGRESOS!$A$4:$A$593,M$1,EGRESOS!$E$4:$E$593,GASTOS!A58)</f>
        <v>40</v>
      </c>
      <c r="N35" s="32">
        <f>SUMIFS(EGRESOS!$C$4:$C$593,EGRESOS!$A$4:$A$593,N$1,EGRESOS!$E$4:$E$593,GASTOS!A58)</f>
        <v>20</v>
      </c>
      <c r="O35" s="32">
        <f>SUMIFS(EGRESOS!$C$4:$C$593,EGRESOS!$A$4:$A$593,O$1,EGRESOS!$E$4:$E$593,GASTOS!A58)</f>
        <v>0</v>
      </c>
      <c r="P35" s="32">
        <f>SUMIFS(EGRESOS!$C$4:$C$593,EGRESOS!$A$4:$A$593,P$1,EGRESOS!$E$4:$E$593,GASTOS!A58)</f>
        <v>0</v>
      </c>
      <c r="Q35" s="32">
        <f>SUMIFS(EGRESOS!$C$4:$C$593,EGRESOS!$A$4:$A$593,Q$1,EGRESOS!$E$4:$E$593,GASTOS!A58)</f>
        <v>0</v>
      </c>
      <c r="R35" s="32">
        <f>SUMIFS(EGRESOS!$C$4:$C$593,EGRESOS!$A$4:$A$593,R$1,EGRESOS!$E$4:$E$593,GASTOS!A58)</f>
        <v>0</v>
      </c>
      <c r="S35" s="32">
        <f>SUMIFS(EGRESOS!$C$4:$C$593,EGRESOS!$A$4:$A$593,S$1,EGRESOS!$E$4:$E$593,GASTOS!A58)</f>
        <v>0</v>
      </c>
      <c r="T35" s="32">
        <f>SUMIFS(EGRESOS!$C$4:$C$593,EGRESOS!$A$4:$A$593,T$1,EGRESOS!$E$4:$E$593,GASTOS!A58)</f>
        <v>0</v>
      </c>
      <c r="U35" s="32">
        <f>SUMIFS(EGRESOS!$C$4:$C$593,EGRESOS!$A$4:$A$593,U$1,EGRESOS!$E$4:$E$593,GASTOS!A58)</f>
        <v>0</v>
      </c>
      <c r="V35" s="32">
        <f>SUMIFS(EGRESOS!$C$4:$C$593,EGRESOS!$A$4:$A$593,V$1,EGRESOS!$E$4:$E$593,GASTOS!A58)</f>
        <v>15</v>
      </c>
      <c r="W35" s="32">
        <f>SUMIFS(EGRESOS!$C$4:$C$593,EGRESOS!$A$4:$A$593,W$1,EGRESOS!$E$4:$E$593,GASTOS!A58)</f>
        <v>0</v>
      </c>
      <c r="X35" s="32">
        <f>SUMIFS(EGRESOS!$C$4:$C$593,EGRESOS!$A$4:$A$593,X$1,EGRESOS!$E$4:$E$593,GASTOS!A58)</f>
        <v>0</v>
      </c>
      <c r="Y35" s="32">
        <f>SUMIFS(EGRESOS!$C$4:$C$593,EGRESOS!$A$4:$A$593,Y$1,EGRESOS!$E$4:$E$593,GASTOS!A58)</f>
        <v>0</v>
      </c>
      <c r="Z35" s="32">
        <f>SUMIFS(EGRESOS!$C$4:$C$593,EGRESOS!$A$4:$A$593,Z$1,EGRESOS!$E$4:$E$593,GASTOS!A58)</f>
        <v>0</v>
      </c>
      <c r="AA35" s="32">
        <f>SUMIFS(EGRESOS!$C$4:$C$593,EGRESOS!$A$4:$A$593,AA$1,EGRESOS!$E$4:$E$593,GASTOS!A58)</f>
        <v>0</v>
      </c>
      <c r="AB35" s="32">
        <f>SUMIFS(EGRESOS!$C$4:$C$593,EGRESOS!$A$4:$A$593,AB$1,EGRESOS!$E$4:$E$593,GASTOS!A58)</f>
        <v>0</v>
      </c>
      <c r="AC35" s="32">
        <f>IF(PROPIETARIOS!E37&lt;&gt;"",SUMIFS(EGRESOS!$C$4:$C$593,EGRESOS!$A$4:$A$593,AC$1,EGRESOS!$E$4:$E$593,GASTOS!A58),0)</f>
        <v>76.5</v>
      </c>
      <c r="AD35" s="32">
        <f>IF(PROPIETARIOS!F31&lt;&gt;"",SUMIFS(EGRESOS!$C$4:$C$593,EGRESOS!$A$4:$A$593,AD$1,EGRESOS!$E$4:$E$593,GASTOS!A58),0)</f>
        <v>0</v>
      </c>
      <c r="AE35" s="32">
        <f>SUMIFS(EGRESOS!$C$4:$C$593,EGRESOS!$A$4:$A$593,AE$1,EGRESOS!$E$4:$E$593,GASTOS!$A$58)</f>
        <v>230</v>
      </c>
      <c r="AF35" s="25">
        <f>IF(PROPIETARIOS!H31&lt;&gt;"",SUMIFS(EGRESOS!$C$4:$C$593,EGRESOS!$A$4:$A$593,AF$1,EGRESOS!$E$4:$E$593,GASTOS!$A$58),0)</f>
        <v>0</v>
      </c>
      <c r="AG35" s="32">
        <f>IF(PROPIETARIOS!I30&lt;&gt;"",SUMIFS(EGRESOS!$C$4:$C$593,EGRESOS!$A$4:$A$593,AG$1,EGRESOS!$E$4:$E$593,GASTOS!A58),0)</f>
        <v>0</v>
      </c>
      <c r="AH35" s="32">
        <f>IF(PROPIETARIOS!J37&lt;&gt;"",SUMIFS(EGRESOS!$C$4:$C$593,EGRESOS!$A$4:$A$593,AH$1,EGRESOS!$E$4:$E$593,GASTOS!A58),0)</f>
        <v>0</v>
      </c>
      <c r="AI35" s="32">
        <f>IF(PROPIETARIOS!K37&lt;&gt;"",SUMIFS(EGRESOS!$C$4:$C$593,EGRESOS!$A$4:$A$593,AI$1,EGRESOS!$E$4:$E$593,GASTOS!A58),0)</f>
        <v>0</v>
      </c>
      <c r="AJ35" s="32">
        <f>SUMIFS(EGRESOS!$C$4:$C$593,EGRESOS!$A$4:$A$593,AJ$1,EGRESOS!$E$4:$E$593,GASTOS!A58)</f>
        <v>0</v>
      </c>
      <c r="AK35" s="32">
        <f>SUMIFS(EGRESOS!$C$4:$C$593,EGRESOS!$A$4:$A$593,AK$1,EGRESOS!$E$4:$E$593,GASTOS!A58)</f>
        <v>0</v>
      </c>
      <c r="AL35" s="32">
        <f>SUMIFS(EGRESOS!$C$4:$C$593,EGRESOS!$A$4:$A$593,AL$1,EGRESOS!$E$4:$E$593,GASTOS!A58)</f>
        <v>0</v>
      </c>
      <c r="AM35" s="32">
        <f>D35*$C$35%</f>
        <v>5.8500000000000005</v>
      </c>
      <c r="AN35" s="32">
        <f t="shared" ref="AN35:BK35" si="39">E35*$C$35%</f>
        <v>-2.7625000000000002</v>
      </c>
      <c r="AO35" s="32">
        <f t="shared" si="39"/>
        <v>3.0874999999999999</v>
      </c>
      <c r="AP35" s="32">
        <f t="shared" si="39"/>
        <v>0</v>
      </c>
      <c r="AQ35" s="32">
        <f t="shared" si="39"/>
        <v>5.2</v>
      </c>
      <c r="AR35" s="32">
        <f t="shared" si="39"/>
        <v>3.0874999999999999</v>
      </c>
      <c r="AS35" s="32">
        <f t="shared" si="39"/>
        <v>0</v>
      </c>
      <c r="AT35" s="32">
        <f t="shared" si="39"/>
        <v>0.48750000000000004</v>
      </c>
      <c r="AU35" s="32">
        <f t="shared" si="39"/>
        <v>0</v>
      </c>
      <c r="AV35" s="32">
        <f t="shared" si="39"/>
        <v>1.3</v>
      </c>
      <c r="AW35" s="32">
        <f t="shared" si="39"/>
        <v>0.65</v>
      </c>
      <c r="AX35" s="32">
        <f t="shared" si="39"/>
        <v>0</v>
      </c>
      <c r="AY35" s="32">
        <f t="shared" si="39"/>
        <v>0</v>
      </c>
      <c r="AZ35" s="32">
        <f t="shared" si="39"/>
        <v>0</v>
      </c>
      <c r="BA35" s="32">
        <f t="shared" si="39"/>
        <v>0</v>
      </c>
      <c r="BB35" s="32">
        <f t="shared" si="39"/>
        <v>0</v>
      </c>
      <c r="BC35" s="32">
        <f t="shared" si="39"/>
        <v>0</v>
      </c>
      <c r="BD35" s="32">
        <f t="shared" si="39"/>
        <v>0</v>
      </c>
      <c r="BE35" s="32">
        <f t="shared" si="39"/>
        <v>0.48750000000000004</v>
      </c>
      <c r="BF35" s="32">
        <f t="shared" si="39"/>
        <v>0</v>
      </c>
      <c r="BG35" s="32">
        <f t="shared" si="39"/>
        <v>0</v>
      </c>
      <c r="BH35" s="32">
        <f t="shared" si="39"/>
        <v>0</v>
      </c>
      <c r="BI35" s="32">
        <f t="shared" si="39"/>
        <v>0</v>
      </c>
      <c r="BJ35" s="32">
        <f t="shared" si="39"/>
        <v>0</v>
      </c>
      <c r="BK35" s="32">
        <f t="shared" si="39"/>
        <v>0</v>
      </c>
      <c r="BL35" s="32">
        <f t="shared" si="5"/>
        <v>2.4862500000000001</v>
      </c>
      <c r="BM35" s="32">
        <f>IFERROR(AD35/COUNTIF(PROPIETARIOS!$F$4:$F$38,"GNC02"),0)</f>
        <v>0</v>
      </c>
      <c r="BN35" s="32">
        <f>IFERROR(AE35/COUNTIF(PROPIETARIOS!$G$4:$G$38,"GNC03"),0)</f>
        <v>6.5714285714285712</v>
      </c>
      <c r="BO35" s="32">
        <f>IFERROR(AF35/COUNTIF(PROPIETARIOS!$H$4:$H$38,"GNC04"),0)</f>
        <v>0</v>
      </c>
      <c r="BP35" s="32">
        <f>IFERROR(AG35/COUNTIF(PROPIETARIOS!$I$4:$I$38,"GNC05"),0)</f>
        <v>0</v>
      </c>
      <c r="BQ35" s="32">
        <v>0</v>
      </c>
      <c r="BR35" s="32">
        <v>0</v>
      </c>
      <c r="BS35" s="204">
        <f t="shared" si="1"/>
        <v>841.5</v>
      </c>
      <c r="BT35" s="204">
        <f t="shared" si="2"/>
        <v>26.445178571428571</v>
      </c>
      <c r="BU35" s="26" t="s">
        <v>242</v>
      </c>
      <c r="BV35" s="34">
        <f t="shared" ca="1" si="32"/>
        <v>46209</v>
      </c>
      <c r="BW35" s="30">
        <v>0</v>
      </c>
      <c r="BX35" s="36">
        <f>Hoja6!FR37</f>
        <v>0</v>
      </c>
      <c r="BY35" s="30" t="str">
        <f t="shared" si="6"/>
        <v>3,25</v>
      </c>
      <c r="BZ35" s="27" t="s">
        <v>425</v>
      </c>
      <c r="CA35" s="28" t="str">
        <f>convertirnum(Tabla1[[#This Row],[TOTALAL]])</f>
        <v>VEINTISEIS CON 45/100 DÓLARES</v>
      </c>
      <c r="CB35" s="28">
        <f>5%*Hoja6!FT37</f>
        <v>0</v>
      </c>
      <c r="CC35" s="192">
        <f>IF(Tabla1[[#This Row],[DEUDA]]&gt;0,Hoja6!HL37,0)</f>
        <v>0</v>
      </c>
      <c r="CD35" s="28">
        <f>Hoja6!HM37</f>
        <v>0</v>
      </c>
      <c r="CE35" s="200">
        <f>IF(Tabla1[[#This Row],[DEUDA]]&gt;0,Hoja6!FT37,0)</f>
        <v>0</v>
      </c>
      <c r="CF35" s="28" t="str">
        <f>"_"&amp;Tabla1[[#This Row],[APTO-LOCAL-OFIC.]]&amp;" "&amp;Tabla1[[#This Row],[PROPIETARIO]]&amp;"-"</f>
        <v>_OFICINA 6 DIVINA DIVININ C.A.-</v>
      </c>
    </row>
    <row r="36" spans="1:86" ht="18" customHeight="1">
      <c r="A36" s="22" t="s">
        <v>61</v>
      </c>
      <c r="B36" s="23" t="s">
        <v>62</v>
      </c>
      <c r="C36" s="23">
        <v>3.34</v>
      </c>
      <c r="D36" s="25">
        <f>SUMIFS(EGRESOS!$C$4:$C$593,EGRESOS!$A$4:$A$593,D$1,EGRESOS!$E$4:$E$593,GASTOS!A58)</f>
        <v>180</v>
      </c>
      <c r="E36" s="25">
        <f>SUMIFS(EGRESOS!$C$4:$C$593,EGRESOS!$A$4:$A$593,E$1,EGRESOS!$E$4:$E$593,GASTOS!A58)</f>
        <v>-85</v>
      </c>
      <c r="F36" s="25">
        <f>SUMIFS(EGRESOS!$C$4:$C$593,EGRESOS!$A$4:$A$593,F$1,EGRESOS!$E$4:$E$593,GASTOS!A58)</f>
        <v>95</v>
      </c>
      <c r="G36" s="25">
        <f>SUMIFS(EGRESOS!$C$4:$C$593,EGRESOS!$A$4:$A$593,G$1,EGRESOS!$E$4:$E$593,GASTOS!A58)</f>
        <v>0</v>
      </c>
      <c r="H36" s="25">
        <f>SUMIFS(EGRESOS!$C$4:$C$593,EGRESOS!$A$4:$A$593,H$1,EGRESOS!$E$4:$E$593,GASTOS!A58)</f>
        <v>160</v>
      </c>
      <c r="I36" s="25">
        <f>SUMIFS(EGRESOS!$C$4:$C$593,EGRESOS!$A$4:$A$593,I$1,EGRESOS!$E$4:$E$593,GASTOS!A58)</f>
        <v>95</v>
      </c>
      <c r="J36" s="25">
        <f>SUMIFS(EGRESOS!$C$4:$C$593,EGRESOS!$A$4:$A$593,J$1,EGRESOS!$E$4:$E$593,GASTOS!A58)</f>
        <v>0</v>
      </c>
      <c r="K36" s="25">
        <f>SUMIFS(EGRESOS!$C$4:$C$593,EGRESOS!$A$4:$A$593,K$1,EGRESOS!$E$4:$E$593,GASTOS!A58)</f>
        <v>15</v>
      </c>
      <c r="L36" s="25">
        <f>SUMIFS(EGRESOS!$C$4:$C$593,EGRESOS!$A$4:$A$593,L$1,EGRESOS!$E$4:$E$593,GASTOS!A58)</f>
        <v>0</v>
      </c>
      <c r="M36" s="25">
        <f>SUMIFS(EGRESOS!$C$4:$C$593,EGRESOS!$A$4:$A$593,M$1,EGRESOS!$E$4:$E$593,GASTOS!A58)</f>
        <v>40</v>
      </c>
      <c r="N36" s="25">
        <f>SUMIFS(EGRESOS!$C$4:$C$593,EGRESOS!$A$4:$A$593,N$1,EGRESOS!$E$4:$E$593,GASTOS!A58)</f>
        <v>20</v>
      </c>
      <c r="O36" s="25">
        <f>SUMIFS(EGRESOS!$C$4:$C$593,EGRESOS!$A$4:$A$593,O$1,EGRESOS!$E$4:$E$593,GASTOS!A58)</f>
        <v>0</v>
      </c>
      <c r="P36" s="25">
        <f>SUMIFS(EGRESOS!$C$4:$C$593,EGRESOS!$A$4:$A$593,P$1,EGRESOS!$E$4:$E$593,GASTOS!A58)</f>
        <v>0</v>
      </c>
      <c r="Q36" s="25">
        <f>SUMIFS(EGRESOS!$C$4:$C$593,EGRESOS!$A$4:$A$593,Q$1,EGRESOS!$E$4:$E$593,GASTOS!A58)</f>
        <v>0</v>
      </c>
      <c r="R36" s="25">
        <f>SUMIFS(EGRESOS!$C$4:$C$593,EGRESOS!$A$4:$A$593,R$1,EGRESOS!$E$4:$E$593,GASTOS!A58)</f>
        <v>0</v>
      </c>
      <c r="S36" s="25">
        <f>SUMIFS(EGRESOS!$C$4:$C$593,EGRESOS!$A$4:$A$593,S$1,EGRESOS!$E$4:$E$593,GASTOS!A58)</f>
        <v>0</v>
      </c>
      <c r="T36" s="25">
        <f>SUMIFS(EGRESOS!$C$4:$C$593,EGRESOS!$A$4:$A$593,T$1,EGRESOS!$E$4:$E$593,GASTOS!A58)</f>
        <v>0</v>
      </c>
      <c r="U36" s="25">
        <f>SUMIFS(EGRESOS!$C$4:$C$593,EGRESOS!$A$4:$A$593,U$1,EGRESOS!$E$4:$E$593,GASTOS!A58)</f>
        <v>0</v>
      </c>
      <c r="V36" s="25">
        <f>SUMIFS(EGRESOS!$C$4:$C$593,EGRESOS!$A$4:$A$593,V$1,EGRESOS!$E$4:$E$593,GASTOS!A58)</f>
        <v>15</v>
      </c>
      <c r="W36" s="25">
        <f>SUMIFS(EGRESOS!$C$4:$C$593,EGRESOS!$A$4:$A$593,W$1,EGRESOS!$E$4:$E$593,GASTOS!A58)</f>
        <v>0</v>
      </c>
      <c r="X36" s="25">
        <f>SUMIFS(EGRESOS!$C$4:$C$593,EGRESOS!$A$4:$A$593,X$1,EGRESOS!$E$4:$E$593,GASTOS!A58)</f>
        <v>0</v>
      </c>
      <c r="Y36" s="25">
        <f>SUMIFS(EGRESOS!$C$4:$C$593,EGRESOS!$A$4:$A$593,Y$1,EGRESOS!$E$4:$E$593,GASTOS!A58)</f>
        <v>0</v>
      </c>
      <c r="Z36" s="25">
        <f>SUMIFS(EGRESOS!$C$4:$C$593,EGRESOS!$A$4:$A$593,Z$1,EGRESOS!$E$4:$E$593,GASTOS!A58)</f>
        <v>0</v>
      </c>
      <c r="AA36" s="25">
        <f>SUMIFS(EGRESOS!$C$4:$C$593,EGRESOS!$A$4:$A$593,AA$1,EGRESOS!$E$4:$E$593,GASTOS!A58)</f>
        <v>0</v>
      </c>
      <c r="AB36" s="25">
        <f>SUMIFS(EGRESOS!$C$4:$C$593,EGRESOS!$A$4:$A$593,AB$1,EGRESOS!$E$4:$E$593,GASTOS!A58)</f>
        <v>0</v>
      </c>
      <c r="AC36" s="25">
        <f>IF(PROPIETARIOS!E38&lt;&gt;"",SUMIFS(EGRESOS!$C$4:$C$593,EGRESOS!$A$4:$A$593,AC$1,EGRESOS!$E$4:$E$593,GASTOS!A58),0)</f>
        <v>76.5</v>
      </c>
      <c r="AD36" s="25">
        <f>IF(PROPIETARIOS!F32&lt;&gt;"",SUMIFS(EGRESOS!$C$4:$C$593,EGRESOS!$A$4:$A$593,AD$1,EGRESOS!$E$4:$E$593,GASTOS!A58),0)</f>
        <v>0</v>
      </c>
      <c r="AE36" s="25">
        <f>SUMIFS(EGRESOS!$C$4:$C$593,EGRESOS!$A$4:$A$593,AE$1,EGRESOS!$E$4:$E$593,GASTOS!$A$58)</f>
        <v>230</v>
      </c>
      <c r="AF36" s="25">
        <f>IF(PROPIETARIOS!H32&lt;&gt;"",SUMIFS(EGRESOS!$C$4:$C$593,EGRESOS!$A$4:$A$593,AF$1,EGRESOS!$E$4:$E$593,GASTOS!$A$58),0)</f>
        <v>0</v>
      </c>
      <c r="AG36" s="25">
        <f>IF(PROPIETARIOS!I38&lt;&gt;"",SUMIFS(EGRESOS!$C$4:$C$593,EGRESOS!$A$4:$A$593,AG$1,EGRESOS!$E$4:$E$593,GASTOS!A58),0)</f>
        <v>0</v>
      </c>
      <c r="AH36" s="25">
        <f>IF(PROPIETARIOS!J38&lt;&gt;"",SUMIFS(EGRESOS!$C$4:$C$593,EGRESOS!$A$4:$A$593,AH$1,EGRESOS!$E$4:$E$593,GASTOS!A58),0)</f>
        <v>0</v>
      </c>
      <c r="AI36" s="25">
        <f>IF(PROPIETARIOS!K38&lt;&gt;"",SUMIFS(EGRESOS!$C$4:$C$593,EGRESOS!$A$4:$A$593,AI$1,EGRESOS!$E$4:$E$593,GASTOS!A58),0)</f>
        <v>0</v>
      </c>
      <c r="AJ36" s="25">
        <f>SUMIFS(EGRESOS!$C$4:$C$593,EGRESOS!$A$4:$A$593,AJ$1,EGRESOS!$E$4:$E$593,GASTOS!A58)</f>
        <v>0</v>
      </c>
      <c r="AK36" s="25">
        <f>SUMIFS(EGRESOS!$C$4:$C$593,EGRESOS!$A$4:$A$593,AK$1,EGRESOS!$E$4:$E$593,GASTOS!A58)</f>
        <v>0</v>
      </c>
      <c r="AL36" s="25">
        <f>SUMIFS(EGRESOS!$C$4:$C$593,EGRESOS!$A$4:$A$593,AL$1,EGRESOS!$E$4:$E$593,GASTOS!A58)</f>
        <v>0</v>
      </c>
      <c r="AM36" s="25">
        <f>D36*$C$36%</f>
        <v>6.0119999999999996</v>
      </c>
      <c r="AN36" s="25">
        <f t="shared" ref="AN36:BK36" si="40">E36*$C$36%</f>
        <v>-2.839</v>
      </c>
      <c r="AO36" s="25">
        <f t="shared" si="40"/>
        <v>3.173</v>
      </c>
      <c r="AP36" s="25">
        <f t="shared" si="40"/>
        <v>0</v>
      </c>
      <c r="AQ36" s="25">
        <f t="shared" si="40"/>
        <v>5.3439999999999994</v>
      </c>
      <c r="AR36" s="25">
        <f t="shared" si="40"/>
        <v>3.173</v>
      </c>
      <c r="AS36" s="25">
        <f t="shared" si="40"/>
        <v>0</v>
      </c>
      <c r="AT36" s="25">
        <f t="shared" si="40"/>
        <v>0.501</v>
      </c>
      <c r="AU36" s="25">
        <f t="shared" si="40"/>
        <v>0</v>
      </c>
      <c r="AV36" s="25">
        <f t="shared" si="40"/>
        <v>1.3359999999999999</v>
      </c>
      <c r="AW36" s="25">
        <f t="shared" si="40"/>
        <v>0.66799999999999993</v>
      </c>
      <c r="AX36" s="25">
        <f t="shared" si="40"/>
        <v>0</v>
      </c>
      <c r="AY36" s="25">
        <f t="shared" si="40"/>
        <v>0</v>
      </c>
      <c r="AZ36" s="25">
        <f t="shared" si="40"/>
        <v>0</v>
      </c>
      <c r="BA36" s="25">
        <f t="shared" si="40"/>
        <v>0</v>
      </c>
      <c r="BB36" s="25">
        <f t="shared" si="40"/>
        <v>0</v>
      </c>
      <c r="BC36" s="25">
        <f t="shared" si="40"/>
        <v>0</v>
      </c>
      <c r="BD36" s="25">
        <f t="shared" si="40"/>
        <v>0</v>
      </c>
      <c r="BE36" s="25">
        <f t="shared" si="40"/>
        <v>0.501</v>
      </c>
      <c r="BF36" s="25">
        <f t="shared" si="40"/>
        <v>0</v>
      </c>
      <c r="BG36" s="25">
        <f t="shared" si="40"/>
        <v>0</v>
      </c>
      <c r="BH36" s="25">
        <f t="shared" si="40"/>
        <v>0</v>
      </c>
      <c r="BI36" s="25">
        <f t="shared" si="40"/>
        <v>0</v>
      </c>
      <c r="BJ36" s="25">
        <f t="shared" si="40"/>
        <v>0</v>
      </c>
      <c r="BK36" s="25">
        <f t="shared" si="40"/>
        <v>0</v>
      </c>
      <c r="BL36" s="25">
        <f t="shared" si="5"/>
        <v>2.5550999999999999</v>
      </c>
      <c r="BM36" s="25">
        <f>IFERROR(AD36/COUNTIF(PROPIETARIOS!$F$4:$F$38,"GNC02"),0)</f>
        <v>0</v>
      </c>
      <c r="BN36" s="25">
        <f>IFERROR(AE36/COUNTIF(PROPIETARIOS!$G$4:$G$38,"GNC03"),0)</f>
        <v>6.5714285714285712</v>
      </c>
      <c r="BO36" s="25">
        <f>IFERROR(AF36/COUNTIF(PROPIETARIOS!$H$4:$H$38,"GNC04"),0)</f>
        <v>0</v>
      </c>
      <c r="BP36" s="25">
        <f>IFERROR(AG36/COUNTIF(PROPIETARIOS!$I$4:$I$38,"GNC05"),0)</f>
        <v>0</v>
      </c>
      <c r="BQ36" s="25">
        <v>0</v>
      </c>
      <c r="BR36" s="25">
        <v>0</v>
      </c>
      <c r="BS36" s="203">
        <f t="shared" si="1"/>
        <v>841.5</v>
      </c>
      <c r="BT36" s="203">
        <f t="shared" si="2"/>
        <v>26.995528571428569</v>
      </c>
      <c r="BU36" s="26" t="s">
        <v>581</v>
      </c>
      <c r="BV36" s="34">
        <f t="shared" ca="1" si="32"/>
        <v>46209</v>
      </c>
      <c r="BW36" s="23">
        <v>0</v>
      </c>
      <c r="BX36" s="36">
        <f>Hoja6!FR38</f>
        <v>0</v>
      </c>
      <c r="BY36" s="23" t="str">
        <f t="shared" si="6"/>
        <v>3,34</v>
      </c>
      <c r="BZ36" s="27" t="s">
        <v>425</v>
      </c>
      <c r="CA36" s="28" t="str">
        <f>convertirnum(Tabla1[[#This Row],[TOTALAL]])</f>
        <v>VEINTISIETE CON 00/100 DÓLARES</v>
      </c>
      <c r="CB36" s="28">
        <f>5%*Hoja6!FT38</f>
        <v>0</v>
      </c>
      <c r="CC36" s="192">
        <f>IF(Tabla1[[#This Row],[DEUDA]]&gt;0,Hoja6!HL38,0)</f>
        <v>0</v>
      </c>
      <c r="CD36" s="28">
        <f>Hoja6!HM38</f>
        <v>0</v>
      </c>
      <c r="CE36" s="200">
        <f>IF(Tabla1[[#This Row],[DEUDA]]&gt;0,Hoja6!FT38,0)</f>
        <v>0</v>
      </c>
      <c r="CF36" s="28" t="str">
        <f>"_"&amp;Tabla1[[#This Row],[APTO-LOCAL-OFIC.]]&amp;" "&amp;Tabla1[[#This Row],[PROPIETARIO]]&amp;"-"</f>
        <v>_OFICINA 7 BETTY GONZALEZ-</v>
      </c>
    </row>
    <row r="37" spans="1:86">
      <c r="A37" s="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25"/>
      <c r="BM37" s="42"/>
      <c r="BN37" s="42"/>
      <c r="BO37" s="42"/>
      <c r="BP37" s="42"/>
      <c r="BQ37" s="42"/>
      <c r="BR37" s="42"/>
      <c r="BS37" s="42"/>
      <c r="BT37" s="42"/>
      <c r="BU37" s="6"/>
      <c r="BV37" s="43"/>
      <c r="BZ37" s="6"/>
    </row>
    <row r="38" spans="1:86">
      <c r="A38" s="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6"/>
      <c r="BV38" s="43"/>
      <c r="BZ38" s="6"/>
    </row>
    <row r="39" spans="1:86">
      <c r="A39" s="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6"/>
      <c r="BV39" s="43"/>
      <c r="BZ39" s="6"/>
    </row>
    <row r="40" spans="1:86">
      <c r="A40" s="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6"/>
      <c r="BV40" s="43"/>
      <c r="BZ40" s="6"/>
    </row>
    <row r="41" spans="1:86">
      <c r="A41" s="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6"/>
      <c r="BV41" s="43"/>
      <c r="BY41">
        <f>12600*30</f>
        <v>378000</v>
      </c>
      <c r="BZ41" s="6"/>
    </row>
    <row r="42" spans="1:86">
      <c r="A42" s="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6"/>
      <c r="BV42" s="43"/>
      <c r="BZ42" s="6"/>
    </row>
    <row r="43" spans="1:86">
      <c r="A43" s="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6"/>
      <c r="BV43" s="43"/>
      <c r="BZ43" s="6"/>
    </row>
    <row r="44" spans="1:86">
      <c r="A44" s="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6"/>
      <c r="BV44" s="43"/>
      <c r="BZ44" s="6"/>
    </row>
    <row r="45" spans="1:86">
      <c r="A45" s="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6"/>
      <c r="BV45" s="43"/>
      <c r="BZ45" s="6"/>
    </row>
    <row r="46" spans="1:86">
      <c r="A46" s="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6"/>
      <c r="BV46" s="43"/>
      <c r="BZ46" s="6"/>
    </row>
    <row r="47" spans="1:86">
      <c r="A47" s="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6"/>
      <c r="BV47" s="43"/>
      <c r="BZ47" s="6"/>
    </row>
    <row r="48" spans="1:86">
      <c r="A48" s="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6"/>
      <c r="BV48" s="43"/>
      <c r="BZ48" s="6"/>
    </row>
    <row r="49" spans="1:78">
      <c r="A49" s="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6"/>
      <c r="BV49" s="43"/>
      <c r="BZ49" s="6"/>
    </row>
    <row r="50" spans="1:78">
      <c r="A50" s="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6"/>
      <c r="BV50" s="43"/>
      <c r="BZ50" s="6"/>
    </row>
    <row r="51" spans="1:78">
      <c r="A51" s="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6"/>
      <c r="BV51" s="43"/>
      <c r="BZ51" s="6"/>
    </row>
    <row r="52" spans="1:78">
      <c r="A52" s="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6"/>
      <c r="BV52" s="43"/>
      <c r="BZ52" s="6"/>
    </row>
    <row r="53" spans="1:78">
      <c r="A53" s="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6"/>
      <c r="BV53" s="43"/>
      <c r="BZ53" s="6"/>
    </row>
    <row r="54" spans="1:78">
      <c r="A54" s="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6"/>
      <c r="BV54" s="43"/>
      <c r="BZ54" s="6"/>
    </row>
    <row r="55" spans="1:78">
      <c r="A55" s="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6"/>
      <c r="BV55" s="43"/>
      <c r="BZ55" s="6"/>
    </row>
    <row r="56" spans="1:78">
      <c r="A56" s="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6"/>
      <c r="BV56" s="43"/>
      <c r="BZ56" s="6"/>
    </row>
    <row r="57" spans="1:78">
      <c r="A57" s="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6"/>
      <c r="BV57" s="43"/>
      <c r="BZ57" s="6"/>
    </row>
    <row r="58" spans="1:78">
      <c r="A58" s="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6"/>
      <c r="BV58" s="43"/>
      <c r="BZ58" s="6"/>
    </row>
    <row r="59" spans="1:78">
      <c r="A59" s="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6"/>
      <c r="BV59" s="43"/>
      <c r="BZ59" s="6"/>
    </row>
    <row r="60" spans="1:78">
      <c r="A60" s="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6"/>
      <c r="BV60" s="43"/>
      <c r="BZ60" s="6"/>
    </row>
    <row r="61" spans="1:78">
      <c r="A61" s="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6"/>
      <c r="BV61" s="43"/>
      <c r="BZ61" s="6"/>
    </row>
    <row r="62" spans="1:78">
      <c r="A62" s="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6"/>
      <c r="BV62" s="43"/>
      <c r="BZ62" s="6"/>
    </row>
    <row r="63" spans="1:78">
      <c r="A63" s="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6"/>
      <c r="BV63" s="43"/>
      <c r="BZ63" s="6"/>
    </row>
    <row r="64" spans="1:78">
      <c r="A64" s="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6"/>
      <c r="BV64" s="43"/>
      <c r="BZ64" s="6"/>
    </row>
    <row r="65" spans="1:78">
      <c r="A65" s="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6"/>
      <c r="BV65" s="43"/>
      <c r="BZ65" s="6"/>
    </row>
    <row r="66" spans="1:78">
      <c r="A66" s="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6"/>
      <c r="BV66" s="43"/>
      <c r="BZ66" s="6"/>
    </row>
    <row r="67" spans="1:78">
      <c r="A67" s="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6"/>
      <c r="BV67" s="43"/>
      <c r="BZ67" s="6"/>
    </row>
    <row r="68" spans="1:78">
      <c r="A68" s="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6"/>
      <c r="BV68" s="43"/>
      <c r="BZ68" s="6"/>
    </row>
    <row r="69" spans="1:78">
      <c r="A69" s="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6"/>
      <c r="BV69" s="43"/>
      <c r="BZ69" s="6"/>
    </row>
    <row r="70" spans="1:78">
      <c r="A70" s="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6"/>
      <c r="BV70" s="43"/>
      <c r="BZ70" s="6"/>
    </row>
    <row r="71" spans="1:78">
      <c r="A71" s="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6"/>
      <c r="BV71" s="43"/>
      <c r="BZ71" s="6"/>
    </row>
    <row r="72" spans="1:78">
      <c r="A72" s="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6"/>
      <c r="BV72" s="43"/>
      <c r="BZ72" s="6"/>
    </row>
    <row r="73" spans="1:78">
      <c r="A73" s="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6"/>
      <c r="BV73" s="43"/>
      <c r="BZ73" s="6"/>
    </row>
    <row r="74" spans="1:78">
      <c r="A74" s="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6"/>
      <c r="BV74" s="43"/>
      <c r="BZ74" s="6"/>
    </row>
    <row r="75" spans="1:78">
      <c r="A75" s="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6"/>
      <c r="BV75" s="43"/>
      <c r="BZ75" s="6"/>
    </row>
    <row r="76" spans="1:78">
      <c r="A76" s="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6"/>
      <c r="BV76" s="43"/>
      <c r="BZ76" s="6"/>
    </row>
    <row r="77" spans="1:78">
      <c r="A77" s="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6"/>
      <c r="BV77" s="43"/>
      <c r="BZ77" s="6"/>
    </row>
    <row r="78" spans="1:78">
      <c r="A78" s="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6"/>
      <c r="BV78" s="43"/>
      <c r="BZ78" s="6"/>
    </row>
    <row r="79" spans="1:78">
      <c r="A79" s="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6"/>
      <c r="BV79" s="43"/>
      <c r="BZ79" s="6"/>
    </row>
    <row r="80" spans="1:78">
      <c r="A80" s="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6"/>
      <c r="BV80" s="43"/>
      <c r="BZ80" s="6"/>
    </row>
    <row r="81" spans="1:78">
      <c r="A81" s="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6"/>
      <c r="BV81" s="43"/>
      <c r="BZ81" s="6"/>
    </row>
    <row r="82" spans="1:78">
      <c r="A82" s="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6"/>
      <c r="BV82" s="43"/>
      <c r="BZ82" s="6"/>
    </row>
    <row r="83" spans="1:78">
      <c r="A83" s="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6"/>
      <c r="BV83" s="43"/>
      <c r="BZ83" s="6"/>
    </row>
    <row r="84" spans="1:78">
      <c r="A84" s="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6"/>
      <c r="BV84" s="43"/>
      <c r="BZ84" s="6"/>
    </row>
    <row r="85" spans="1:78">
      <c r="A85" s="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6"/>
      <c r="BV85" s="43"/>
      <c r="BZ85" s="6"/>
    </row>
    <row r="86" spans="1:78">
      <c r="A86" s="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6"/>
      <c r="BV86" s="43"/>
      <c r="BZ86" s="6"/>
    </row>
    <row r="87" spans="1:78">
      <c r="A87" s="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6"/>
      <c r="BV87" s="43"/>
      <c r="BZ87" s="6"/>
    </row>
    <row r="88" spans="1:78">
      <c r="A88" s="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6"/>
      <c r="BV88" s="43"/>
      <c r="BZ88" s="6"/>
    </row>
    <row r="89" spans="1:78">
      <c r="A89" s="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6"/>
      <c r="BV89" s="43"/>
      <c r="BZ89" s="6"/>
    </row>
    <row r="90" spans="1:78">
      <c r="A90" s="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6"/>
      <c r="BV90" s="43"/>
      <c r="BZ90" s="6"/>
    </row>
    <row r="91" spans="1:78">
      <c r="A91" s="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6"/>
      <c r="BV91" s="43"/>
      <c r="BZ91" s="6"/>
    </row>
    <row r="92" spans="1:78">
      <c r="A92" s="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6"/>
      <c r="BV92" s="43"/>
      <c r="BZ92" s="6"/>
    </row>
    <row r="93" spans="1:78">
      <c r="A93" s="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6"/>
      <c r="BV93" s="43"/>
      <c r="BZ93" s="6"/>
    </row>
    <row r="94" spans="1:78">
      <c r="A94" s="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6"/>
      <c r="BV94" s="43"/>
      <c r="BZ94" s="6"/>
    </row>
    <row r="95" spans="1:78">
      <c r="A95" s="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6"/>
      <c r="BV95" s="43"/>
      <c r="BZ95" s="6"/>
    </row>
    <row r="96" spans="1:78">
      <c r="A96" s="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6"/>
      <c r="BV96" s="43"/>
      <c r="BZ96" s="6"/>
    </row>
    <row r="97" spans="1:78">
      <c r="A97" s="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6"/>
      <c r="BV97" s="43"/>
      <c r="BZ97" s="6"/>
    </row>
    <row r="98" spans="1:78">
      <c r="A98" s="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6"/>
      <c r="BV98" s="43"/>
      <c r="BZ98" s="6"/>
    </row>
    <row r="99" spans="1:78">
      <c r="A99" s="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6"/>
      <c r="BV99" s="43"/>
      <c r="BZ99" s="6"/>
    </row>
    <row r="100" spans="1:78">
      <c r="A100" s="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6"/>
      <c r="BV100" s="43"/>
      <c r="BZ100" s="6"/>
    </row>
    <row r="101" spans="1:78"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BL101">
        <f>COUNTIF(PROPIETARIOS!E4:E38,"GNC01")</f>
        <v>35</v>
      </c>
    </row>
    <row r="102" spans="1:78"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</row>
    <row r="103" spans="1:78"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1:78"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</row>
    <row r="105" spans="1:78"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1:78"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</row>
    <row r="107" spans="1:78"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1:78"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</row>
    <row r="109" spans="1:78"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1:78"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</row>
    <row r="111" spans="1:78"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1:78"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</row>
    <row r="113" spans="4:22"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4:22"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</row>
    <row r="115" spans="4:22"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4:22"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</row>
    <row r="117" spans="4:22"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4:22"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</row>
    <row r="119" spans="4:22"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4:22"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</row>
    <row r="121" spans="4:22"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4:22"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</row>
    <row r="123" spans="4:22"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4:22"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</row>
    <row r="125" spans="4:22"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4:22"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</row>
    <row r="127" spans="4:22"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4:22"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</row>
    <row r="129" spans="4:22"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4:22"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</row>
    <row r="131" spans="4:22"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4:22"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</row>
    <row r="133" spans="4:22"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4:22"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</row>
    <row r="135" spans="4:22"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4:22"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</row>
    <row r="137" spans="4:22"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4:22"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</row>
    <row r="139" spans="4:22"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4:22"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</row>
    <row r="141" spans="4:22"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4:22"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</row>
    <row r="143" spans="4:22"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4:22"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</row>
    <row r="145" spans="4:22"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4:22"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</row>
    <row r="147" spans="4:22"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4:22"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</row>
    <row r="149" spans="4:22"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4:22"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</row>
    <row r="151" spans="4:22"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4:22"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</row>
    <row r="153" spans="4:22"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4:22"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</row>
    <row r="155" spans="4:22"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4:22"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</row>
    <row r="157" spans="4:22"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4:22"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</row>
    <row r="159" spans="4:22"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4:22"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</row>
    <row r="161" spans="4:22"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</sheetData>
  <phoneticPr fontId="28" type="noConversion"/>
  <hyperlinks>
    <hyperlink ref="BU16" r:id="rId1" xr:uid="{00000000-0004-0000-0400-000000000000}"/>
    <hyperlink ref="BU18" r:id="rId2" xr:uid="{00000000-0004-0000-0400-000001000000}"/>
    <hyperlink ref="BU8" r:id="rId3" xr:uid="{00000000-0004-0000-0400-000002000000}"/>
    <hyperlink ref="BU23" r:id="rId4" xr:uid="{00000000-0004-0000-0400-000003000000}"/>
    <hyperlink ref="BU22" r:id="rId5" xr:uid="{00000000-0004-0000-0400-000004000000}"/>
    <hyperlink ref="BU13" r:id="rId6" xr:uid="{00000000-0004-0000-0400-000007000000}"/>
    <hyperlink ref="BU9" r:id="rId7" xr:uid="{00000000-0004-0000-0400-000008000000}"/>
    <hyperlink ref="BU10" r:id="rId8" xr:uid="{00000000-0004-0000-0400-000009000000}"/>
    <hyperlink ref="BU19" r:id="rId9" xr:uid="{00000000-0004-0000-0400-00000A000000}"/>
    <hyperlink ref="BU36" r:id="rId10" xr:uid="{00000000-0004-0000-0400-00000B000000}"/>
    <hyperlink ref="BU12" r:id="rId11" xr:uid="{00000000-0004-0000-0400-00000C000000}"/>
    <hyperlink ref="BU6" r:id="rId12" xr:uid="{00000000-0004-0000-0400-00000E000000}"/>
    <hyperlink ref="BU2" r:id="rId13" display="josedavid244@gmail.com" xr:uid="{00000000-0004-0000-0400-00000F000000}"/>
    <hyperlink ref="BU15" r:id="rId14" xr:uid="{00000000-0004-0000-0400-000010000000}"/>
    <hyperlink ref="BU32" r:id="rId15" xr:uid="{00000000-0004-0000-0400-000013000000}"/>
    <hyperlink ref="BU14" r:id="rId16" xr:uid="{00000000-0004-0000-0400-000017000000}"/>
    <hyperlink ref="BU30" r:id="rId17" xr:uid="{00000000-0004-0000-0400-000018000000}"/>
    <hyperlink ref="BU31" r:id="rId18" xr:uid="{00000000-0004-0000-0400-000019000000}"/>
    <hyperlink ref="BU3" r:id="rId19" xr:uid="{00000000-0004-0000-0400-00001B000000}"/>
    <hyperlink ref="BU25" r:id="rId20" xr:uid="{00000000-0004-0000-0400-00001C000000}"/>
    <hyperlink ref="BU34" r:id="rId21" xr:uid="{00000000-0004-0000-0400-00001D000000}"/>
    <hyperlink ref="BU35" r:id="rId22" xr:uid="{00000000-0004-0000-0400-00001E000000}"/>
    <hyperlink ref="BU5" r:id="rId23" xr:uid="{00000000-0004-0000-0400-00001F000000}"/>
    <hyperlink ref="BU21" r:id="rId24" xr:uid="{00000000-0004-0000-0400-000020000000}"/>
    <hyperlink ref="BU28" r:id="rId25" xr:uid="{00000000-0004-0000-0400-000021000000}"/>
    <hyperlink ref="BU29" r:id="rId26" xr:uid="{00000000-0004-0000-0400-000022000000}"/>
    <hyperlink ref="BU17" r:id="rId27" xr:uid="{00000000-0004-0000-0400-000016000000}"/>
    <hyperlink ref="BU4" r:id="rId28" xr:uid="{8315D30D-CAD6-4039-ACCF-49DF9B08321E}"/>
    <hyperlink ref="BU33" r:id="rId29" xr:uid="{9DFDB3B9-2399-4991-BD19-A4D03764EA19}"/>
    <hyperlink ref="BU27" r:id="rId30" xr:uid="{C8116093-D7FB-4E29-B3AC-DB16FD96EE1F}"/>
    <hyperlink ref="BU11" r:id="rId31" xr:uid="{3C61C5AB-0A5B-4706-9D4E-C9987C2A1F0C}"/>
  </hyperlinks>
  <pageMargins left="0.7" right="0.7" top="0.75" bottom="0.75" header="0.3" footer="0.3"/>
  <tableParts count="1">
    <tablePart r:id="rId3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HP104"/>
  <sheetViews>
    <sheetView zoomScale="80" zoomScaleNormal="80" workbookViewId="0">
      <pane xSplit="1" ySplit="3" topLeftCell="EX13" activePane="bottomRight" state="frozen"/>
      <selection pane="topRight" activeCell="B1" sqref="B1"/>
      <selection pane="bottomLeft" activeCell="A4" sqref="A4"/>
      <selection pane="bottomRight" activeCell="FN4" sqref="FN4:FN38"/>
    </sheetView>
  </sheetViews>
  <sheetFormatPr baseColWidth="10" defaultColWidth="13.140625" defaultRowHeight="15"/>
  <cols>
    <col min="1" max="1" width="24.140625" customWidth="1"/>
    <col min="2" max="2" width="10.85546875" customWidth="1"/>
    <col min="3" max="3" width="3.85546875" customWidth="1"/>
    <col min="4" max="4" width="9.140625" customWidth="1"/>
    <col min="5" max="5" width="6.85546875" customWidth="1"/>
    <col min="6" max="6" width="10.5703125" customWidth="1"/>
    <col min="7" max="7" width="4.42578125" customWidth="1"/>
    <col min="8" max="8" width="9" customWidth="1"/>
    <col min="9" max="9" width="6.85546875" customWidth="1"/>
    <col min="10" max="10" width="10.42578125" customWidth="1"/>
    <col min="11" max="11" width="4.85546875" customWidth="1"/>
    <col min="12" max="12" width="10.42578125" customWidth="1"/>
    <col min="13" max="13" width="6.85546875" customWidth="1"/>
    <col min="14" max="14" width="10.140625" bestFit="1" customWidth="1"/>
    <col min="15" max="15" width="3.5703125" customWidth="1"/>
    <col min="16" max="16" width="8.85546875" bestFit="1" customWidth="1"/>
    <col min="17" max="17" width="7" customWidth="1"/>
    <col min="18" max="18" width="10.140625" customWidth="1"/>
    <col min="19" max="19" width="3.140625" customWidth="1"/>
    <col min="20" max="20" width="10.42578125" customWidth="1"/>
    <col min="21" max="21" width="8.42578125" customWidth="1"/>
    <col min="22" max="22" width="9.85546875" customWidth="1"/>
    <col min="23" max="23" width="5.42578125" customWidth="1"/>
    <col min="24" max="24" width="9.140625" bestFit="1" customWidth="1"/>
    <col min="25" max="25" width="7.85546875" bestFit="1" customWidth="1"/>
    <col min="26" max="26" width="10.140625" bestFit="1" customWidth="1"/>
    <col min="27" max="27" width="4.140625" customWidth="1"/>
    <col min="28" max="28" width="9.140625" bestFit="1" customWidth="1"/>
    <col min="29" max="29" width="5.42578125" customWidth="1"/>
    <col min="30" max="30" width="10.140625" customWidth="1"/>
    <col min="31" max="31" width="4" customWidth="1"/>
    <col min="32" max="32" width="9.140625" customWidth="1"/>
    <col min="33" max="33" width="8" customWidth="1"/>
    <col min="34" max="34" width="12.42578125" bestFit="1" customWidth="1"/>
    <col min="35" max="35" width="4.140625" customWidth="1"/>
    <col min="36" max="36" width="9.85546875" customWidth="1"/>
    <col min="37" max="37" width="7.85546875" customWidth="1"/>
    <col min="38" max="38" width="10.85546875" customWidth="1"/>
    <col min="39" max="39" width="4.5703125" customWidth="1"/>
    <col min="40" max="40" width="9.140625" customWidth="1"/>
    <col min="41" max="41" width="8.5703125" customWidth="1"/>
    <col min="42" max="42" width="11.42578125" customWidth="1"/>
    <col min="43" max="43" width="5.42578125" customWidth="1"/>
    <col min="44" max="44" width="10.5703125" customWidth="1"/>
    <col min="45" max="45" width="5.42578125" customWidth="1"/>
    <col min="46" max="46" width="15.140625" bestFit="1" customWidth="1"/>
    <col min="47" max="47" width="4" customWidth="1"/>
    <col min="48" max="48" width="10.85546875" customWidth="1"/>
    <col min="49" max="49" width="7.28515625" customWidth="1"/>
    <col min="50" max="50" width="11.42578125" customWidth="1"/>
    <col min="51" max="51" width="3.5703125" customWidth="1"/>
    <col min="52" max="52" width="10.7109375" bestFit="1" customWidth="1"/>
    <col min="53" max="53" width="10.28515625" customWidth="1"/>
    <col min="54" max="54" width="10.42578125" customWidth="1"/>
    <col min="55" max="55" width="4.7109375" customWidth="1"/>
    <col min="56" max="56" width="11.140625" customWidth="1"/>
    <col min="57" max="57" width="8.42578125" customWidth="1"/>
    <col min="58" max="58" width="11.5703125" customWidth="1"/>
    <col min="59" max="59" width="3.5703125" customWidth="1"/>
    <col min="60" max="60" width="11.140625" customWidth="1"/>
    <col min="61" max="61" width="9.5703125" customWidth="1"/>
    <col min="62" max="62" width="11.7109375" customWidth="1"/>
    <col min="63" max="63" width="4" customWidth="1"/>
    <col min="64" max="64" width="10.140625" customWidth="1"/>
    <col min="65" max="65" width="8.42578125" customWidth="1"/>
    <col min="66" max="66" width="10.85546875" customWidth="1"/>
    <col min="67" max="67" width="3.140625" customWidth="1"/>
    <col min="68" max="68" width="10.28515625" customWidth="1"/>
    <col min="69" max="69" width="8.85546875" customWidth="1"/>
    <col min="70" max="70" width="10.7109375" customWidth="1"/>
    <col min="71" max="71" width="4" customWidth="1"/>
    <col min="72" max="72" width="11.28515625" customWidth="1"/>
    <col min="73" max="73" width="7.5703125" customWidth="1"/>
    <col min="74" max="74" width="10.140625" bestFit="1" customWidth="1"/>
    <col min="75" max="75" width="4.140625" customWidth="1"/>
    <col min="76" max="76" width="11" customWidth="1"/>
    <col min="77" max="77" width="7.5703125" customWidth="1"/>
    <col min="78" max="78" width="10.7109375" customWidth="1"/>
    <col min="79" max="79" width="4.28515625" customWidth="1"/>
    <col min="80" max="80" width="9.85546875" customWidth="1"/>
    <col min="81" max="81" width="8.28515625" customWidth="1"/>
    <col min="82" max="82" width="12.42578125" bestFit="1" customWidth="1"/>
    <col min="83" max="83" width="4.28515625" customWidth="1"/>
    <col min="84" max="84" width="9.140625" customWidth="1"/>
    <col min="85" max="85" width="8.42578125" customWidth="1"/>
    <col min="86" max="86" width="11" customWidth="1"/>
    <col min="87" max="87" width="4.140625" customWidth="1"/>
    <col min="88" max="88" width="8.7109375" customWidth="1"/>
    <col min="89" max="89" width="6.85546875" customWidth="1"/>
    <col min="90" max="90" width="11.7109375" customWidth="1"/>
    <col min="91" max="91" width="3.5703125" customWidth="1"/>
    <col min="92" max="92" width="9.85546875" customWidth="1"/>
    <col min="93" max="93" width="6.85546875" customWidth="1"/>
    <col min="94" max="94" width="15.140625" bestFit="1" customWidth="1"/>
    <col min="95" max="95" width="4" customWidth="1"/>
    <col min="96" max="96" width="10.140625" bestFit="1" customWidth="1"/>
    <col min="97" max="97" width="8.140625" customWidth="1"/>
    <col min="98" max="98" width="10.140625" bestFit="1" customWidth="1"/>
    <col min="99" max="99" width="4.5703125" customWidth="1"/>
    <col min="100" max="100" width="9.85546875" customWidth="1"/>
    <col min="101" max="101" width="7.7109375" customWidth="1"/>
    <col min="102" max="102" width="10.140625" bestFit="1" customWidth="1"/>
    <col min="103" max="103" width="5" customWidth="1"/>
    <col min="104" max="104" width="10.28515625" customWidth="1"/>
    <col min="105" max="105" width="9" customWidth="1"/>
    <col min="106" max="106" width="10.140625" bestFit="1" customWidth="1"/>
    <col min="107" max="107" width="4.85546875" customWidth="1"/>
    <col min="108" max="108" width="9" customWidth="1"/>
    <col min="109" max="109" width="8.7109375" customWidth="1"/>
    <col min="110" max="110" width="10.140625" bestFit="1" customWidth="1"/>
    <col min="111" max="111" width="4.7109375" customWidth="1"/>
    <col min="112" max="112" width="8.85546875" customWidth="1"/>
    <col min="113" max="113" width="7.42578125" customWidth="1"/>
    <col min="114" max="114" width="11.140625" customWidth="1"/>
    <col min="115" max="115" width="4.140625" customWidth="1"/>
    <col min="116" max="116" width="10.140625" bestFit="1" customWidth="1"/>
    <col min="117" max="117" width="8" customWidth="1"/>
    <col min="118" max="118" width="12.42578125" customWidth="1"/>
    <col min="119" max="119" width="3.7109375" customWidth="1"/>
    <col min="120" max="120" width="10.85546875" customWidth="1"/>
    <col min="121" max="121" width="8.7109375" customWidth="1"/>
    <col min="122" max="122" width="10.140625" bestFit="1" customWidth="1"/>
    <col min="123" max="123" width="3.5703125" customWidth="1"/>
    <col min="124" max="124" width="10.28515625" customWidth="1"/>
    <col min="125" max="125" width="8" customWidth="1"/>
    <col min="126" max="126" width="10.7109375" customWidth="1"/>
    <col min="127" max="127" width="4.7109375" customWidth="1"/>
    <col min="128" max="128" width="9.140625" customWidth="1"/>
    <col min="129" max="129" width="7.28515625" customWidth="1"/>
    <col min="130" max="130" width="13.85546875" customWidth="1"/>
    <col min="131" max="131" width="4.140625" customWidth="1"/>
    <col min="132" max="132" width="9.7109375" customWidth="1"/>
    <col min="133" max="133" width="7.140625" customWidth="1"/>
    <col min="134" max="134" width="10.7109375" customWidth="1"/>
    <col min="135" max="135" width="4" customWidth="1"/>
    <col min="136" max="136" width="10.5703125" bestFit="1" customWidth="1"/>
    <col min="137" max="137" width="6.85546875" customWidth="1"/>
    <col min="138" max="138" width="11.42578125" customWidth="1"/>
    <col min="139" max="139" width="4.7109375" customWidth="1"/>
    <col min="140" max="140" width="9.28515625" bestFit="1" customWidth="1"/>
    <col min="141" max="141" width="8.42578125" customWidth="1"/>
    <col min="142" max="142" width="11.28515625" customWidth="1"/>
    <col min="143" max="143" width="4.140625" customWidth="1"/>
    <col min="144" max="144" width="10.140625" customWidth="1"/>
    <col min="145" max="145" width="6.85546875" customWidth="1"/>
    <col min="146" max="146" width="10.42578125" customWidth="1"/>
    <col min="147" max="147" width="4.7109375" customWidth="1"/>
    <col min="148" max="148" width="11" customWidth="1"/>
    <col min="149" max="149" width="7.42578125" customWidth="1"/>
    <col min="150" max="150" width="10.5703125" customWidth="1"/>
    <col min="151" max="151" width="3.85546875" customWidth="1"/>
    <col min="152" max="152" width="10.42578125" customWidth="1"/>
    <col min="153" max="153" width="7.140625" customWidth="1"/>
    <col min="154" max="154" width="11.140625" customWidth="1"/>
    <col min="155" max="155" width="4.7109375" customWidth="1"/>
    <col min="156" max="156" width="10.140625" customWidth="1"/>
    <col min="157" max="157" width="7.7109375" customWidth="1"/>
    <col min="158" max="158" width="12.5703125" customWidth="1"/>
    <col min="159" max="159" width="4.7109375" customWidth="1"/>
    <col min="160" max="160" width="10.140625" customWidth="1"/>
    <col min="161" max="161" width="7.42578125" customWidth="1"/>
    <col min="162" max="162" width="12.7109375" customWidth="1"/>
    <col min="163" max="163" width="4.140625" customWidth="1"/>
    <col min="164" max="164" width="10.5703125" customWidth="1"/>
    <col min="165" max="165" width="7.5703125" customWidth="1"/>
    <col min="166" max="166" width="11" customWidth="1"/>
    <col min="167" max="167" width="4.42578125" customWidth="1"/>
    <col min="168" max="168" width="10.42578125" customWidth="1"/>
    <col min="169" max="169" width="7.42578125" customWidth="1"/>
    <col min="170" max="170" width="11" customWidth="1"/>
    <col min="171" max="171" width="5.42578125" customWidth="1"/>
    <col min="172" max="172" width="9.5703125" customWidth="1"/>
    <col min="173" max="173" width="6.28515625" customWidth="1"/>
    <col min="174" max="174" width="13.85546875" customWidth="1"/>
    <col min="175" max="175" width="16.140625" customWidth="1"/>
    <col min="176" max="176" width="8.140625" customWidth="1"/>
    <col min="177" max="177" width="7.28515625" customWidth="1"/>
    <col min="178" max="181" width="8.85546875" hidden="1" customWidth="1"/>
    <col min="182" max="182" width="6.85546875" hidden="1" customWidth="1"/>
    <col min="183" max="183" width="9.140625" hidden="1" customWidth="1"/>
    <col min="184" max="184" width="9.5703125" hidden="1" customWidth="1"/>
    <col min="185" max="185" width="7.42578125" hidden="1" customWidth="1"/>
    <col min="186" max="186" width="9.140625" hidden="1" customWidth="1"/>
    <col min="187" max="187" width="9.5703125" hidden="1" customWidth="1"/>
    <col min="188" max="188" width="9.28515625" hidden="1" customWidth="1"/>
    <col min="189" max="190" width="8.85546875" hidden="1" customWidth="1"/>
    <col min="191" max="191" width="8.42578125" hidden="1" customWidth="1"/>
    <col min="192" max="192" width="8" hidden="1" customWidth="1"/>
    <col min="193" max="193" width="9.5703125" hidden="1" customWidth="1"/>
    <col min="194" max="195" width="7.85546875" hidden="1" customWidth="1"/>
    <col min="196" max="197" width="6.85546875" hidden="1" customWidth="1"/>
    <col min="198" max="198" width="8.7109375" hidden="1" customWidth="1"/>
    <col min="199" max="199" width="7.140625" hidden="1" customWidth="1"/>
    <col min="200" max="200" width="9.140625" hidden="1" customWidth="1"/>
    <col min="201" max="201" width="11" hidden="1" customWidth="1"/>
    <col min="202" max="213" width="9.7109375" hidden="1" customWidth="1"/>
    <col min="214" max="219" width="9.7109375" customWidth="1"/>
    <col min="220" max="220" width="15.5703125" style="210" bestFit="1" customWidth="1"/>
    <col min="221" max="221" width="15.28515625" customWidth="1"/>
  </cols>
  <sheetData>
    <row r="1" spans="1:221" ht="39" customHeight="1">
      <c r="A1" s="44"/>
      <c r="B1" s="270">
        <v>2023</v>
      </c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1">
        <v>2024</v>
      </c>
      <c r="AY1" s="271"/>
      <c r="AZ1" s="271"/>
      <c r="BA1" s="271"/>
      <c r="BB1" s="271"/>
      <c r="BC1" s="271"/>
      <c r="BD1" s="271"/>
      <c r="BE1" s="271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  <c r="BZ1" s="220"/>
      <c r="CA1" s="220"/>
      <c r="CB1" s="220"/>
      <c r="CC1" s="220"/>
      <c r="CD1" s="220"/>
      <c r="CE1" s="220"/>
      <c r="CF1" s="220"/>
      <c r="CG1" s="220"/>
      <c r="CH1" s="220"/>
      <c r="CI1" s="220"/>
      <c r="CJ1" s="220"/>
      <c r="CK1" s="220"/>
      <c r="CL1" s="220"/>
      <c r="CM1" s="220"/>
      <c r="CN1" s="220"/>
      <c r="CO1" s="220"/>
      <c r="CP1" s="220"/>
      <c r="CQ1" s="220"/>
      <c r="CR1" s="220"/>
      <c r="CS1" s="220"/>
      <c r="CT1" s="272">
        <v>2025</v>
      </c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272"/>
      <c r="DN1" s="272"/>
      <c r="DO1" s="272"/>
      <c r="DP1" s="272"/>
      <c r="DQ1" s="272"/>
      <c r="DR1" s="272"/>
      <c r="DS1" s="272"/>
      <c r="DT1" s="272"/>
      <c r="DU1" s="272"/>
      <c r="DV1" s="272"/>
      <c r="DW1" s="272"/>
      <c r="DX1" s="272"/>
      <c r="DY1" s="272"/>
      <c r="DZ1" s="272"/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3">
        <v>2026</v>
      </c>
      <c r="EQ1" s="273"/>
      <c r="ER1" s="273"/>
      <c r="ES1" s="273"/>
      <c r="ET1" s="273"/>
      <c r="EU1" s="273"/>
      <c r="EV1" s="273"/>
      <c r="EW1" s="273"/>
      <c r="EX1" s="273"/>
      <c r="EY1" s="273"/>
      <c r="EZ1" s="273"/>
      <c r="FA1" s="273"/>
      <c r="FB1" s="273"/>
      <c r="FC1" s="273"/>
      <c r="FD1" s="273"/>
      <c r="FE1" s="273"/>
      <c r="FF1" s="260"/>
      <c r="FG1" s="260"/>
      <c r="FH1" s="260"/>
      <c r="FI1" s="260"/>
      <c r="FJ1" s="261"/>
      <c r="FK1" s="261"/>
      <c r="FL1" s="261"/>
      <c r="FM1" s="261"/>
      <c r="FN1" s="262"/>
      <c r="FO1" s="262"/>
      <c r="FP1" s="262"/>
      <c r="FQ1" s="262"/>
      <c r="FS1" s="229">
        <v>2.5000000000000001E-3</v>
      </c>
      <c r="FT1">
        <f>329*1.71%</f>
        <v>5.6259000000000006</v>
      </c>
      <c r="GF1">
        <f>4620/231.09</f>
        <v>19.99221082695054</v>
      </c>
      <c r="GS1" t="s">
        <v>561</v>
      </c>
      <c r="HL1" s="210">
        <v>53</v>
      </c>
    </row>
    <row r="2" spans="1:221" ht="23.25" customHeight="1">
      <c r="A2" s="44"/>
      <c r="B2" s="45"/>
      <c r="F2" s="45"/>
      <c r="J2" s="45"/>
      <c r="N2" s="45"/>
      <c r="R2" s="45"/>
      <c r="V2" s="45"/>
      <c r="Z2" s="45"/>
      <c r="AD2" s="45"/>
      <c r="AH2" s="45"/>
      <c r="AL2" s="45"/>
      <c r="AP2" s="45"/>
      <c r="AT2" s="45"/>
      <c r="AX2" s="45"/>
      <c r="EP2">
        <v>146</v>
      </c>
      <c r="EQ2">
        <v>147</v>
      </c>
      <c r="FS2">
        <v>397</v>
      </c>
      <c r="GO2" s="51"/>
    </row>
    <row r="3" spans="1:221" ht="35.25" customHeight="1">
      <c r="A3" s="46"/>
      <c r="B3" s="47" t="s">
        <v>85</v>
      </c>
      <c r="C3" s="48"/>
      <c r="D3" s="48" t="s">
        <v>351</v>
      </c>
      <c r="E3" s="195"/>
      <c r="F3" s="47" t="s">
        <v>121</v>
      </c>
      <c r="G3" s="48"/>
      <c r="H3" s="48" t="s">
        <v>351</v>
      </c>
      <c r="I3" s="195"/>
      <c r="J3" s="47" t="s">
        <v>125</v>
      </c>
      <c r="K3" s="48"/>
      <c r="L3" s="48" t="s">
        <v>351</v>
      </c>
      <c r="M3" s="195"/>
      <c r="N3" s="47" t="s">
        <v>126</v>
      </c>
      <c r="O3" s="48"/>
      <c r="P3" s="48" t="s">
        <v>351</v>
      </c>
      <c r="Q3" s="195"/>
      <c r="R3" s="47" t="s">
        <v>127</v>
      </c>
      <c r="S3" s="48"/>
      <c r="T3" s="48" t="s">
        <v>351</v>
      </c>
      <c r="U3" s="195"/>
      <c r="V3" s="47" t="s">
        <v>128</v>
      </c>
      <c r="W3" s="48"/>
      <c r="X3" s="48" t="s">
        <v>351</v>
      </c>
      <c r="Y3" s="195"/>
      <c r="Z3" s="47" t="s">
        <v>120</v>
      </c>
      <c r="AA3" s="48"/>
      <c r="AB3" s="48" t="s">
        <v>351</v>
      </c>
      <c r="AC3" s="195"/>
      <c r="AD3" s="47" t="s">
        <v>146</v>
      </c>
      <c r="AE3" s="48"/>
      <c r="AF3" s="48" t="s">
        <v>351</v>
      </c>
      <c r="AG3" s="195"/>
      <c r="AH3" s="216" t="s">
        <v>149</v>
      </c>
      <c r="AI3" s="48"/>
      <c r="AJ3" s="48" t="s">
        <v>351</v>
      </c>
      <c r="AK3" s="195"/>
      <c r="AL3" s="216" t="s">
        <v>152</v>
      </c>
      <c r="AM3" s="48"/>
      <c r="AN3" s="48" t="s">
        <v>351</v>
      </c>
      <c r="AO3" s="195"/>
      <c r="AP3" s="216" t="s">
        <v>83</v>
      </c>
      <c r="AQ3" s="48"/>
      <c r="AR3" s="48" t="s">
        <v>351</v>
      </c>
      <c r="AS3" s="195"/>
      <c r="AT3" s="216" t="s">
        <v>124</v>
      </c>
      <c r="AU3" s="48"/>
      <c r="AV3" s="48" t="s">
        <v>351</v>
      </c>
      <c r="AW3" s="195"/>
      <c r="AX3" s="216" t="s">
        <v>85</v>
      </c>
      <c r="AY3" s="48"/>
      <c r="AZ3" s="48" t="s">
        <v>351</v>
      </c>
      <c r="BA3" s="48"/>
      <c r="BB3" s="48" t="s">
        <v>121</v>
      </c>
      <c r="BC3" s="48"/>
      <c r="BD3" s="48" t="s">
        <v>351</v>
      </c>
      <c r="BE3" s="195"/>
      <c r="BF3" s="48" t="s">
        <v>125</v>
      </c>
      <c r="BG3" s="48"/>
      <c r="BH3" s="48" t="s">
        <v>351</v>
      </c>
      <c r="BI3" s="195"/>
      <c r="BJ3" s="48" t="s">
        <v>126</v>
      </c>
      <c r="BK3" s="48"/>
      <c r="BL3" s="48" t="s">
        <v>351</v>
      </c>
      <c r="BM3" s="195"/>
      <c r="BN3" s="48" t="s">
        <v>127</v>
      </c>
      <c r="BO3" s="48"/>
      <c r="BP3" s="48" t="s">
        <v>351</v>
      </c>
      <c r="BQ3" s="195"/>
      <c r="BR3" s="48" t="s">
        <v>128</v>
      </c>
      <c r="BS3" s="48"/>
      <c r="BT3" s="48" t="s">
        <v>351</v>
      </c>
      <c r="BU3" s="195"/>
      <c r="BV3" s="48" t="s">
        <v>120</v>
      </c>
      <c r="BW3" s="48"/>
      <c r="BX3" s="48" t="s">
        <v>351</v>
      </c>
      <c r="BY3" s="195"/>
      <c r="BZ3" s="48" t="s">
        <v>146</v>
      </c>
      <c r="CA3" s="48"/>
      <c r="CB3" s="48" t="s">
        <v>351</v>
      </c>
      <c r="CC3" s="195"/>
      <c r="CD3" s="48" t="s">
        <v>149</v>
      </c>
      <c r="CE3" s="48"/>
      <c r="CF3" s="48" t="s">
        <v>351</v>
      </c>
      <c r="CG3" s="195"/>
      <c r="CH3" s="48" t="s">
        <v>152</v>
      </c>
      <c r="CI3" s="48"/>
      <c r="CJ3" s="48" t="s">
        <v>351</v>
      </c>
      <c r="CK3" s="195"/>
      <c r="CL3" s="48" t="s">
        <v>83</v>
      </c>
      <c r="CM3" s="48"/>
      <c r="CN3" s="48" t="s">
        <v>351</v>
      </c>
      <c r="CO3" s="195"/>
      <c r="CP3" s="48" t="s">
        <v>124</v>
      </c>
      <c r="CQ3" s="48"/>
      <c r="CR3" s="48" t="s">
        <v>351</v>
      </c>
      <c r="CS3" s="195"/>
      <c r="CT3" s="248" t="s">
        <v>85</v>
      </c>
      <c r="CU3" s="248"/>
      <c r="CV3" s="248" t="s">
        <v>351</v>
      </c>
      <c r="CW3" s="248"/>
      <c r="CX3" s="248" t="s">
        <v>121</v>
      </c>
      <c r="CY3" s="248"/>
      <c r="CZ3" s="248" t="s">
        <v>351</v>
      </c>
      <c r="DA3" s="248"/>
      <c r="DB3" s="248" t="s">
        <v>125</v>
      </c>
      <c r="DC3" s="248"/>
      <c r="DD3" s="248" t="s">
        <v>351</v>
      </c>
      <c r="DE3" s="248"/>
      <c r="DF3" s="248" t="s">
        <v>126</v>
      </c>
      <c r="DG3" s="248"/>
      <c r="DH3" s="248" t="s">
        <v>351</v>
      </c>
      <c r="DI3" s="248"/>
      <c r="DJ3" s="248" t="s">
        <v>127</v>
      </c>
      <c r="DK3" s="248"/>
      <c r="DL3" s="248" t="s">
        <v>351</v>
      </c>
      <c r="DM3" s="248"/>
      <c r="DN3" s="248" t="s">
        <v>128</v>
      </c>
      <c r="DO3" s="248"/>
      <c r="DP3" s="248" t="s">
        <v>351</v>
      </c>
      <c r="DQ3" s="248"/>
      <c r="DR3" s="248" t="s">
        <v>120</v>
      </c>
      <c r="DS3" s="248"/>
      <c r="DT3" s="248" t="s">
        <v>351</v>
      </c>
      <c r="DU3" s="248"/>
      <c r="DV3" s="248" t="s">
        <v>146</v>
      </c>
      <c r="DW3" s="248"/>
      <c r="DX3" s="248" t="s">
        <v>351</v>
      </c>
      <c r="DY3" s="249"/>
      <c r="DZ3" s="249" t="s">
        <v>149</v>
      </c>
      <c r="EA3" s="249"/>
      <c r="EB3" s="249" t="s">
        <v>351</v>
      </c>
      <c r="EC3" s="249"/>
      <c r="ED3" s="249" t="s">
        <v>152</v>
      </c>
      <c r="EE3" s="249"/>
      <c r="EF3" s="249" t="s">
        <v>351</v>
      </c>
      <c r="EG3" s="249"/>
      <c r="EH3" s="248" t="s">
        <v>83</v>
      </c>
      <c r="EI3" s="248"/>
      <c r="EJ3" s="248" t="s">
        <v>351</v>
      </c>
      <c r="EK3" s="248"/>
      <c r="EL3" s="248" t="s">
        <v>124</v>
      </c>
      <c r="EM3" s="248"/>
      <c r="EN3" s="248" t="s">
        <v>351</v>
      </c>
      <c r="EO3" s="248"/>
      <c r="EP3" s="251" t="s">
        <v>85</v>
      </c>
      <c r="EQ3" s="251" t="s">
        <v>609</v>
      </c>
      <c r="ER3" s="251" t="s">
        <v>351</v>
      </c>
      <c r="ES3" s="257"/>
      <c r="ET3" s="251" t="s">
        <v>121</v>
      </c>
      <c r="EU3" s="251" t="s">
        <v>609</v>
      </c>
      <c r="EV3" s="251" t="s">
        <v>351</v>
      </c>
      <c r="EW3" s="257"/>
      <c r="EX3" s="251" t="s">
        <v>125</v>
      </c>
      <c r="EY3" s="251" t="s">
        <v>609</v>
      </c>
      <c r="EZ3" s="251" t="s">
        <v>351</v>
      </c>
      <c r="FA3" s="257"/>
      <c r="FB3" s="251" t="s">
        <v>126</v>
      </c>
      <c r="FC3" s="251" t="s">
        <v>609</v>
      </c>
      <c r="FD3" s="251" t="s">
        <v>351</v>
      </c>
      <c r="FE3" s="257"/>
      <c r="FF3" s="251" t="s">
        <v>127</v>
      </c>
      <c r="FG3" s="251" t="s">
        <v>609</v>
      </c>
      <c r="FH3" s="251" t="s">
        <v>351</v>
      </c>
      <c r="FI3" s="257"/>
      <c r="FJ3" s="251" t="s">
        <v>128</v>
      </c>
      <c r="FK3" s="251" t="s">
        <v>609</v>
      </c>
      <c r="FL3" s="251" t="s">
        <v>351</v>
      </c>
      <c r="FM3" s="257"/>
      <c r="FN3" s="251" t="s">
        <v>120</v>
      </c>
      <c r="FO3" s="251" t="s">
        <v>609</v>
      </c>
      <c r="FP3" s="251" t="s">
        <v>351</v>
      </c>
      <c r="FQ3" s="257"/>
      <c r="FR3" s="194" t="s">
        <v>385</v>
      </c>
      <c r="FS3" s="199" t="s">
        <v>433</v>
      </c>
      <c r="FT3" s="198" t="s">
        <v>432</v>
      </c>
      <c r="FV3" s="205">
        <v>44927</v>
      </c>
      <c r="FW3" s="205">
        <v>44958</v>
      </c>
      <c r="FX3" s="205">
        <v>44986</v>
      </c>
      <c r="FY3" s="205">
        <v>45017</v>
      </c>
      <c r="FZ3" s="205">
        <v>45047</v>
      </c>
      <c r="GA3" s="205">
        <v>45078</v>
      </c>
      <c r="GB3" s="205">
        <v>45108</v>
      </c>
      <c r="GC3" s="205">
        <v>45139</v>
      </c>
      <c r="GD3" s="205">
        <v>45170</v>
      </c>
      <c r="GE3" s="205">
        <v>45200</v>
      </c>
      <c r="GF3" s="205">
        <v>45231</v>
      </c>
      <c r="GG3" s="205">
        <v>45261</v>
      </c>
      <c r="GH3" s="205">
        <v>45292</v>
      </c>
      <c r="GI3" s="205">
        <v>45323</v>
      </c>
      <c r="GJ3" s="205">
        <v>45352</v>
      </c>
      <c r="GK3" s="205">
        <v>45383</v>
      </c>
      <c r="GL3" s="205">
        <v>45413</v>
      </c>
      <c r="GM3" s="205">
        <v>45444</v>
      </c>
      <c r="GN3" s="205">
        <v>45474</v>
      </c>
      <c r="GO3" s="205">
        <v>45505</v>
      </c>
      <c r="GP3" s="205">
        <v>45536</v>
      </c>
      <c r="GQ3" s="205">
        <v>45566</v>
      </c>
      <c r="GR3" s="205">
        <v>45597</v>
      </c>
      <c r="GS3" s="205">
        <v>45627</v>
      </c>
      <c r="GT3" s="205">
        <v>45658</v>
      </c>
      <c r="GU3" s="205">
        <v>45689</v>
      </c>
      <c r="GV3" s="205">
        <v>45717</v>
      </c>
      <c r="GW3" s="205">
        <v>45748</v>
      </c>
      <c r="GX3" s="205">
        <v>45778</v>
      </c>
      <c r="GY3" s="205">
        <v>45809</v>
      </c>
      <c r="GZ3" s="205">
        <v>45839</v>
      </c>
      <c r="HA3" s="205">
        <v>45870</v>
      </c>
      <c r="HB3" s="205">
        <v>45901</v>
      </c>
      <c r="HC3" s="205">
        <v>45931</v>
      </c>
      <c r="HD3" s="205">
        <v>45962</v>
      </c>
      <c r="HE3" s="205">
        <v>45992</v>
      </c>
      <c r="HF3" s="205">
        <v>46023</v>
      </c>
      <c r="HG3" s="205">
        <v>46054</v>
      </c>
      <c r="HH3" s="205">
        <v>46082</v>
      </c>
      <c r="HI3" s="205">
        <v>46113</v>
      </c>
      <c r="HJ3" s="205">
        <v>46143</v>
      </c>
      <c r="HK3" s="205">
        <v>46174</v>
      </c>
      <c r="HL3" s="210" t="s">
        <v>434</v>
      </c>
      <c r="HM3" t="s">
        <v>499</v>
      </c>
    </row>
    <row r="4" spans="1:221">
      <c r="A4" s="49" t="s">
        <v>12</v>
      </c>
      <c r="B4" s="51">
        <v>12.09094285714286</v>
      </c>
      <c r="C4" s="51" t="s">
        <v>277</v>
      </c>
      <c r="D4" s="51">
        <f t="shared" ref="D4:D38" si="0">IF(C4="",B4,0)</f>
        <v>0</v>
      </c>
      <c r="E4" s="51" t="str">
        <f t="shared" ref="E4:E38" si="1">IF(D4&gt;0,"Debe","")</f>
        <v/>
      </c>
      <c r="F4" s="51">
        <v>13.268942857142859</v>
      </c>
      <c r="G4" s="51" t="s">
        <v>277</v>
      </c>
      <c r="H4" s="51">
        <f t="shared" ref="H4:H38" si="2">IF(G4="",F4,0)</f>
        <v>0</v>
      </c>
      <c r="I4" s="51" t="str">
        <f t="shared" ref="I4:I39" si="3">IF(H4&gt;0,"Debe","")</f>
        <v/>
      </c>
      <c r="J4" s="51">
        <v>13.871742857142859</v>
      </c>
      <c r="K4" s="51" t="s">
        <v>277</v>
      </c>
      <c r="L4" s="51">
        <f t="shared" ref="L4:L39" si="4">IF(K4="",J4,0)</f>
        <v>0</v>
      </c>
      <c r="M4" s="51" t="str">
        <f t="shared" ref="M4:M38" si="5">IF(L4&gt;0,"Debe","")</f>
        <v/>
      </c>
      <c r="N4" s="51">
        <v>13.323742857142859</v>
      </c>
      <c r="O4" s="51" t="s">
        <v>277</v>
      </c>
      <c r="P4" s="51">
        <f t="shared" ref="P4:P38" si="6">IF(O4="",N4,0)</f>
        <v>0</v>
      </c>
      <c r="Q4" s="51" t="str">
        <f t="shared" ref="Q4:Q38" si="7">IF(P4&gt;0,"Debe","")</f>
        <v/>
      </c>
      <c r="R4" s="51">
        <v>13.460742857142858</v>
      </c>
      <c r="S4" s="51" t="s">
        <v>277</v>
      </c>
      <c r="T4" s="51">
        <f t="shared" ref="T4:T38" si="8">IF(S4="",R4,0)</f>
        <v>0</v>
      </c>
      <c r="U4" s="51" t="str">
        <f t="shared" ref="U4:U38" si="9">IF(T4&gt;0,"Debe","")</f>
        <v/>
      </c>
      <c r="V4" s="51">
        <v>28.337542857142857</v>
      </c>
      <c r="W4" s="51" t="s">
        <v>277</v>
      </c>
      <c r="X4" s="51">
        <f t="shared" ref="X4:X38" si="10">IF(W4="",V4,0)</f>
        <v>0</v>
      </c>
      <c r="Y4" s="51" t="str">
        <f t="shared" ref="Y4:Y38" si="11">IF(X4&gt;0,"Debe","")</f>
        <v/>
      </c>
      <c r="Z4" s="51">
        <v>14.282742857142859</v>
      </c>
      <c r="AA4" s="51" t="s">
        <v>277</v>
      </c>
      <c r="AB4" s="51">
        <f t="shared" ref="AB4:AB38" si="12">IF(AA4="",Z4,0)</f>
        <v>0</v>
      </c>
      <c r="AC4" s="51" t="str">
        <f t="shared" ref="AC4:AC38" si="13">IF(AB4&gt;0,"Debe","")</f>
        <v/>
      </c>
      <c r="AD4" s="51">
        <v>14.885542857142859</v>
      </c>
      <c r="AE4" s="51" t="s">
        <v>277</v>
      </c>
      <c r="AF4" s="51">
        <f t="shared" ref="AF4:AF38" si="14">IF(AE4="",AD4,0)</f>
        <v>0</v>
      </c>
      <c r="AG4" s="51" t="str">
        <f t="shared" ref="AG4:AG38" si="15">IF(AF4&gt;0,"Debe","")</f>
        <v/>
      </c>
      <c r="AH4" s="51">
        <v>14.61154285714286</v>
      </c>
      <c r="AI4" s="51" t="s">
        <v>277</v>
      </c>
      <c r="AJ4" s="51">
        <f t="shared" ref="AJ4:AJ38" si="16">IF(AI4="",AH4,0)</f>
        <v>0</v>
      </c>
      <c r="AK4" s="51" t="str">
        <f t="shared" ref="AK4:AK38" si="17">IF(AJ4&gt;0,"Debe","")</f>
        <v/>
      </c>
      <c r="AL4" s="51">
        <v>17.35154285714286</v>
      </c>
      <c r="AM4" s="51" t="s">
        <v>277</v>
      </c>
      <c r="AN4" s="51">
        <f t="shared" ref="AN4:AN38" si="18">IF(AM4="",AL4,0)</f>
        <v>0</v>
      </c>
      <c r="AO4" s="51" t="str">
        <f t="shared" ref="AO4:AO38" si="19">IF(AN4&gt;0,"Debe","")</f>
        <v/>
      </c>
      <c r="AP4" s="51">
        <v>15.15954285714286</v>
      </c>
      <c r="AQ4" s="51" t="s">
        <v>277</v>
      </c>
      <c r="AR4" s="51">
        <f t="shared" ref="AR4:AR38" si="20">IF(AQ4="",AP4,0)</f>
        <v>0</v>
      </c>
      <c r="AS4" s="51" t="str">
        <f t="shared" ref="AS4:AS38" si="21">IF(AR4&gt;0,"Debe","")</f>
        <v/>
      </c>
      <c r="AT4" s="51">
        <v>26.432657142857142</v>
      </c>
      <c r="AU4" s="51" t="s">
        <v>277</v>
      </c>
      <c r="AV4" s="51">
        <f t="shared" ref="AV4:AV38" si="22">IF(AU4="",AT4,0)</f>
        <v>0</v>
      </c>
      <c r="AW4" s="51" t="str">
        <f t="shared" ref="AW4:AW38" si="23">IF(AV4&gt;0,"Debe","")</f>
        <v/>
      </c>
      <c r="AX4" s="51">
        <v>24.91394285714286</v>
      </c>
      <c r="AY4" s="51" t="s">
        <v>277</v>
      </c>
      <c r="AZ4" s="51">
        <f t="shared" ref="AZ4:AZ38" si="24">IF(AY4="",AX4,0)</f>
        <v>0</v>
      </c>
      <c r="BA4" s="51" t="str">
        <f t="shared" ref="BA4:BA38" si="25">IF(AZ4&gt;0,"Debe","")</f>
        <v/>
      </c>
      <c r="BB4" s="51">
        <v>19.022942857142858</v>
      </c>
      <c r="BC4" s="51" t="s">
        <v>277</v>
      </c>
      <c r="BD4" s="51">
        <f t="shared" ref="BD4" si="26">IF(BC4="",BB4,0)</f>
        <v>0</v>
      </c>
      <c r="BE4" s="51" t="str">
        <f t="shared" ref="BE4" si="27">IF(BD4&gt;0,"Debe","")</f>
        <v/>
      </c>
      <c r="BF4" s="51">
        <v>17.543342857142861</v>
      </c>
      <c r="BG4" s="51" t="s">
        <v>277</v>
      </c>
      <c r="BH4" s="51">
        <f t="shared" ref="BH4:BH38" si="28">IF(BG4="",BF4,0)</f>
        <v>0</v>
      </c>
      <c r="BI4" s="51" t="str">
        <f t="shared" ref="BI4:BI38" si="29">IF(BH4&gt;0,"Debe","")</f>
        <v/>
      </c>
      <c r="BJ4" s="51">
        <v>17.899542857142858</v>
      </c>
      <c r="BK4" s="51" t="s">
        <v>277</v>
      </c>
      <c r="BL4" s="51">
        <f t="shared" ref="BL4:BL38" si="30">IF(BK4="",BJ4,0)</f>
        <v>0</v>
      </c>
      <c r="BM4" s="51" t="str">
        <f t="shared" ref="BM4:BM38" si="31">IF(BL4&gt;0,"Debe","")</f>
        <v/>
      </c>
      <c r="BN4" s="51">
        <v>18.036542857142859</v>
      </c>
      <c r="BO4" s="51" t="s">
        <v>277</v>
      </c>
      <c r="BP4" s="51">
        <f t="shared" ref="BP4:BP38" si="32">IF(BO4="",BN4,0)</f>
        <v>0</v>
      </c>
      <c r="BQ4" s="51" t="str">
        <f t="shared" ref="BQ4:BQ38" si="33">IF(BP4&gt;0,"Debe","")</f>
        <v/>
      </c>
      <c r="BR4" s="51">
        <v>22.420542857142859</v>
      </c>
      <c r="BS4" s="51" t="s">
        <v>277</v>
      </c>
      <c r="BT4" s="51">
        <f t="shared" ref="BT4:BT38" si="34">IF(BS4="",BR4,0)</f>
        <v>0</v>
      </c>
      <c r="BU4" s="51" t="str">
        <f t="shared" ref="BU4:BU38" si="35">IF(BT4&gt;0,"Debe","")</f>
        <v/>
      </c>
      <c r="BV4" s="51">
        <v>19.269542857142856</v>
      </c>
      <c r="BW4" s="51" t="s">
        <v>277</v>
      </c>
      <c r="BX4" s="51">
        <f t="shared" ref="BX4" si="36">IF(BW4="",BV4,0)</f>
        <v>0</v>
      </c>
      <c r="BY4" s="51" t="str">
        <f t="shared" ref="BY4" si="37">IF(BX4&gt;0,"Debe","")</f>
        <v/>
      </c>
      <c r="BZ4" s="51">
        <v>18.858542857142858</v>
      </c>
      <c r="CA4" s="51" t="s">
        <v>277</v>
      </c>
      <c r="CB4" s="51">
        <f t="shared" ref="CB4" si="38">IF(CA4="",BZ4,0)</f>
        <v>0</v>
      </c>
      <c r="CC4" s="51" t="str">
        <f t="shared" ref="CC4" si="39">IF(CB4&gt;0,"Debe","")</f>
        <v/>
      </c>
      <c r="CD4" s="51">
        <v>17.48854285714286</v>
      </c>
      <c r="CE4" s="51" t="s">
        <v>277</v>
      </c>
      <c r="CF4" s="51">
        <f t="shared" ref="CF4:CF38" si="40">IF(CE4="",CD4,0)</f>
        <v>0</v>
      </c>
      <c r="CG4" s="51" t="str">
        <f t="shared" ref="CG4:CG38" si="41">IF(CF4&gt;0,"Debe","")</f>
        <v/>
      </c>
      <c r="CH4" s="51">
        <v>21.160142857142855</v>
      </c>
      <c r="CI4" s="51" t="s">
        <v>277</v>
      </c>
      <c r="CJ4" s="51">
        <f t="shared" ref="CJ4:CJ12" si="42">IF(CI4="",CH4,0)</f>
        <v>0</v>
      </c>
      <c r="CK4" s="51" t="str">
        <f t="shared" ref="CK4:CK12" si="43">IF(CJ4&gt;0,"Debe","")</f>
        <v/>
      </c>
      <c r="CL4" s="51">
        <v>22.995942857142857</v>
      </c>
      <c r="CM4" s="51" t="s">
        <v>277</v>
      </c>
      <c r="CN4" s="51">
        <f t="shared" ref="CN4" si="44">IF(CM4="",CL4,0)</f>
        <v>0</v>
      </c>
      <c r="CO4" s="51" t="str">
        <f t="shared" ref="CO4" si="45">IF(CN4&gt;0,"Debe","")</f>
        <v/>
      </c>
      <c r="CP4" s="51">
        <v>23.982342857142857</v>
      </c>
      <c r="CQ4" s="51" t="s">
        <v>277</v>
      </c>
      <c r="CR4" s="51">
        <f t="shared" ref="CR4:CR38" si="46">IF(CQ4="",CP4,0)</f>
        <v>0</v>
      </c>
      <c r="CS4" s="51" t="str">
        <f t="shared" ref="CS4:CS38" si="47">IF(CR4&gt;0,"Debe","")</f>
        <v/>
      </c>
      <c r="CT4" s="51">
        <v>20.502742857142859</v>
      </c>
      <c r="CU4" s="230" t="s">
        <v>277</v>
      </c>
      <c r="CV4" s="51">
        <f t="shared" ref="CV4:CV38" si="48">IF(CU4="",CT4,0)</f>
        <v>0</v>
      </c>
      <c r="CW4" s="51" t="str">
        <f t="shared" ref="CW4:CW38" si="49">IF(CV4&gt;0,"Debe","")</f>
        <v/>
      </c>
      <c r="CX4" s="51">
        <v>20.721742857142861</v>
      </c>
      <c r="CY4" s="230" t="s">
        <v>277</v>
      </c>
      <c r="CZ4" s="51">
        <f t="shared" ref="CZ4" si="50">IF(CY4="",CX4,0)</f>
        <v>0</v>
      </c>
      <c r="DA4" s="51" t="str">
        <f t="shared" ref="DA4" si="51">IF(CZ4&gt;0,"Debe","")</f>
        <v/>
      </c>
      <c r="DB4" s="51">
        <v>19.077742857142859</v>
      </c>
      <c r="DC4" s="230" t="s">
        <v>277</v>
      </c>
      <c r="DD4" s="51">
        <f t="shared" ref="DD4:DD38" si="52">IF(DC4="",DB4,0)</f>
        <v>0</v>
      </c>
      <c r="DE4" s="51" t="str">
        <f t="shared" ref="DE4:DE38" si="53">IF(DD4&gt;0,"Debe","")</f>
        <v/>
      </c>
      <c r="DF4" s="51">
        <v>21.68074285714286</v>
      </c>
      <c r="DG4" s="230" t="s">
        <v>277</v>
      </c>
      <c r="DH4" s="51">
        <f t="shared" ref="DH4:DH38" si="54">IF(DG4="",DF4,0)</f>
        <v>0</v>
      </c>
      <c r="DI4" s="51" t="str">
        <f t="shared" ref="DI4:DI38" si="55">IF(DH4&gt;0,"Debe","")</f>
        <v/>
      </c>
      <c r="DJ4" s="51">
        <v>26.749742857142863</v>
      </c>
      <c r="DK4" s="51" t="s">
        <v>277</v>
      </c>
      <c r="DL4" s="51">
        <f t="shared" ref="DL4:DL38" si="56">IF(DK4="",DJ4,0)</f>
        <v>0</v>
      </c>
      <c r="DM4" s="51" t="str">
        <f t="shared" ref="DM4:DM38" si="57">IF(DL4&gt;0,"Debe","")</f>
        <v/>
      </c>
      <c r="DN4" s="51">
        <v>21.269742857142859</v>
      </c>
      <c r="DO4" s="51" t="s">
        <v>277</v>
      </c>
      <c r="DP4" s="51">
        <f t="shared" ref="DP4:DP38" si="58">IF(DO4="",DN4,0)</f>
        <v>0</v>
      </c>
      <c r="DQ4" s="51" t="str">
        <f t="shared" ref="DQ4:DQ38" si="59">IF(DP4&gt;0,"Debe","")</f>
        <v/>
      </c>
      <c r="DR4" s="51">
        <v>21.269742857142859</v>
      </c>
      <c r="DS4" s="51" t="s">
        <v>277</v>
      </c>
      <c r="DT4" s="51">
        <f t="shared" ref="DT4:DT38" si="60">IF(DS4="",DR4,0)</f>
        <v>0</v>
      </c>
      <c r="DU4" s="51" t="str">
        <f t="shared" ref="DU4:DU38" si="61">IF(DT4&gt;0,"Debe","")</f>
        <v/>
      </c>
      <c r="DV4" s="51">
        <v>20.721742857142857</v>
      </c>
      <c r="DW4" s="230" t="s">
        <v>277</v>
      </c>
      <c r="DX4" s="51">
        <f t="shared" ref="DX4:DX38" si="62">IF(DW4="",DV4,0)</f>
        <v>0</v>
      </c>
      <c r="DY4" s="51" t="str">
        <f t="shared" ref="DY4:DY38" si="63">IF(DX4&gt;0,"Debe","")</f>
        <v/>
      </c>
      <c r="DZ4" s="51">
        <v>21.023142857142858</v>
      </c>
      <c r="EA4" s="51" t="s">
        <v>277</v>
      </c>
      <c r="EB4" s="51">
        <f t="shared" ref="EB4:EB38" si="64">IF(EA4="",DZ4,0)</f>
        <v>0</v>
      </c>
      <c r="EC4" s="51" t="str">
        <f t="shared" ref="EC4:EC38" si="65">IF(EB4&gt;0,"Debe","")</f>
        <v/>
      </c>
      <c r="ED4" s="51">
        <v>25.95514285714286</v>
      </c>
      <c r="EE4" s="51" t="s">
        <v>277</v>
      </c>
      <c r="EF4" s="51">
        <f t="shared" ref="EF4:EF38" si="66">IF(EE4="",ED4,0)</f>
        <v>0</v>
      </c>
      <c r="EG4" s="51" t="str">
        <f t="shared" ref="EG4:EG38" si="67">IF(EF4&gt;0,"Debe","")</f>
        <v/>
      </c>
      <c r="EH4" s="51">
        <v>19.790142857142857</v>
      </c>
      <c r="EI4" s="230" t="s">
        <v>277</v>
      </c>
      <c r="EJ4" s="230">
        <f t="shared" ref="EJ4:EJ38" si="68">IF(EI4="",EH4,0)</f>
        <v>0</v>
      </c>
      <c r="EK4" s="51" t="str">
        <f t="shared" ref="EK4:EK38" si="69">IF(EJ4&gt;0,"Debe","")</f>
        <v/>
      </c>
      <c r="EL4" s="51">
        <v>25.407142857142858</v>
      </c>
      <c r="EM4" s="250" t="s">
        <v>277</v>
      </c>
      <c r="EN4" s="230">
        <f t="shared" ref="EN4:EN38" si="70">IF(EM4="",EL4,0)</f>
        <v>0</v>
      </c>
      <c r="EO4" s="51" t="str">
        <f t="shared" ref="EO4:EO38" si="71">IF(EN4&gt;0,"Debe","")</f>
        <v/>
      </c>
      <c r="EP4" s="51">
        <v>23.684714285714286</v>
      </c>
      <c r="EQ4" s="230" t="s">
        <v>277</v>
      </c>
      <c r="ER4" s="51">
        <f t="shared" ref="ER4:ER38" si="72">IF(EQ4="",EP4,0)</f>
        <v>0</v>
      </c>
      <c r="ES4" s="51" t="str">
        <f t="shared" ref="ES4:ES38" si="73">IF(ER4&gt;0,"Debe","")</f>
        <v/>
      </c>
      <c r="ET4" s="51">
        <v>25.054714285714287</v>
      </c>
      <c r="EU4" s="230" t="s">
        <v>277</v>
      </c>
      <c r="EV4" s="51">
        <f t="shared" ref="EV4" si="74">IF(EU4="",ET4,0)</f>
        <v>0</v>
      </c>
      <c r="EW4" s="51" t="str">
        <f t="shared" ref="EW4:EW38" si="75">IF(EV4&gt;0,"Debe","")</f>
        <v/>
      </c>
      <c r="EX4" s="51">
        <v>24.917714285714286</v>
      </c>
      <c r="EY4" s="51" t="s">
        <v>277</v>
      </c>
      <c r="EZ4" s="51">
        <f t="shared" ref="EZ4:EZ38" si="76">IF(EY4="",EX4,0)</f>
        <v>0</v>
      </c>
      <c r="FA4" s="51" t="str">
        <f t="shared" ref="FA4:FA38" si="77">IF(EZ4&gt;0,"Debe","")</f>
        <v/>
      </c>
      <c r="FB4" s="51">
        <v>23.821714285714286</v>
      </c>
      <c r="FC4" s="51" t="s">
        <v>277</v>
      </c>
      <c r="FD4" s="51">
        <f t="shared" ref="FD4:FD38" si="78">IF(FC4="",FB4,0)</f>
        <v>0</v>
      </c>
      <c r="FE4" s="51" t="str">
        <f t="shared" ref="FE4:FE38" si="79">IF(FD4&gt;0,"Debe","")</f>
        <v/>
      </c>
      <c r="FF4" s="51">
        <v>29.794914285714292</v>
      </c>
      <c r="FG4" s="51" t="s">
        <v>277</v>
      </c>
      <c r="FH4" s="51">
        <f t="shared" ref="FH4:FH15" si="80">IF(FG4="",FF4,0)</f>
        <v>0</v>
      </c>
      <c r="FI4" s="51" t="str">
        <f t="shared" ref="FI4:FI15" si="81">IF(FH4&gt;0,"Debe","")</f>
        <v/>
      </c>
      <c r="FJ4" s="51">
        <v>26.287714285714291</v>
      </c>
      <c r="FK4" s="230" t="s">
        <v>277</v>
      </c>
      <c r="FL4" s="51">
        <f t="shared" ref="FL4:FL38" si="82">IF(FK4="",FJ4,0)</f>
        <v>0</v>
      </c>
      <c r="FM4" s="51" t="str">
        <f t="shared" ref="FM4:FM38" si="83">IF(FL4&gt;0,"Debe","")</f>
        <v/>
      </c>
      <c r="FN4" s="51">
        <v>23.326528571428568</v>
      </c>
      <c r="FO4" s="51"/>
      <c r="FP4" s="51"/>
      <c r="FQ4" s="51"/>
      <c r="FR4" s="51">
        <f>SUM(AR4+AV4+AZ4,BD4+BH4+BL4+BP4+BT4,BX4+CB4+CF4+CJ4+CN4+CR4+CV4,CZ4,DD4,DH4,DL4,DP4,DT4,DX4,EB4,EF4,EJ4,EN4,ER4,EV4,EZ4,FD4,FH4,FL4)</f>
        <v>0</v>
      </c>
      <c r="FS4" s="14">
        <f>IF(FR4&lt;&gt;"",FR4*$FS$2)</f>
        <v>0</v>
      </c>
      <c r="FT4">
        <f>COUNTIF(B4:FM4,"Debe")</f>
        <v>0</v>
      </c>
      <c r="FV4" s="215">
        <f t="shared" ref="FV4:FV38" si="84">(D4)*$FS$1</f>
        <v>0</v>
      </c>
      <c r="FW4" s="215">
        <f t="shared" ref="FW4:FW38" si="85">(D4+H4)*$FS$1</f>
        <v>0</v>
      </c>
      <c r="FX4" s="215">
        <f t="shared" ref="FX4:FX38" si="86">(D4+H4+L4)*$FS$1</f>
        <v>0</v>
      </c>
      <c r="FY4" s="215">
        <f t="shared" ref="FY4:FY38" si="87">(D4+H4+L4+P4)*$FS$1</f>
        <v>0</v>
      </c>
      <c r="FZ4" s="215">
        <f t="shared" ref="FZ4:FZ38" si="88">(D4+H4+L4+P4+T4)*$FS$1</f>
        <v>0</v>
      </c>
      <c r="GA4" s="215">
        <f t="shared" ref="GA4:GA38" si="89">(D4+H4+L4+P4+T4+X4)*$FS$1</f>
        <v>0</v>
      </c>
      <c r="GB4" s="215">
        <f t="shared" ref="GB4:GB38" si="90">(D4+H4+L4+P4+T4+X4+AB4)*$FS$1</f>
        <v>0</v>
      </c>
      <c r="GC4" s="215">
        <f t="shared" ref="GC4:GC38" si="91">(D4+H4+L4+P4+T4+X4+AB4+AF4)*$FS$1</f>
        <v>0</v>
      </c>
      <c r="GD4" s="215">
        <f t="shared" ref="GD4:GD38" si="92">(D4+H4+L4+P4+T4+X4+AB4+AF4+AJ4)*$FS$1</f>
        <v>0</v>
      </c>
      <c r="GE4" s="215">
        <f t="shared" ref="GE4:GE38" si="93">(D4+H4+L4+P4+T4+X4+AB4+AF4+AJ4+AN4)*$FS$1</f>
        <v>0</v>
      </c>
      <c r="GF4" s="215">
        <f t="shared" ref="GF4:GF29" si="94">(D4+H4+L4+P4+T4+X4+AB4+AF4+AJ4+AN4+AR4)*$FS$1</f>
        <v>0</v>
      </c>
      <c r="GG4" s="215">
        <f t="shared" ref="GG4:GG38" si="95">(D4+H4+L4+P4+T4+X4+AB4+AF4+AJ4+AN4+AR4+AV4)*$FS$1</f>
        <v>0</v>
      </c>
      <c r="GH4" s="215">
        <f t="shared" ref="GH4:GH38" si="96">(D4+H4+L4+P4+T4+X4+AB4+AF4+AJ4+AN4+AR4+AV4+AZ4)*$FS$1</f>
        <v>0</v>
      </c>
      <c r="GI4" s="215">
        <f t="shared" ref="GI4:GI38" si="97">(D4+H4+L4+P4+T4+X4+AB4+AF4+AJ4+AN4+AR4+AV4+AZ4+BD4)*$FS$1</f>
        <v>0</v>
      </c>
      <c r="GJ4" s="215">
        <f t="shared" ref="GJ4:GJ38" si="98">(D4+H4+L4+P4+T4+X4+AB4+AF4+AJ4+AN4+AR4+AV4+AZ4+BD4+BH4)*$FS$1</f>
        <v>0</v>
      </c>
      <c r="GK4" s="215">
        <f t="shared" ref="GK4:GK38" si="99">(D4+H4+L4+P4+T4+X4+AB4+AF4+AJ4+AN4+AR4+AV4+AZ4+BD4+BH4+BL4)*$FS$1</f>
        <v>0</v>
      </c>
      <c r="GL4" s="215">
        <f t="shared" ref="GL4:GL38" si="100">(D4+H4+L4+P4+T4+X4+AB4+AF4+AJ4+AN4+AR4+AV4+AZ4+BD4+BH4+BL4+BP4)*$FS$1</f>
        <v>0</v>
      </c>
      <c r="GM4" s="215">
        <f t="shared" ref="GM4:GM38" si="101">(D4+H4+L4+P4+T4+X4+AB4+AF4+AJ4+AN4+AR4+AV4+AZ4+BD4+BH4+BL4+BP4+BT4)*$FS$1</f>
        <v>0</v>
      </c>
      <c r="GN4" s="215">
        <f t="shared" ref="GN4:GN38" si="102">(D4+H4+L4+P4+T4+X4+AB4+AF4+AJ4+AN4+AR4+AV4+AZ4+BD4+BH4+BL4+BP4+BT4+BX4)*$FS$1</f>
        <v>0</v>
      </c>
      <c r="GO4" s="215">
        <f t="shared" ref="GO4:GO38" si="103">(D4+H4+L4+P4+T4+X4+AB4+AF4+AJ4+AN4+AR4+AV4+AZ4+BD4+BH4+BL4+BP4+BT4+BX4+CB4)*$FS$1</f>
        <v>0</v>
      </c>
      <c r="GP4" s="215">
        <f t="shared" ref="GP4:GP38" si="104">(D4+H4+L4+P4+T4+X4+AB4+AF4+AJ4+AN4+AR4+AV4+AZ4+BD4+BH4+BL4+BP4+BT4+BX4+CB4+CF4)*$FS$1</f>
        <v>0</v>
      </c>
      <c r="GQ4" s="215">
        <f t="shared" ref="GQ4:GQ38" si="105">(D4+H4+L4+P4+T4+X4+AB4+AF4+AJ4+AN4+AR4+AV4+AZ4+BD4+BH4+BL4+BP4+BT4+BX4+CB4+CF4+CJ4)*$FS$1</f>
        <v>0</v>
      </c>
      <c r="GR4" s="215">
        <f t="shared" ref="GR4:GR38" si="106">(D4+H4+L4+P4+T4+X4+AB4+AF4+AJ4+AN4+AR4+AV4+AZ4+BD4+BH4+BL4+BP4+BT4+BX4+CB4+CF4+CJ4+CN4)*$FS$1</f>
        <v>0</v>
      </c>
      <c r="GS4" s="215">
        <f>(D4+H4+L4+P4+T4+X4+AB4+AF4+AJ4+AN4+AR4+AV4+AZ4+BD4+BH4+BL4+BP4+BT4+BX4+CB4+CF4+CJ4+CN4+CR4)*$FS$1</f>
        <v>0</v>
      </c>
      <c r="GT4" s="215">
        <f>(D4+H4+L4+P4+T4+X4+AB4+AF4+AJ4+AN4+AR4+AV4+AZ4+BD4+BH4+BL4+BP4+BT4+BX4+CB4+CF4+CJ4+CN4+CR4+CV4)*$FS$1</f>
        <v>0</v>
      </c>
      <c r="GU4" s="215">
        <f>(D4+H4+L4+P4+T4+X4+AB4+AF4+AJ4+AN4+AR4+AV4+AZ4+BD4+BH4+BL4+BP4+BT4+BX4+CB4+CF4+CJ4+CN4+CR4+CV4+CZ4)*$FS$1</f>
        <v>0</v>
      </c>
      <c r="GV4" s="215">
        <f>(D4+H4+L4+P4+T4+X4+AB4+AF4+AJ4+AN4+AR4+AV4+AZ4+BD4+BH4+BL4+BP4+BT4+BX4+CB4+CF4+CJ4+CN4+CR4+CV4+CZ4+DD4)*$FS$1</f>
        <v>0</v>
      </c>
      <c r="GW4" s="215">
        <f>(AR4+AV4+AZ4+BD4+BH4+BL4+BP4+BT4+BX4+CB4+CF4+CJ4+CN4+CR4+CV4+CZ4+DD4+DH4)*$FS$1</f>
        <v>0</v>
      </c>
      <c r="GX4" s="215">
        <f>(AR4+AV4+AZ4+BD4+BH4+BL4+BP4+BT4+BX4+CB4+CF4+CJ4+CN4+CR4+CV4+CZ4+DD4+DH4+DL4)*$FS$1</f>
        <v>0</v>
      </c>
      <c r="GY4" s="215">
        <f>(AR4+AV4+AZ4+BD4+BH4+BL4+BP4+BT4+BX4+CB4+CF4+CJ4+CN4+CR4+CV4+CZ4+DD4+DH4+DL4+DP4+DT4)*$FS$1</f>
        <v>0</v>
      </c>
      <c r="GZ4" s="215">
        <f>(AR4+AV4+AZ4+BD4+BH4+BL4+BP4+BT4+BX4+CB4+CF4+CJ4+CN4+CR4+CV4+CZ4+DD4+DH4+DL4+DP4+DT4)*$FS$1</f>
        <v>0</v>
      </c>
      <c r="HA4" s="215">
        <f>(AR4+AV4+AZ4+BD4+BH4+BL4+BP4+BT4+BX4+CB4+CF4+CJ4+CN4+CR4+CV4+CZ4+DD4+DH4+DL4+DP4+DT4+DX4)*$FS$1</f>
        <v>0</v>
      </c>
      <c r="HB4" s="215">
        <f>(AR4+AV4+AZ4+BD4+BH4+BL4+BP4+BT4+BX4+CB4+CF4+CJ4+CN4+CR4+CV4+CZ4+DD4+DH4+DL4+DP4+DT4+DX4+EB4)*$FS$1</f>
        <v>0</v>
      </c>
      <c r="HC4" s="215">
        <f>(AR4+AV4+AZ4+BD4+BH4+BL4+BP4+BT4+BX4+CB4+CF4+CJ4+CN4+CR4+CV4+CZ4+DD4+DH4+DL4+DP4+DT4+DX4+EB4+EF4)*$FS$1</f>
        <v>0</v>
      </c>
      <c r="HD4" s="215">
        <f>(AR4+AV4+AZ4+BD4+BH4+BL4+BP4+BT4+BX4+CB4+CF4+CJ4+CN4+CR4+CV4+CZ4+DD4+DH4+DL4+DP4+DT4+DX4+EB4+EF4+EJ4)*$FS$1</f>
        <v>0</v>
      </c>
      <c r="HE4" s="215">
        <f>(AR4+AV4+AZ4+BD4+BH4+BL4+BP4+BT4+BX4+CB4+CF4+CJ4+CN4+CR4+CV4+CZ4+DD4+DH4+DL4+DP4+DT4+DX4+EB4+EF4+EJ4+EN4)*$FS$1</f>
        <v>0</v>
      </c>
      <c r="HF4" s="215">
        <f>(AR4+AV4+AZ4+BD4+BH4+BL4+BP4+BT4+BX4+CB4+CF4+CJ4+CN4+CR4+CV4+CZ4+DD4+DH4+DL4+DP4+DT4+DX4+EB4+EF4+EJ4+EN4+ER4)*$FS$1</f>
        <v>0</v>
      </c>
      <c r="HG4" s="215">
        <f>(AR4+AV4+AZ4+BD4+BH4+BL4+BP4+BT4+BX4+CB4+CF4+CJ4+CN4+CR4+CV4+CZ4+DD4+DH4+DL4+DP4+DT4+DX4+EB4+EF4+EJ4+EN4+ER4+EV4)*$FS$1</f>
        <v>0</v>
      </c>
      <c r="HH4" s="215">
        <f>(AR4+AV4+AZ4+BD4+BH4+BL4+BP4+BT4+BX4+CB4+CF4+CJ4+CN4+CR4+CV4+CZ4+DD4+DH4+DL4+DP4+DT4+DX4+EB4+EF4+EJ4+EN4+ER4+EV4+EZ4)*$FS$1</f>
        <v>0</v>
      </c>
      <c r="HI4" s="215">
        <f>(AR4+AV4+AZ4+BD4+BH4+BL4+BP4+BT4+BX4+CB4+CF4+CJ4+CN4+CR4+CV4+CZ4+DD4+DH4+DL4+DP4+DT4+DX4+EB4+EF4+EJ4+EN4+ER4+EV4+EZ4+FD4)*$FS$1</f>
        <v>0</v>
      </c>
      <c r="HJ4" s="215">
        <f>(AR4+AV4+AZ4+BD4+BH4+BL4+BP4+BT4+BX4+CB4+CF4+CJ4+CN4+CR4+CV4+CZ4+DD4+DH4+DL4+DP4+DT4+DX4+EB4+EF4+EJ4+EN4+ER4+EV4+EZ4+FD4+FH4)*$FS$1</f>
        <v>0</v>
      </c>
      <c r="HK4" s="215">
        <f>(AR4+AV4+AZ4+BD4+BH4+BL4+BP4+BT4+BX4+CB4+CF4+CJ4+CN4+CR4+CV4+CZ4+DD4+DH4+DL4+DP4+DT4+DX4+EB4+EF4+EJ4+EN4+ER4+EV4+EZ4+FD4+FH4+FL4)*$FS$1</f>
        <v>0</v>
      </c>
      <c r="HL4" s="211">
        <f>SUM(FV4:HK4)</f>
        <v>0</v>
      </c>
      <c r="HM4" s="51">
        <f>(HL4+FR4)</f>
        <v>0</v>
      </c>
    </row>
    <row r="5" spans="1:221">
      <c r="A5" s="49" t="s">
        <v>17</v>
      </c>
      <c r="B5" s="51">
        <v>12.59094285714286</v>
      </c>
      <c r="C5" s="51" t="s">
        <v>277</v>
      </c>
      <c r="D5" s="51">
        <f t="shared" si="0"/>
        <v>0</v>
      </c>
      <c r="E5" s="51" t="str">
        <f t="shared" si="1"/>
        <v/>
      </c>
      <c r="F5" s="51">
        <v>13.768942857142859</v>
      </c>
      <c r="G5" s="51" t="s">
        <v>277</v>
      </c>
      <c r="H5" s="51">
        <f t="shared" si="2"/>
        <v>0</v>
      </c>
      <c r="I5" s="51" t="str">
        <f t="shared" si="3"/>
        <v/>
      </c>
      <c r="J5" s="51">
        <v>14.371742857142859</v>
      </c>
      <c r="K5" s="51" t="s">
        <v>277</v>
      </c>
      <c r="L5" s="51">
        <f t="shared" si="4"/>
        <v>0</v>
      </c>
      <c r="M5" s="51" t="str">
        <f t="shared" si="5"/>
        <v/>
      </c>
      <c r="N5" s="51">
        <v>13.823742857142859</v>
      </c>
      <c r="O5" s="51" t="s">
        <v>277</v>
      </c>
      <c r="P5" s="51">
        <f t="shared" si="6"/>
        <v>0</v>
      </c>
      <c r="Q5" s="51" t="str">
        <f t="shared" si="7"/>
        <v/>
      </c>
      <c r="R5" s="51">
        <v>13.960742857142858</v>
      </c>
      <c r="S5" s="51" t="s">
        <v>277</v>
      </c>
      <c r="T5" s="51">
        <f t="shared" si="8"/>
        <v>0</v>
      </c>
      <c r="U5" s="51" t="str">
        <f t="shared" si="9"/>
        <v/>
      </c>
      <c r="V5" s="51">
        <v>14.837542857142859</v>
      </c>
      <c r="W5" s="51" t="s">
        <v>277</v>
      </c>
      <c r="X5" s="51">
        <f t="shared" si="10"/>
        <v>0</v>
      </c>
      <c r="Y5" s="51" t="str">
        <f t="shared" si="11"/>
        <v/>
      </c>
      <c r="Z5" s="51">
        <v>14.782742857142859</v>
      </c>
      <c r="AA5" s="51" t="s">
        <v>277</v>
      </c>
      <c r="AB5" s="51">
        <f t="shared" si="12"/>
        <v>0</v>
      </c>
      <c r="AC5" s="51" t="str">
        <f t="shared" si="13"/>
        <v/>
      </c>
      <c r="AD5" s="51">
        <v>15.385542857142859</v>
      </c>
      <c r="AE5" s="51" t="s">
        <v>277</v>
      </c>
      <c r="AF5" s="51">
        <f t="shared" si="14"/>
        <v>0</v>
      </c>
      <c r="AG5" s="51" t="str">
        <f t="shared" si="15"/>
        <v/>
      </c>
      <c r="AH5" s="51">
        <v>15.11154285714286</v>
      </c>
      <c r="AI5" s="51" t="s">
        <v>277</v>
      </c>
      <c r="AJ5" s="51">
        <f t="shared" si="16"/>
        <v>0</v>
      </c>
      <c r="AK5" s="51" t="str">
        <f t="shared" si="17"/>
        <v/>
      </c>
      <c r="AL5" s="51">
        <v>17.85154285714286</v>
      </c>
      <c r="AM5" s="51" t="s">
        <v>277</v>
      </c>
      <c r="AN5" s="51">
        <f t="shared" si="18"/>
        <v>0</v>
      </c>
      <c r="AO5" s="51" t="str">
        <f t="shared" si="19"/>
        <v/>
      </c>
      <c r="AP5" s="51">
        <v>15.65954285714286</v>
      </c>
      <c r="AQ5" s="51" t="s">
        <v>277</v>
      </c>
      <c r="AR5" s="51">
        <f t="shared" si="20"/>
        <v>0</v>
      </c>
      <c r="AS5" s="51" t="str">
        <f t="shared" si="21"/>
        <v/>
      </c>
      <c r="AT5" s="51">
        <v>26.932657142857142</v>
      </c>
      <c r="AU5" s="51" t="s">
        <v>277</v>
      </c>
      <c r="AV5" s="51">
        <f t="shared" si="22"/>
        <v>0</v>
      </c>
      <c r="AW5" s="51" t="str">
        <f t="shared" si="23"/>
        <v/>
      </c>
      <c r="AX5" s="51">
        <v>25.41394285714286</v>
      </c>
      <c r="AY5" s="51" t="s">
        <v>277</v>
      </c>
      <c r="AZ5" s="51">
        <f t="shared" si="24"/>
        <v>0</v>
      </c>
      <c r="BA5" s="51" t="str">
        <f t="shared" si="25"/>
        <v/>
      </c>
      <c r="BB5" s="51">
        <v>19.522942857142858</v>
      </c>
      <c r="BC5" s="51" t="s">
        <v>277</v>
      </c>
      <c r="BD5" s="51">
        <f t="shared" ref="BD5:BD38" si="107">IF(BC5="",BB5,0)</f>
        <v>0</v>
      </c>
      <c r="BE5" s="51" t="str">
        <f t="shared" ref="BE5:BE38" si="108">IF(BD5&gt;0,"Debe","")</f>
        <v/>
      </c>
      <c r="BF5" s="51">
        <v>18.043342857142861</v>
      </c>
      <c r="BG5" s="51" t="s">
        <v>277</v>
      </c>
      <c r="BH5" s="51">
        <f t="shared" si="28"/>
        <v>0</v>
      </c>
      <c r="BI5" s="51" t="str">
        <f t="shared" si="29"/>
        <v/>
      </c>
      <c r="BJ5" s="51">
        <v>18.399542857142858</v>
      </c>
      <c r="BK5" s="51" t="s">
        <v>277</v>
      </c>
      <c r="BL5" s="51">
        <f t="shared" si="30"/>
        <v>0</v>
      </c>
      <c r="BM5" s="51" t="str">
        <f t="shared" si="31"/>
        <v/>
      </c>
      <c r="BN5" s="51">
        <v>18.536542857142859</v>
      </c>
      <c r="BO5" s="51" t="s">
        <v>277</v>
      </c>
      <c r="BP5" s="51">
        <f t="shared" si="32"/>
        <v>0</v>
      </c>
      <c r="BQ5" s="51" t="str">
        <f t="shared" si="33"/>
        <v/>
      </c>
      <c r="BR5" s="51">
        <v>22.920542857142859</v>
      </c>
      <c r="BS5" s="51" t="s">
        <v>277</v>
      </c>
      <c r="BT5" s="51">
        <f t="shared" si="34"/>
        <v>0</v>
      </c>
      <c r="BU5" s="51" t="str">
        <f t="shared" si="35"/>
        <v/>
      </c>
      <c r="BV5" s="51">
        <v>19.769542857142856</v>
      </c>
      <c r="BW5" s="51" t="s">
        <v>277</v>
      </c>
      <c r="BX5" s="51">
        <f t="shared" ref="BX5:BX38" si="109">IF(BW5="",BV5,0)</f>
        <v>0</v>
      </c>
      <c r="BY5" s="51" t="str">
        <f t="shared" ref="BY5:BY38" si="110">IF(BX5&gt;0,"Debe","")</f>
        <v/>
      </c>
      <c r="BZ5" s="51">
        <v>19.358542857142858</v>
      </c>
      <c r="CA5" s="51" t="s">
        <v>277</v>
      </c>
      <c r="CB5" s="51">
        <f t="shared" ref="CB5:CB38" si="111">IF(CA5="",BZ5,0)</f>
        <v>0</v>
      </c>
      <c r="CC5" s="51" t="str">
        <f t="shared" ref="CC5:CC38" si="112">IF(CB5&gt;0,"Debe","")</f>
        <v/>
      </c>
      <c r="CD5" s="51">
        <v>17.98854285714286</v>
      </c>
      <c r="CE5" s="51" t="s">
        <v>277</v>
      </c>
      <c r="CF5" s="51">
        <f t="shared" si="40"/>
        <v>0</v>
      </c>
      <c r="CG5" s="51" t="str">
        <f t="shared" si="41"/>
        <v/>
      </c>
      <c r="CH5" s="51">
        <v>21.660142857142855</v>
      </c>
      <c r="CI5" s="51" t="s">
        <v>277</v>
      </c>
      <c r="CJ5" s="51">
        <f t="shared" si="42"/>
        <v>0</v>
      </c>
      <c r="CK5" s="51" t="str">
        <f t="shared" si="43"/>
        <v/>
      </c>
      <c r="CL5" s="51">
        <v>23.495942857142857</v>
      </c>
      <c r="CM5" s="51" t="s">
        <v>277</v>
      </c>
      <c r="CN5" s="51">
        <f t="shared" ref="CN5:CN38" si="113">IF(CM5="",CL5,0)</f>
        <v>0</v>
      </c>
      <c r="CO5" s="51" t="str">
        <f t="shared" ref="CO5:CO38" si="114">IF(CN5&gt;0,"Debe","")</f>
        <v/>
      </c>
      <c r="CP5" s="51">
        <v>24.482342857142857</v>
      </c>
      <c r="CQ5" s="51" t="s">
        <v>277</v>
      </c>
      <c r="CR5" s="51">
        <f t="shared" si="46"/>
        <v>0</v>
      </c>
      <c r="CS5" s="51" t="str">
        <f t="shared" si="47"/>
        <v/>
      </c>
      <c r="CT5" s="51">
        <v>21.002742857142859</v>
      </c>
      <c r="CU5" s="230" t="s">
        <v>277</v>
      </c>
      <c r="CV5" s="51">
        <f t="shared" si="48"/>
        <v>0</v>
      </c>
      <c r="CW5" s="51" t="str">
        <f t="shared" si="49"/>
        <v/>
      </c>
      <c r="CX5" s="51">
        <v>21.221742857142861</v>
      </c>
      <c r="CY5" s="230" t="s">
        <v>277</v>
      </c>
      <c r="CZ5" s="51">
        <f t="shared" ref="CZ5:CZ38" si="115">IF(CY5="",CX5,0)</f>
        <v>0</v>
      </c>
      <c r="DA5" s="51" t="str">
        <f t="shared" ref="DA5:DA38" si="116">IF(CZ5&gt;0,"Debe","")</f>
        <v/>
      </c>
      <c r="DB5" s="51">
        <v>19.577742857142859</v>
      </c>
      <c r="DC5" s="230" t="s">
        <v>277</v>
      </c>
      <c r="DD5" s="51">
        <f t="shared" si="52"/>
        <v>0</v>
      </c>
      <c r="DE5" s="51" t="str">
        <f t="shared" si="53"/>
        <v/>
      </c>
      <c r="DF5" s="51">
        <v>22.18074285714286</v>
      </c>
      <c r="DG5" s="230" t="s">
        <v>277</v>
      </c>
      <c r="DH5" s="51">
        <f t="shared" si="54"/>
        <v>0</v>
      </c>
      <c r="DI5" s="51" t="str">
        <f t="shared" si="55"/>
        <v/>
      </c>
      <c r="DJ5" s="51">
        <v>27.249742857142863</v>
      </c>
      <c r="DK5" s="51" t="s">
        <v>277</v>
      </c>
      <c r="DL5" s="51">
        <f t="shared" si="56"/>
        <v>0</v>
      </c>
      <c r="DM5" s="51" t="str">
        <f t="shared" si="57"/>
        <v/>
      </c>
      <c r="DN5" s="51">
        <v>21.769742857142859</v>
      </c>
      <c r="DO5" s="51" t="s">
        <v>277</v>
      </c>
      <c r="DP5" s="51">
        <f t="shared" si="58"/>
        <v>0</v>
      </c>
      <c r="DQ5" s="51" t="str">
        <f t="shared" si="59"/>
        <v/>
      </c>
      <c r="DR5" s="51">
        <v>21.769742857142859</v>
      </c>
      <c r="DS5" s="51" t="s">
        <v>277</v>
      </c>
      <c r="DT5" s="51">
        <f t="shared" si="60"/>
        <v>0</v>
      </c>
      <c r="DU5" s="51" t="str">
        <f t="shared" si="61"/>
        <v/>
      </c>
      <c r="DV5" s="51">
        <v>21.221742857142857</v>
      </c>
      <c r="DW5" s="230" t="s">
        <v>277</v>
      </c>
      <c r="DX5" s="51">
        <f t="shared" si="62"/>
        <v>0</v>
      </c>
      <c r="DY5" s="51" t="str">
        <f t="shared" si="63"/>
        <v/>
      </c>
      <c r="DZ5" s="51">
        <v>21.523142857142858</v>
      </c>
      <c r="EA5" s="51" t="s">
        <v>277</v>
      </c>
      <c r="EB5" s="51">
        <f t="shared" si="64"/>
        <v>0</v>
      </c>
      <c r="EC5" s="51" t="str">
        <f t="shared" si="65"/>
        <v/>
      </c>
      <c r="ED5" s="51">
        <v>26.45514285714286</v>
      </c>
      <c r="EE5" s="51" t="s">
        <v>277</v>
      </c>
      <c r="EF5" s="51">
        <f t="shared" si="66"/>
        <v>0</v>
      </c>
      <c r="EG5" s="51" t="str">
        <f t="shared" si="67"/>
        <v/>
      </c>
      <c r="EH5" s="51">
        <v>20.290142857142857</v>
      </c>
      <c r="EI5" s="230" t="s">
        <v>277</v>
      </c>
      <c r="EJ5" s="250">
        <f t="shared" si="68"/>
        <v>0</v>
      </c>
      <c r="EK5" s="51" t="str">
        <f t="shared" si="69"/>
        <v/>
      </c>
      <c r="EL5" s="51">
        <v>25.907142857142858</v>
      </c>
      <c r="EM5" s="250" t="s">
        <v>277</v>
      </c>
      <c r="EN5" s="230">
        <f t="shared" si="70"/>
        <v>0</v>
      </c>
      <c r="EO5" s="51" t="str">
        <f t="shared" si="71"/>
        <v/>
      </c>
      <c r="EP5" s="51">
        <v>24.184714285714286</v>
      </c>
      <c r="EQ5" s="230" t="s">
        <v>277</v>
      </c>
      <c r="ER5" s="51">
        <f t="shared" si="72"/>
        <v>0</v>
      </c>
      <c r="ES5" s="51" t="str">
        <f t="shared" si="73"/>
        <v/>
      </c>
      <c r="ET5" s="51">
        <v>25.554714285714287</v>
      </c>
      <c r="EU5" s="230" t="s">
        <v>277</v>
      </c>
      <c r="EV5" s="51">
        <f t="shared" ref="EV5:EV38" si="117">IF(EU5="",ET5,0)</f>
        <v>0</v>
      </c>
      <c r="EW5" s="51" t="str">
        <f t="shared" si="75"/>
        <v/>
      </c>
      <c r="EX5" s="51">
        <v>25.417714285714286</v>
      </c>
      <c r="EY5" s="51" t="s">
        <v>277</v>
      </c>
      <c r="EZ5" s="51">
        <f t="shared" si="76"/>
        <v>0</v>
      </c>
      <c r="FA5" s="51" t="str">
        <f t="shared" si="77"/>
        <v/>
      </c>
      <c r="FB5" s="51">
        <v>24.321714285714286</v>
      </c>
      <c r="FC5" s="51" t="s">
        <v>277</v>
      </c>
      <c r="FD5" s="51">
        <f t="shared" si="78"/>
        <v>0</v>
      </c>
      <c r="FE5" s="51" t="str">
        <f t="shared" si="79"/>
        <v/>
      </c>
      <c r="FF5" s="51">
        <v>30.294914285714292</v>
      </c>
      <c r="FG5" s="51" t="s">
        <v>277</v>
      </c>
      <c r="FH5" s="51">
        <f t="shared" si="80"/>
        <v>0</v>
      </c>
      <c r="FI5" s="51" t="str">
        <f t="shared" si="81"/>
        <v/>
      </c>
      <c r="FJ5" s="51">
        <v>26.787714285714291</v>
      </c>
      <c r="FK5" s="230" t="s">
        <v>277</v>
      </c>
      <c r="FL5" s="51">
        <f t="shared" si="82"/>
        <v>0</v>
      </c>
      <c r="FM5" s="51" t="str">
        <f t="shared" si="83"/>
        <v/>
      </c>
      <c r="FN5" s="51">
        <v>23.826528571428568</v>
      </c>
      <c r="FO5" s="51"/>
      <c r="FP5" s="51"/>
      <c r="FQ5" s="51"/>
      <c r="FR5" s="51">
        <f t="shared" ref="FR5:FR38" si="118">SUM(AR5+AV5+AZ5,BD5+BH5+BL5+BP5+BT5,BX5+CB5+CF5+CJ5+CN5+CR5+CV5,CZ5,DD5,DH5,DL5,DP5,DT5,DX5,EB5,EF5,EJ5,EN5,ER5,EV5,EZ5,FD5,FH5,FL5)</f>
        <v>0</v>
      </c>
      <c r="FS5" s="14">
        <f t="shared" ref="FS5:FS39" si="119">IF(FR5&lt;&gt;"",FR5*$FS$2)</f>
        <v>0</v>
      </c>
      <c r="FT5">
        <f t="shared" ref="FT5:FT39" si="120">COUNTIF(B5:FM5,"Debe")</f>
        <v>0</v>
      </c>
      <c r="FV5" s="215">
        <f t="shared" si="84"/>
        <v>0</v>
      </c>
      <c r="FW5" s="215">
        <f t="shared" si="85"/>
        <v>0</v>
      </c>
      <c r="FX5" s="215">
        <f t="shared" si="86"/>
        <v>0</v>
      </c>
      <c r="FY5" s="215">
        <f t="shared" si="87"/>
        <v>0</v>
      </c>
      <c r="FZ5" s="215">
        <f t="shared" si="88"/>
        <v>0</v>
      </c>
      <c r="GA5" s="215">
        <f t="shared" si="89"/>
        <v>0</v>
      </c>
      <c r="GB5" s="215">
        <f t="shared" si="90"/>
        <v>0</v>
      </c>
      <c r="GC5" s="215">
        <f t="shared" si="91"/>
        <v>0</v>
      </c>
      <c r="GD5" s="215">
        <f t="shared" si="92"/>
        <v>0</v>
      </c>
      <c r="GE5" s="215">
        <f t="shared" si="93"/>
        <v>0</v>
      </c>
      <c r="GF5" s="215">
        <f t="shared" si="94"/>
        <v>0</v>
      </c>
      <c r="GG5" s="215">
        <f t="shared" si="95"/>
        <v>0</v>
      </c>
      <c r="GH5" s="215">
        <f t="shared" si="96"/>
        <v>0</v>
      </c>
      <c r="GI5" s="215">
        <f t="shared" si="97"/>
        <v>0</v>
      </c>
      <c r="GJ5" s="215">
        <f t="shared" si="98"/>
        <v>0</v>
      </c>
      <c r="GK5" s="215">
        <f t="shared" si="99"/>
        <v>0</v>
      </c>
      <c r="GL5" s="215">
        <f t="shared" si="100"/>
        <v>0</v>
      </c>
      <c r="GM5" s="215">
        <f t="shared" si="101"/>
        <v>0</v>
      </c>
      <c r="GN5" s="215">
        <f t="shared" si="102"/>
        <v>0</v>
      </c>
      <c r="GO5" s="215">
        <f t="shared" si="103"/>
        <v>0</v>
      </c>
      <c r="GP5" s="215">
        <f t="shared" si="104"/>
        <v>0</v>
      </c>
      <c r="GQ5" s="215">
        <f t="shared" si="105"/>
        <v>0</v>
      </c>
      <c r="GR5" s="215">
        <f t="shared" si="106"/>
        <v>0</v>
      </c>
      <c r="GS5" s="215">
        <f t="shared" ref="GS5:GS38" si="121">(D5+H5+L5+P5+T5+X5+AB5+AF5+AJ5+AN5+AR5+AV5+AZ5+BD5+BH5+BL5+BP5+BT5+BX5+CB5+CF5+CJ5+CN5+CR5)*$FS$1</f>
        <v>0</v>
      </c>
      <c r="GT5" s="215">
        <f t="shared" ref="GT5:GT38" si="122">(D5+H5+L5+P5+T5+X5+AB5+AF5+AJ5+AN5+AR5+AV5+AZ5+BD5+BH5+BL5+BP5+BT5+BX5+CB5+CF5+CJ5+CN5+CR5+CV5)*$FS$1</f>
        <v>0</v>
      </c>
      <c r="GU5" s="215">
        <f t="shared" ref="GU5:GU38" si="123">(D5+H5+L5+P5+T5+X5+AB5+AF5+AJ5+AN5+AR5+AV5+AZ5+BD5+BH5+BL5+BP5+BT5+BX5+CB5+CF5+CJ5+CN5+CR5+CV5+CZ5)*$FS$1</f>
        <v>0</v>
      </c>
      <c r="GV5" s="215">
        <f t="shared" ref="GV5:GV38" si="124">(D5+H5+L5+P5+T5+X5+AB5+AF5+AJ5+AN5+AR5+AV5+AZ5+BD5+BH5+BL5+BP5+BT5+BX5+CB5+CF5+CJ5+CN5+CR5+CV5+CZ5+DD5)*$FS$1</f>
        <v>0</v>
      </c>
      <c r="GW5" s="215">
        <f t="shared" ref="GW5:GW38" si="125">(AR5+AV5+AZ5+BD5+BH5+BL5+BP5+BT5+BX5+CB5+CF5+CJ5+CN5+CR5+CV5+CZ5+DD5+DH5)*$FS$1</f>
        <v>0</v>
      </c>
      <c r="GX5" s="215">
        <f t="shared" ref="GX5:GX38" si="126">(AR5+AV5+AZ5+BD5+BH5+BL5+BP5+BT5+BX5+CB5+CF5+CJ5+CN5+CR5+CV5+CZ5+DD5+DH5+DL5)*$FS$1</f>
        <v>0</v>
      </c>
      <c r="GY5" s="215">
        <f t="shared" ref="GY5:GY38" si="127">(AR5+AV5+AZ5+BD5+BH5+BL5+BP5+BT5+BX5+CB5+CF5+CJ5+CN5+CR5+CV5+CZ5+DD5+DH5+DL5+DP5)*$FS$1</f>
        <v>0</v>
      </c>
      <c r="GZ5" s="215">
        <f t="shared" ref="GZ5:GZ38" si="128">(AR5+AV5+AZ5+BD5+BH5+BL5+BP5+BT5+BX5+CB5+CF5+CJ5+CN5+CR5+CV5+CZ5+DD5+DH5+DL5+DP5+DT5)*$FS$1</f>
        <v>0</v>
      </c>
      <c r="HA5" s="215">
        <f t="shared" ref="HA5:HA38" si="129">(AR5+AV5+AZ5+BD5+BH5+BL5+BP5+BT5+BX5+CB5+CF5+CJ5+CN5+CR5+CV5+CZ5+DD5+DH5+DL5+DP5+DT5+DX5)*$FS$1</f>
        <v>0</v>
      </c>
      <c r="HB5" s="215">
        <f t="shared" ref="HB5:HB38" si="130">(AR5+AV5+AZ5+BD5+BH5+BL5+BP5+BT5+BX5+CB5+CF5+CJ5+CN5+CR5+CV5+CZ5+DD5+DH5+DL5+DP5+DT5+DX5+EB5)*$FS$1</f>
        <v>0</v>
      </c>
      <c r="HC5" s="215">
        <f t="shared" ref="HC5:HC38" si="131">(AR5+AV5+AZ5+BD5+BH5+BL5+BP5+BT5+BX5+CB5+CF5+CJ5+CN5+CR5+CV5+CZ5+DD5+DH5+DL5+DP5+DT5+DX5+EB5+EF5)*$FS$1</f>
        <v>0</v>
      </c>
      <c r="HD5" s="215">
        <f t="shared" ref="HD5:HD38" si="132">(AR5+AV5+AZ5+BD5+BH5+BL5+BP5+BT5+BX5+CB5+CF5+CJ5+CN5+CR5+CV5+CZ5+DD5+DH5+DL5+DP5+DT5+DX5+EB5+EF5+EJ5)*$FS$1</f>
        <v>0</v>
      </c>
      <c r="HE5" s="215">
        <f t="shared" ref="HE5:HE37" si="133">(AR5+AV5+AZ5+BD5+BH5+BL5+BP5+BT5+BX5+CB5+CF5+CJ5+CN5+CR5+CV5+CZ5+DD5+DH5+DL5+DP5+DT5+DX5+EB5+EF5+EJ5+EN5)*$FS$1</f>
        <v>0</v>
      </c>
      <c r="HF5" s="215">
        <f t="shared" ref="HF5:HF38" si="134">(AR5+AV5+AZ5+BD5+BH5+BL5+BP5+BT5+BX5+CB5+CF5+CJ5+CN5+CR5+CV5+CZ5+DD5+DH5+DL5+DP5+DT5+DX5+EB5+EF5+EJ5+EN5+ER5)*$FS$1</f>
        <v>0</v>
      </c>
      <c r="HG5" s="215">
        <f t="shared" ref="HG5:HG38" si="135">(AR5+AV5+AZ5+BD5+BH5+BL5+BP5+BT5+BX5+CB5+CF5+CJ5+CN5+CR5+CV5+CZ5+DD5+DH5+DL5+DP5+DT5+DX5+EB5+EF5+EJ5+EN5+ER5+EV5)*$FS$1</f>
        <v>0</v>
      </c>
      <c r="HH5" s="215">
        <f t="shared" ref="HH5:HH38" si="136">(AR5+AV5+AZ5+BD5+BH5+BL5+BP5+BT5+BX5+CB5+CF5+CJ5+CN5+CR5+CV5+CZ5+DD5+DH5+DL5+DP5+DT5+DX5+EB5+EF5+EJ5+EN5+ER5+EV5+EZ5)*$FS$1</f>
        <v>0</v>
      </c>
      <c r="HI5" s="215">
        <f t="shared" ref="HI5:HI38" si="137">(AR5+AV5+AZ5+BD5+BH5+BL5+BP5+BT5+BX5+CB5+CF5+CJ5+CN5+CR5+CV5+CZ5+DD5+DH5+DL5+DP5+DT5+DX5+EB5+EF5+EJ5+EN5+ER5+EV5+EZ5+FD5)*$FS$1</f>
        <v>0</v>
      </c>
      <c r="HJ5" s="215">
        <f t="shared" ref="HJ5:HJ38" si="138">(AR5+AV5+AZ5+BD5+BH5+BL5+BP5+BT5+BX5+CB5+CF5+CJ5+CN5+CR5+CV5+CZ5+DD5+DH5+DL5+DP5+DT5+DX5+EB5+EF5+EJ5+EN5+ER5+EV5+EZ5+FD5+FH5)*$FS$1</f>
        <v>0</v>
      </c>
      <c r="HK5" s="215">
        <f t="shared" ref="HK5:HK38" si="139">(AR5+AV5+AZ5+BD5+BH5+BL5+BP5+BT5+BX5+CB5+CF5+CJ5+CN5+CR5+CV5+CZ5+DD5+DH5+DL5+DP5+DT5+DX5+EB5+EF5+EJ5+EN5+ER5+EV5+EZ5+FD5+FH5+FL5)*$FS$1</f>
        <v>0</v>
      </c>
      <c r="HL5" s="211">
        <f t="shared" ref="HL5:HL38" si="140">SUM(FV5:HK5)</f>
        <v>0</v>
      </c>
      <c r="HM5" s="51">
        <f t="shared" ref="HM5:HM38" si="141">(HL5+FR5)</f>
        <v>0</v>
      </c>
    </row>
    <row r="6" spans="1:221">
      <c r="A6" s="49" t="s">
        <v>18</v>
      </c>
      <c r="B6" s="51">
        <v>11.652842857142858</v>
      </c>
      <c r="C6" s="51" t="s">
        <v>277</v>
      </c>
      <c r="D6" s="51">
        <f t="shared" si="0"/>
        <v>0</v>
      </c>
      <c r="E6" s="51" t="str">
        <f t="shared" si="1"/>
        <v/>
      </c>
      <c r="F6" s="51">
        <v>12.869842857142856</v>
      </c>
      <c r="G6" s="51" t="s">
        <v>277</v>
      </c>
      <c r="H6" s="51">
        <f t="shared" si="2"/>
        <v>0</v>
      </c>
      <c r="I6" s="51" t="str">
        <f t="shared" si="3"/>
        <v/>
      </c>
      <c r="J6" s="51">
        <v>13.444042857142858</v>
      </c>
      <c r="K6" s="51" t="s">
        <v>277</v>
      </c>
      <c r="L6" s="51">
        <f t="shared" si="4"/>
        <v>0</v>
      </c>
      <c r="M6" s="51" t="str">
        <f t="shared" si="5"/>
        <v/>
      </c>
      <c r="N6" s="51">
        <v>12.922042857142857</v>
      </c>
      <c r="O6" s="51" t="s">
        <v>277</v>
      </c>
      <c r="P6" s="51">
        <f t="shared" si="6"/>
        <v>0</v>
      </c>
      <c r="Q6" s="51" t="str">
        <f t="shared" si="7"/>
        <v/>
      </c>
      <c r="R6" s="51">
        <v>13.052542857142857</v>
      </c>
      <c r="S6" s="51" t="s">
        <v>277</v>
      </c>
      <c r="T6" s="51">
        <f t="shared" si="8"/>
        <v>0</v>
      </c>
      <c r="U6" s="51" t="str">
        <f t="shared" si="9"/>
        <v/>
      </c>
      <c r="V6" s="51">
        <v>13.887742857142856</v>
      </c>
      <c r="W6" s="51" t="s">
        <v>277</v>
      </c>
      <c r="X6" s="51">
        <f t="shared" si="10"/>
        <v>0</v>
      </c>
      <c r="Y6" s="51" t="str">
        <f t="shared" si="11"/>
        <v/>
      </c>
      <c r="Z6" s="51">
        <v>13.835542857142855</v>
      </c>
      <c r="AA6" s="51" t="s">
        <v>277</v>
      </c>
      <c r="AB6" s="51">
        <f t="shared" si="12"/>
        <v>0</v>
      </c>
      <c r="AC6" s="51" t="str">
        <f t="shared" si="13"/>
        <v/>
      </c>
      <c r="AD6" s="51">
        <v>14.409742857142856</v>
      </c>
      <c r="AE6" s="51" t="s">
        <v>277</v>
      </c>
      <c r="AF6" s="51">
        <f t="shared" si="14"/>
        <v>0</v>
      </c>
      <c r="AG6" s="51" t="str">
        <f t="shared" si="15"/>
        <v/>
      </c>
      <c r="AH6" s="51">
        <v>14.148742857142857</v>
      </c>
      <c r="AI6" s="51" t="s">
        <v>277</v>
      </c>
      <c r="AJ6" s="51">
        <f t="shared" si="16"/>
        <v>0</v>
      </c>
      <c r="AK6" s="51" t="str">
        <f t="shared" si="17"/>
        <v/>
      </c>
      <c r="AL6" s="51">
        <v>16.758742857142856</v>
      </c>
      <c r="AM6" s="51" t="s">
        <v>277</v>
      </c>
      <c r="AN6" s="51">
        <f t="shared" si="18"/>
        <v>0</v>
      </c>
      <c r="AO6" s="51" t="str">
        <f t="shared" si="19"/>
        <v/>
      </c>
      <c r="AP6" s="51">
        <v>14.670742857142857</v>
      </c>
      <c r="AQ6" s="51" t="s">
        <v>277</v>
      </c>
      <c r="AR6" s="51">
        <f t="shared" si="20"/>
        <v>0</v>
      </c>
      <c r="AS6" s="51" t="str">
        <f t="shared" si="21"/>
        <v/>
      </c>
      <c r="AT6" s="51">
        <v>25.422557142857141</v>
      </c>
      <c r="AU6" s="51" t="s">
        <v>277</v>
      </c>
      <c r="AV6" s="51">
        <f t="shared" si="22"/>
        <v>0</v>
      </c>
      <c r="AW6" s="51" t="str">
        <f t="shared" si="23"/>
        <v/>
      </c>
      <c r="AX6" s="51">
        <v>23.962342857142854</v>
      </c>
      <c r="AY6" s="51" t="s">
        <v>277</v>
      </c>
      <c r="AZ6" s="51">
        <f t="shared" si="24"/>
        <v>0</v>
      </c>
      <c r="BA6" s="51" t="str">
        <f t="shared" si="25"/>
        <v/>
      </c>
      <c r="BB6" s="51">
        <v>18.350842857142855</v>
      </c>
      <c r="BC6" s="51" t="s">
        <v>277</v>
      </c>
      <c r="BD6" s="51">
        <f t="shared" si="107"/>
        <v>0</v>
      </c>
      <c r="BE6" s="51" t="str">
        <f t="shared" si="108"/>
        <v/>
      </c>
      <c r="BF6" s="51">
        <v>16.941442857142857</v>
      </c>
      <c r="BG6" s="51" t="s">
        <v>277</v>
      </c>
      <c r="BH6" s="51">
        <f t="shared" si="28"/>
        <v>0</v>
      </c>
      <c r="BI6" s="51" t="str">
        <f t="shared" si="29"/>
        <v/>
      </c>
      <c r="BJ6" s="51">
        <v>17.280742857142855</v>
      </c>
      <c r="BK6" s="51" t="s">
        <v>277</v>
      </c>
      <c r="BL6" s="51">
        <f t="shared" si="30"/>
        <v>0</v>
      </c>
      <c r="BM6" s="51" t="str">
        <f t="shared" si="31"/>
        <v/>
      </c>
      <c r="BN6" s="51">
        <v>17.411242857142856</v>
      </c>
      <c r="BO6" s="51" t="s">
        <v>277</v>
      </c>
      <c r="BP6" s="51">
        <f t="shared" si="32"/>
        <v>0</v>
      </c>
      <c r="BQ6" s="51" t="str">
        <f t="shared" si="33"/>
        <v/>
      </c>
      <c r="BR6" s="51">
        <v>21.587242857142854</v>
      </c>
      <c r="BS6" s="51" t="s">
        <v>277</v>
      </c>
      <c r="BT6" s="51">
        <f t="shared" si="34"/>
        <v>0</v>
      </c>
      <c r="BU6" s="51" t="str">
        <f t="shared" si="35"/>
        <v/>
      </c>
      <c r="BV6" s="51">
        <v>18.585742857142854</v>
      </c>
      <c r="BW6" s="51" t="s">
        <v>277</v>
      </c>
      <c r="BX6" s="51">
        <f t="shared" si="109"/>
        <v>0</v>
      </c>
      <c r="BY6" s="51" t="str">
        <f t="shared" si="110"/>
        <v/>
      </c>
      <c r="BZ6" s="51">
        <v>18.194242857142854</v>
      </c>
      <c r="CA6" s="51" t="s">
        <v>277</v>
      </c>
      <c r="CB6" s="51">
        <f t="shared" si="111"/>
        <v>0</v>
      </c>
      <c r="CC6" s="51" t="str">
        <f t="shared" si="112"/>
        <v/>
      </c>
      <c r="CD6" s="51">
        <v>16.889242857142857</v>
      </c>
      <c r="CE6" s="51" t="s">
        <v>277</v>
      </c>
      <c r="CF6" s="51">
        <f t="shared" si="40"/>
        <v>0</v>
      </c>
      <c r="CG6" s="51" t="str">
        <f t="shared" si="41"/>
        <v/>
      </c>
      <c r="CH6" s="51">
        <v>20.386642857142856</v>
      </c>
      <c r="CI6" s="51" t="s">
        <v>277</v>
      </c>
      <c r="CJ6" s="51">
        <f t="shared" si="42"/>
        <v>0</v>
      </c>
      <c r="CK6" s="51" t="str">
        <f t="shared" si="43"/>
        <v/>
      </c>
      <c r="CL6" s="51">
        <v>22.135342857142859</v>
      </c>
      <c r="CM6" s="51" t="s">
        <v>277</v>
      </c>
      <c r="CN6" s="51">
        <f t="shared" si="113"/>
        <v>0</v>
      </c>
      <c r="CO6" s="51" t="str">
        <f t="shared" si="114"/>
        <v/>
      </c>
      <c r="CP6" s="51">
        <v>23.074942857142858</v>
      </c>
      <c r="CQ6" s="51" t="s">
        <v>277</v>
      </c>
      <c r="CR6" s="51">
        <f t="shared" si="46"/>
        <v>0</v>
      </c>
      <c r="CS6" s="51" t="str">
        <f t="shared" si="47"/>
        <v/>
      </c>
      <c r="CT6" s="51">
        <v>19.66554285714286</v>
      </c>
      <c r="CU6" s="230" t="s">
        <v>277</v>
      </c>
      <c r="CV6" s="51">
        <f t="shared" si="48"/>
        <v>0</v>
      </c>
      <c r="CW6" s="51" t="str">
        <f t="shared" si="49"/>
        <v/>
      </c>
      <c r="CX6" s="51">
        <v>19.969042857142853</v>
      </c>
      <c r="CY6" s="230" t="s">
        <v>277</v>
      </c>
      <c r="CZ6" s="51">
        <f t="shared" si="115"/>
        <v>0</v>
      </c>
      <c r="DA6" s="51" t="str">
        <f t="shared" si="116"/>
        <v/>
      </c>
      <c r="DB6" s="51">
        <v>18.403042857142854</v>
      </c>
      <c r="DC6" s="230" t="s">
        <v>277</v>
      </c>
      <c r="DD6" s="51">
        <f t="shared" si="52"/>
        <v>0</v>
      </c>
      <c r="DE6" s="51" t="str">
        <f t="shared" si="53"/>
        <v/>
      </c>
      <c r="DF6" s="51">
        <v>20.882542857142855</v>
      </c>
      <c r="DG6" s="230" t="s">
        <v>277</v>
      </c>
      <c r="DH6" s="51">
        <f t="shared" si="54"/>
        <v>0</v>
      </c>
      <c r="DI6" s="51" t="str">
        <f t="shared" si="55"/>
        <v/>
      </c>
      <c r="DJ6" s="51">
        <v>25.711042857142857</v>
      </c>
      <c r="DK6" s="51" t="s">
        <v>277</v>
      </c>
      <c r="DL6" s="51">
        <f t="shared" si="56"/>
        <v>0</v>
      </c>
      <c r="DM6" s="51" t="str">
        <f t="shared" si="57"/>
        <v/>
      </c>
      <c r="DN6" s="51">
        <v>20.491042857142855</v>
      </c>
      <c r="DO6" s="51" t="s">
        <v>277</v>
      </c>
      <c r="DP6" s="51">
        <f t="shared" si="58"/>
        <v>0</v>
      </c>
      <c r="DQ6" s="51" t="str">
        <f t="shared" si="59"/>
        <v/>
      </c>
      <c r="DR6" s="51">
        <v>20.491042857142855</v>
      </c>
      <c r="DS6" s="51" t="s">
        <v>277</v>
      </c>
      <c r="DT6" s="51">
        <f t="shared" si="60"/>
        <v>0</v>
      </c>
      <c r="DU6" s="51" t="str">
        <f t="shared" si="61"/>
        <v/>
      </c>
      <c r="DV6" s="51">
        <v>19.969042857142856</v>
      </c>
      <c r="DW6" s="230" t="s">
        <v>277</v>
      </c>
      <c r="DX6" s="51">
        <f t="shared" si="62"/>
        <v>0</v>
      </c>
      <c r="DY6" s="51" t="str">
        <f t="shared" si="63"/>
        <v/>
      </c>
      <c r="DZ6" s="51">
        <v>20.256142857142855</v>
      </c>
      <c r="EA6" s="51" t="s">
        <v>277</v>
      </c>
      <c r="EB6" s="51">
        <f t="shared" si="64"/>
        <v>0</v>
      </c>
      <c r="EC6" s="51" t="str">
        <f t="shared" si="65"/>
        <v/>
      </c>
      <c r="ED6" s="51">
        <v>24.954142857142855</v>
      </c>
      <c r="EE6" s="51" t="s">
        <v>277</v>
      </c>
      <c r="EF6" s="51">
        <f t="shared" si="66"/>
        <v>0</v>
      </c>
      <c r="EG6" s="51" t="str">
        <f t="shared" si="67"/>
        <v/>
      </c>
      <c r="EH6" s="51">
        <v>19.081642857142857</v>
      </c>
      <c r="EI6" s="230" t="s">
        <v>277</v>
      </c>
      <c r="EJ6" s="250">
        <f t="shared" si="68"/>
        <v>0</v>
      </c>
      <c r="EK6" s="51" t="str">
        <f t="shared" si="69"/>
        <v/>
      </c>
      <c r="EL6" s="51">
        <v>24.432142857142857</v>
      </c>
      <c r="EM6" s="250" t="s">
        <v>277</v>
      </c>
      <c r="EN6" s="230">
        <f t="shared" si="70"/>
        <v>0</v>
      </c>
      <c r="EO6" s="51" t="str">
        <f t="shared" si="71"/>
        <v/>
      </c>
      <c r="EP6" s="51">
        <v>22.859214285714284</v>
      </c>
      <c r="EQ6" s="230" t="s">
        <v>277</v>
      </c>
      <c r="ER6" s="51">
        <f t="shared" si="72"/>
        <v>0</v>
      </c>
      <c r="ES6" s="51" t="str">
        <f t="shared" si="73"/>
        <v/>
      </c>
      <c r="ET6" s="51">
        <v>24.164214285714284</v>
      </c>
      <c r="EU6" s="230" t="s">
        <v>277</v>
      </c>
      <c r="EV6" s="51">
        <f t="shared" si="117"/>
        <v>0</v>
      </c>
      <c r="EW6" s="51" t="str">
        <f t="shared" si="75"/>
        <v/>
      </c>
      <c r="EX6" s="51">
        <v>24.033714285714286</v>
      </c>
      <c r="EY6" s="51" t="s">
        <v>277</v>
      </c>
      <c r="EZ6" s="51">
        <f t="shared" si="76"/>
        <v>0</v>
      </c>
      <c r="FA6" s="51" t="str">
        <f t="shared" si="77"/>
        <v/>
      </c>
      <c r="FB6" s="51">
        <v>22.989714285714285</v>
      </c>
      <c r="FC6" s="51"/>
      <c r="FD6" s="51">
        <f t="shared" si="78"/>
        <v>22.989714285714285</v>
      </c>
      <c r="FE6" s="51" t="str">
        <f t="shared" si="79"/>
        <v>Debe</v>
      </c>
      <c r="FF6" s="51">
        <v>28.679514285714284</v>
      </c>
      <c r="FG6" s="51"/>
      <c r="FH6" s="51">
        <f t="shared" si="80"/>
        <v>28.679514285714284</v>
      </c>
      <c r="FI6" s="51" t="str">
        <f t="shared" si="81"/>
        <v>Debe</v>
      </c>
      <c r="FJ6" s="51">
        <v>25.338714285714286</v>
      </c>
      <c r="FK6" s="230"/>
      <c r="FL6" s="51">
        <f t="shared" si="82"/>
        <v>25.338714285714286</v>
      </c>
      <c r="FM6" s="51" t="str">
        <f t="shared" si="83"/>
        <v>Debe</v>
      </c>
      <c r="FN6" s="51">
        <v>22.531578571428572</v>
      </c>
      <c r="FO6" s="51"/>
      <c r="FP6" s="51"/>
      <c r="FQ6" s="51"/>
      <c r="FR6" s="51">
        <f t="shared" si="118"/>
        <v>77.007942857142851</v>
      </c>
      <c r="FS6" s="14">
        <f t="shared" si="119"/>
        <v>30572.153314285712</v>
      </c>
      <c r="FT6">
        <f t="shared" si="120"/>
        <v>3</v>
      </c>
      <c r="FV6" s="215">
        <f t="shared" si="84"/>
        <v>0</v>
      </c>
      <c r="FW6" s="215">
        <f t="shared" si="85"/>
        <v>0</v>
      </c>
      <c r="FX6" s="215">
        <f t="shared" si="86"/>
        <v>0</v>
      </c>
      <c r="FY6" s="215">
        <f t="shared" si="87"/>
        <v>0</v>
      </c>
      <c r="FZ6" s="215">
        <f t="shared" si="88"/>
        <v>0</v>
      </c>
      <c r="GA6" s="215">
        <f t="shared" si="89"/>
        <v>0</v>
      </c>
      <c r="GB6" s="215">
        <f t="shared" si="90"/>
        <v>0</v>
      </c>
      <c r="GC6" s="215">
        <f t="shared" si="91"/>
        <v>0</v>
      </c>
      <c r="GD6" s="215">
        <f t="shared" si="92"/>
        <v>0</v>
      </c>
      <c r="GE6" s="215">
        <f t="shared" si="93"/>
        <v>0</v>
      </c>
      <c r="GF6" s="215">
        <f t="shared" si="94"/>
        <v>0</v>
      </c>
      <c r="GG6" s="215">
        <f t="shared" si="95"/>
        <v>0</v>
      </c>
      <c r="GH6" s="215">
        <f t="shared" si="96"/>
        <v>0</v>
      </c>
      <c r="GI6" s="215">
        <f t="shared" si="97"/>
        <v>0</v>
      </c>
      <c r="GJ6" s="215">
        <f t="shared" si="98"/>
        <v>0</v>
      </c>
      <c r="GK6" s="215">
        <f t="shared" si="99"/>
        <v>0</v>
      </c>
      <c r="GL6" s="215">
        <f t="shared" si="100"/>
        <v>0</v>
      </c>
      <c r="GM6" s="215">
        <f t="shared" si="101"/>
        <v>0</v>
      </c>
      <c r="GN6" s="215">
        <f t="shared" si="102"/>
        <v>0</v>
      </c>
      <c r="GO6" s="215">
        <f t="shared" si="103"/>
        <v>0</v>
      </c>
      <c r="GP6" s="215">
        <f t="shared" si="104"/>
        <v>0</v>
      </c>
      <c r="GQ6" s="215">
        <f t="shared" si="105"/>
        <v>0</v>
      </c>
      <c r="GR6" s="215">
        <f t="shared" si="106"/>
        <v>0</v>
      </c>
      <c r="GS6" s="215">
        <f t="shared" si="121"/>
        <v>0</v>
      </c>
      <c r="GT6" s="215">
        <f t="shared" si="122"/>
        <v>0</v>
      </c>
      <c r="GU6" s="215">
        <f t="shared" si="123"/>
        <v>0</v>
      </c>
      <c r="GV6" s="215">
        <f t="shared" si="124"/>
        <v>0</v>
      </c>
      <c r="GW6" s="215">
        <f t="shared" si="125"/>
        <v>0</v>
      </c>
      <c r="GX6" s="215">
        <f t="shared" si="126"/>
        <v>0</v>
      </c>
      <c r="GY6" s="215">
        <f t="shared" si="127"/>
        <v>0</v>
      </c>
      <c r="GZ6" s="215">
        <f t="shared" si="128"/>
        <v>0</v>
      </c>
      <c r="HA6" s="215">
        <f t="shared" si="129"/>
        <v>0</v>
      </c>
      <c r="HB6" s="215">
        <f t="shared" si="130"/>
        <v>0</v>
      </c>
      <c r="HC6" s="215">
        <f t="shared" si="131"/>
        <v>0</v>
      </c>
      <c r="HD6" s="215">
        <f t="shared" si="132"/>
        <v>0</v>
      </c>
      <c r="HE6" s="215">
        <f t="shared" si="133"/>
        <v>0</v>
      </c>
      <c r="HF6" s="215">
        <f t="shared" si="134"/>
        <v>0</v>
      </c>
      <c r="HG6" s="215">
        <f t="shared" si="135"/>
        <v>0</v>
      </c>
      <c r="HH6" s="215">
        <f t="shared" si="136"/>
        <v>0</v>
      </c>
      <c r="HI6" s="215">
        <f t="shared" si="137"/>
        <v>5.7474285714285714E-2</v>
      </c>
      <c r="HJ6" s="215">
        <f t="shared" si="138"/>
        <v>0.12917307142857143</v>
      </c>
      <c r="HK6" s="215">
        <f t="shared" si="139"/>
        <v>0.19251985714285713</v>
      </c>
      <c r="HL6" s="211">
        <f t="shared" si="140"/>
        <v>0.37916721428571426</v>
      </c>
      <c r="HM6" s="51">
        <f t="shared" si="141"/>
        <v>77.387110071428566</v>
      </c>
    </row>
    <row r="7" spans="1:221">
      <c r="A7" s="49" t="s">
        <v>19</v>
      </c>
      <c r="B7" s="51">
        <v>11.652842857142858</v>
      </c>
      <c r="C7" s="51" t="s">
        <v>277</v>
      </c>
      <c r="D7" s="51">
        <f t="shared" si="0"/>
        <v>0</v>
      </c>
      <c r="E7" s="51" t="str">
        <f t="shared" si="1"/>
        <v/>
      </c>
      <c r="F7" s="51">
        <v>12.869842857142856</v>
      </c>
      <c r="G7" s="51" t="s">
        <v>277</v>
      </c>
      <c r="H7" s="51">
        <f t="shared" si="2"/>
        <v>0</v>
      </c>
      <c r="I7" s="51" t="str">
        <f t="shared" si="3"/>
        <v/>
      </c>
      <c r="J7" s="51">
        <v>13.444042857142858</v>
      </c>
      <c r="K7" s="51" t="s">
        <v>277</v>
      </c>
      <c r="L7" s="51">
        <f t="shared" si="4"/>
        <v>0</v>
      </c>
      <c r="M7" s="51" t="str">
        <f t="shared" si="5"/>
        <v/>
      </c>
      <c r="N7" s="51">
        <v>12.922042857142857</v>
      </c>
      <c r="O7" s="51" t="s">
        <v>277</v>
      </c>
      <c r="P7" s="51">
        <f t="shared" si="6"/>
        <v>0</v>
      </c>
      <c r="Q7" s="51" t="str">
        <f t="shared" si="7"/>
        <v/>
      </c>
      <c r="R7" s="51">
        <v>13.052542857142857</v>
      </c>
      <c r="S7" s="51" t="s">
        <v>277</v>
      </c>
      <c r="T7" s="51">
        <f t="shared" si="8"/>
        <v>0</v>
      </c>
      <c r="U7" s="51" t="str">
        <f t="shared" si="9"/>
        <v/>
      </c>
      <c r="V7" s="51">
        <v>13.887742857142856</v>
      </c>
      <c r="W7" s="51" t="s">
        <v>277</v>
      </c>
      <c r="X7" s="51">
        <f t="shared" si="10"/>
        <v>0</v>
      </c>
      <c r="Y7" s="51" t="str">
        <f t="shared" si="11"/>
        <v/>
      </c>
      <c r="Z7" s="51">
        <v>13.835542857142855</v>
      </c>
      <c r="AA7" s="51" t="s">
        <v>277</v>
      </c>
      <c r="AB7" s="51">
        <f t="shared" si="12"/>
        <v>0</v>
      </c>
      <c r="AC7" s="51" t="str">
        <f t="shared" si="13"/>
        <v/>
      </c>
      <c r="AD7" s="51">
        <v>14.409742857142856</v>
      </c>
      <c r="AE7" s="51" t="s">
        <v>277</v>
      </c>
      <c r="AF7" s="51">
        <f t="shared" si="14"/>
        <v>0</v>
      </c>
      <c r="AG7" s="51" t="str">
        <f t="shared" si="15"/>
        <v/>
      </c>
      <c r="AH7" s="51">
        <v>14.148742857142857</v>
      </c>
      <c r="AI7" s="51" t="s">
        <v>277</v>
      </c>
      <c r="AJ7" s="51">
        <f t="shared" si="16"/>
        <v>0</v>
      </c>
      <c r="AK7" s="51" t="str">
        <f t="shared" si="17"/>
        <v/>
      </c>
      <c r="AL7" s="51">
        <v>16.758742857142856</v>
      </c>
      <c r="AM7" s="51" t="s">
        <v>277</v>
      </c>
      <c r="AN7" s="51">
        <f t="shared" si="18"/>
        <v>0</v>
      </c>
      <c r="AO7" s="51" t="str">
        <f t="shared" si="19"/>
        <v/>
      </c>
      <c r="AP7" s="51">
        <v>14.670742857142857</v>
      </c>
      <c r="AQ7" s="51" t="s">
        <v>277</v>
      </c>
      <c r="AR7" s="51">
        <f t="shared" si="20"/>
        <v>0</v>
      </c>
      <c r="AS7" s="51" t="str">
        <f t="shared" si="21"/>
        <v/>
      </c>
      <c r="AT7" s="51">
        <v>25.422557142857141</v>
      </c>
      <c r="AU7" s="51" t="s">
        <v>277</v>
      </c>
      <c r="AV7" s="51">
        <f t="shared" si="22"/>
        <v>0</v>
      </c>
      <c r="AW7" s="51" t="str">
        <f t="shared" si="23"/>
        <v/>
      </c>
      <c r="AX7" s="51">
        <v>23.962342857142854</v>
      </c>
      <c r="AY7" s="51" t="s">
        <v>277</v>
      </c>
      <c r="AZ7" s="51">
        <f t="shared" si="24"/>
        <v>0</v>
      </c>
      <c r="BA7" s="51" t="str">
        <f t="shared" si="25"/>
        <v/>
      </c>
      <c r="BB7" s="51">
        <v>18.350842857142855</v>
      </c>
      <c r="BC7" s="51" t="s">
        <v>277</v>
      </c>
      <c r="BD7" s="51">
        <f t="shared" si="107"/>
        <v>0</v>
      </c>
      <c r="BE7" s="51" t="str">
        <f t="shared" si="108"/>
        <v/>
      </c>
      <c r="BF7" s="51">
        <v>16.941442857142857</v>
      </c>
      <c r="BG7" s="51" t="s">
        <v>277</v>
      </c>
      <c r="BH7" s="51">
        <f t="shared" si="28"/>
        <v>0</v>
      </c>
      <c r="BI7" s="51" t="str">
        <f t="shared" si="29"/>
        <v/>
      </c>
      <c r="BJ7" s="51">
        <v>17.280742857142855</v>
      </c>
      <c r="BK7" s="51" t="s">
        <v>277</v>
      </c>
      <c r="BL7" s="51">
        <f t="shared" si="30"/>
        <v>0</v>
      </c>
      <c r="BM7" s="51" t="str">
        <f t="shared" si="31"/>
        <v/>
      </c>
      <c r="BN7" s="51">
        <v>17.411242857142856</v>
      </c>
      <c r="BO7" s="51" t="s">
        <v>277</v>
      </c>
      <c r="BP7" s="51">
        <f t="shared" si="32"/>
        <v>0</v>
      </c>
      <c r="BQ7" s="51" t="str">
        <f t="shared" si="33"/>
        <v/>
      </c>
      <c r="BR7" s="51">
        <v>21.587242857142854</v>
      </c>
      <c r="BS7" s="51" t="s">
        <v>277</v>
      </c>
      <c r="BT7" s="51">
        <f t="shared" si="34"/>
        <v>0</v>
      </c>
      <c r="BU7" s="51" t="str">
        <f t="shared" si="35"/>
        <v/>
      </c>
      <c r="BV7" s="51">
        <v>18.585742857142854</v>
      </c>
      <c r="BW7" s="51" t="s">
        <v>277</v>
      </c>
      <c r="BX7" s="51">
        <f t="shared" si="109"/>
        <v>0</v>
      </c>
      <c r="BY7" s="51" t="str">
        <f t="shared" si="110"/>
        <v/>
      </c>
      <c r="BZ7" s="51">
        <v>18.194242857142854</v>
      </c>
      <c r="CA7" s="51" t="s">
        <v>277</v>
      </c>
      <c r="CB7" s="51">
        <f t="shared" si="111"/>
        <v>0</v>
      </c>
      <c r="CC7" s="51" t="str">
        <f t="shared" si="112"/>
        <v/>
      </c>
      <c r="CD7" s="51">
        <v>16.889242857142857</v>
      </c>
      <c r="CE7" s="51" t="s">
        <v>277</v>
      </c>
      <c r="CF7" s="51">
        <f t="shared" si="40"/>
        <v>0</v>
      </c>
      <c r="CG7" s="51" t="str">
        <f t="shared" si="41"/>
        <v/>
      </c>
      <c r="CH7" s="51">
        <v>20.386642857142856</v>
      </c>
      <c r="CI7" s="51" t="s">
        <v>277</v>
      </c>
      <c r="CJ7" s="51">
        <f t="shared" si="42"/>
        <v>0</v>
      </c>
      <c r="CK7" s="51" t="str">
        <f t="shared" si="43"/>
        <v/>
      </c>
      <c r="CL7" s="51">
        <v>22.135342857142859</v>
      </c>
      <c r="CM7" s="51" t="s">
        <v>277</v>
      </c>
      <c r="CN7" s="51">
        <f t="shared" si="113"/>
        <v>0</v>
      </c>
      <c r="CO7" s="51" t="str">
        <f t="shared" si="114"/>
        <v/>
      </c>
      <c r="CP7" s="51">
        <v>23.074942857142858</v>
      </c>
      <c r="CQ7" s="51" t="s">
        <v>277</v>
      </c>
      <c r="CR7" s="51">
        <f t="shared" si="46"/>
        <v>0</v>
      </c>
      <c r="CS7" s="51" t="str">
        <f t="shared" si="47"/>
        <v/>
      </c>
      <c r="CT7" s="51">
        <v>19.66554285714286</v>
      </c>
      <c r="CU7" s="230" t="s">
        <v>277</v>
      </c>
      <c r="CV7" s="51">
        <f t="shared" si="48"/>
        <v>0</v>
      </c>
      <c r="CW7" s="51" t="str">
        <f t="shared" si="49"/>
        <v/>
      </c>
      <c r="CX7" s="51">
        <v>19.969042857142853</v>
      </c>
      <c r="CY7" s="230" t="s">
        <v>277</v>
      </c>
      <c r="CZ7" s="51">
        <f t="shared" si="115"/>
        <v>0</v>
      </c>
      <c r="DA7" s="51" t="str">
        <f t="shared" si="116"/>
        <v/>
      </c>
      <c r="DB7" s="51">
        <v>18.403042857142854</v>
      </c>
      <c r="DC7" s="230" t="s">
        <v>277</v>
      </c>
      <c r="DD7" s="51">
        <f t="shared" si="52"/>
        <v>0</v>
      </c>
      <c r="DE7" s="51" t="str">
        <f t="shared" si="53"/>
        <v/>
      </c>
      <c r="DF7" s="51">
        <v>20.882542857142855</v>
      </c>
      <c r="DG7" s="230" t="s">
        <v>277</v>
      </c>
      <c r="DH7" s="51">
        <f t="shared" si="54"/>
        <v>0</v>
      </c>
      <c r="DI7" s="51" t="str">
        <f t="shared" si="55"/>
        <v/>
      </c>
      <c r="DJ7" s="51">
        <v>25.711042857142857</v>
      </c>
      <c r="DK7" s="51" t="s">
        <v>277</v>
      </c>
      <c r="DL7" s="51">
        <f t="shared" si="56"/>
        <v>0</v>
      </c>
      <c r="DM7" s="51" t="str">
        <f t="shared" si="57"/>
        <v/>
      </c>
      <c r="DN7" s="51">
        <v>20.491042857142855</v>
      </c>
      <c r="DO7" s="51" t="s">
        <v>277</v>
      </c>
      <c r="DP7" s="51">
        <f t="shared" si="58"/>
        <v>0</v>
      </c>
      <c r="DQ7" s="51" t="str">
        <f t="shared" si="59"/>
        <v/>
      </c>
      <c r="DR7" s="51">
        <v>20.491042857142855</v>
      </c>
      <c r="DS7" s="51" t="s">
        <v>277</v>
      </c>
      <c r="DT7" s="51">
        <f t="shared" si="60"/>
        <v>0</v>
      </c>
      <c r="DU7" s="51" t="str">
        <f t="shared" si="61"/>
        <v/>
      </c>
      <c r="DV7" s="51">
        <v>19.969042857142856</v>
      </c>
      <c r="DW7" s="230" t="s">
        <v>277</v>
      </c>
      <c r="DX7" s="51">
        <f t="shared" si="62"/>
        <v>0</v>
      </c>
      <c r="DY7" s="51" t="str">
        <f t="shared" si="63"/>
        <v/>
      </c>
      <c r="DZ7" s="51">
        <v>20.256142857142855</v>
      </c>
      <c r="EA7" s="51" t="s">
        <v>277</v>
      </c>
      <c r="EB7" s="51">
        <f t="shared" si="64"/>
        <v>0</v>
      </c>
      <c r="EC7" s="51" t="str">
        <f t="shared" si="65"/>
        <v/>
      </c>
      <c r="ED7" s="51">
        <v>24.954142857142855</v>
      </c>
      <c r="EE7" s="51" t="s">
        <v>277</v>
      </c>
      <c r="EF7" s="51">
        <f t="shared" si="66"/>
        <v>0</v>
      </c>
      <c r="EG7" s="51" t="str">
        <f t="shared" si="67"/>
        <v/>
      </c>
      <c r="EH7" s="51">
        <v>19.081642857142857</v>
      </c>
      <c r="EI7" s="230" t="s">
        <v>277</v>
      </c>
      <c r="EJ7" s="250">
        <f t="shared" si="68"/>
        <v>0</v>
      </c>
      <c r="EK7" s="51" t="str">
        <f t="shared" si="69"/>
        <v/>
      </c>
      <c r="EL7" s="51">
        <v>24.432142857142857</v>
      </c>
      <c r="EM7" s="250" t="s">
        <v>277</v>
      </c>
      <c r="EN7" s="230">
        <f t="shared" si="70"/>
        <v>0</v>
      </c>
      <c r="EO7" s="51" t="str">
        <f t="shared" si="71"/>
        <v/>
      </c>
      <c r="EP7" s="51">
        <v>22.859214285714284</v>
      </c>
      <c r="EQ7" s="230" t="s">
        <v>277</v>
      </c>
      <c r="ER7" s="51">
        <f t="shared" si="72"/>
        <v>0</v>
      </c>
      <c r="ES7" s="51" t="str">
        <f t="shared" si="73"/>
        <v/>
      </c>
      <c r="ET7" s="51">
        <v>24.164214285714284</v>
      </c>
      <c r="EU7" s="230" t="s">
        <v>277</v>
      </c>
      <c r="EV7" s="51">
        <f t="shared" si="117"/>
        <v>0</v>
      </c>
      <c r="EW7" s="51" t="str">
        <f t="shared" si="75"/>
        <v/>
      </c>
      <c r="EX7" s="51">
        <v>24.033714285714286</v>
      </c>
      <c r="EY7" s="51" t="s">
        <v>277</v>
      </c>
      <c r="EZ7" s="51">
        <f t="shared" si="76"/>
        <v>0</v>
      </c>
      <c r="FA7" s="51" t="str">
        <f t="shared" si="77"/>
        <v/>
      </c>
      <c r="FB7" s="51">
        <v>22.989714285714285</v>
      </c>
      <c r="FC7" s="51" t="s">
        <v>277</v>
      </c>
      <c r="FD7" s="51">
        <f t="shared" si="78"/>
        <v>0</v>
      </c>
      <c r="FE7" s="51" t="str">
        <f t="shared" si="79"/>
        <v/>
      </c>
      <c r="FF7" s="51">
        <v>28.679514285714284</v>
      </c>
      <c r="FG7" s="51" t="s">
        <v>277</v>
      </c>
      <c r="FH7" s="51">
        <f t="shared" si="80"/>
        <v>0</v>
      </c>
      <c r="FI7" s="51" t="str">
        <f t="shared" si="81"/>
        <v/>
      </c>
      <c r="FJ7" s="51">
        <v>25.338714285714286</v>
      </c>
      <c r="FK7" s="230" t="s">
        <v>277</v>
      </c>
      <c r="FL7" s="51">
        <f t="shared" si="82"/>
        <v>0</v>
      </c>
      <c r="FM7" s="51" t="str">
        <f t="shared" si="83"/>
        <v/>
      </c>
      <c r="FN7" s="51">
        <v>22.531578571428572</v>
      </c>
      <c r="FO7" s="51"/>
      <c r="FP7" s="51"/>
      <c r="FQ7" s="51"/>
      <c r="FR7" s="51">
        <f t="shared" si="118"/>
        <v>0</v>
      </c>
      <c r="FS7" s="14">
        <f t="shared" si="119"/>
        <v>0</v>
      </c>
      <c r="FT7">
        <f t="shared" si="120"/>
        <v>0</v>
      </c>
      <c r="FV7" s="215">
        <f t="shared" si="84"/>
        <v>0</v>
      </c>
      <c r="FW7" s="215">
        <f t="shared" si="85"/>
        <v>0</v>
      </c>
      <c r="FX7" s="215">
        <f t="shared" si="86"/>
        <v>0</v>
      </c>
      <c r="FY7" s="215">
        <f t="shared" si="87"/>
        <v>0</v>
      </c>
      <c r="FZ7" s="215">
        <f t="shared" si="88"/>
        <v>0</v>
      </c>
      <c r="GA7" s="215">
        <f t="shared" si="89"/>
        <v>0</v>
      </c>
      <c r="GB7" s="215">
        <f t="shared" si="90"/>
        <v>0</v>
      </c>
      <c r="GC7" s="215">
        <f t="shared" si="91"/>
        <v>0</v>
      </c>
      <c r="GD7" s="215">
        <f t="shared" si="92"/>
        <v>0</v>
      </c>
      <c r="GE7" s="215">
        <f t="shared" si="93"/>
        <v>0</v>
      </c>
      <c r="GF7" s="215">
        <f t="shared" si="94"/>
        <v>0</v>
      </c>
      <c r="GG7" s="215">
        <f t="shared" si="95"/>
        <v>0</v>
      </c>
      <c r="GH7" s="215">
        <f t="shared" si="96"/>
        <v>0</v>
      </c>
      <c r="GI7" s="215">
        <f t="shared" si="97"/>
        <v>0</v>
      </c>
      <c r="GJ7" s="215">
        <f t="shared" si="98"/>
        <v>0</v>
      </c>
      <c r="GK7" s="215">
        <f t="shared" si="99"/>
        <v>0</v>
      </c>
      <c r="GL7" s="215">
        <f t="shared" si="100"/>
        <v>0</v>
      </c>
      <c r="GM7" s="215">
        <f t="shared" si="101"/>
        <v>0</v>
      </c>
      <c r="GN7" s="215">
        <f t="shared" si="102"/>
        <v>0</v>
      </c>
      <c r="GO7" s="215">
        <f t="shared" si="103"/>
        <v>0</v>
      </c>
      <c r="GP7" s="215">
        <f t="shared" si="104"/>
        <v>0</v>
      </c>
      <c r="GQ7" s="215">
        <f t="shared" si="105"/>
        <v>0</v>
      </c>
      <c r="GR7" s="215">
        <f t="shared" si="106"/>
        <v>0</v>
      </c>
      <c r="GS7" s="215">
        <f t="shared" si="121"/>
        <v>0</v>
      </c>
      <c r="GT7" s="215">
        <f t="shared" si="122"/>
        <v>0</v>
      </c>
      <c r="GU7" s="215">
        <f t="shared" si="123"/>
        <v>0</v>
      </c>
      <c r="GV7" s="215">
        <f t="shared" si="124"/>
        <v>0</v>
      </c>
      <c r="GW7" s="215">
        <f t="shared" si="125"/>
        <v>0</v>
      </c>
      <c r="GX7" s="215">
        <f t="shared" si="126"/>
        <v>0</v>
      </c>
      <c r="GY7" s="215">
        <f t="shared" si="127"/>
        <v>0</v>
      </c>
      <c r="GZ7" s="215">
        <f t="shared" si="128"/>
        <v>0</v>
      </c>
      <c r="HA7" s="215">
        <f t="shared" si="129"/>
        <v>0</v>
      </c>
      <c r="HB7" s="215">
        <f t="shared" si="130"/>
        <v>0</v>
      </c>
      <c r="HC7" s="215">
        <f t="shared" si="131"/>
        <v>0</v>
      </c>
      <c r="HD7" s="215">
        <f t="shared" si="132"/>
        <v>0</v>
      </c>
      <c r="HE7" s="215">
        <f t="shared" si="133"/>
        <v>0</v>
      </c>
      <c r="HF7" s="215">
        <f t="shared" si="134"/>
        <v>0</v>
      </c>
      <c r="HG7" s="215">
        <f t="shared" si="135"/>
        <v>0</v>
      </c>
      <c r="HH7" s="215">
        <f t="shared" si="136"/>
        <v>0</v>
      </c>
      <c r="HI7" s="215">
        <f t="shared" si="137"/>
        <v>0</v>
      </c>
      <c r="HJ7" s="215">
        <f t="shared" si="138"/>
        <v>0</v>
      </c>
      <c r="HK7" s="215">
        <f t="shared" si="139"/>
        <v>0</v>
      </c>
      <c r="HL7" s="211">
        <f t="shared" si="140"/>
        <v>0</v>
      </c>
      <c r="HM7" s="51">
        <f t="shared" si="141"/>
        <v>0</v>
      </c>
    </row>
    <row r="8" spans="1:221">
      <c r="A8" s="49" t="s">
        <v>21</v>
      </c>
      <c r="B8" s="51">
        <v>8.6198428571428565</v>
      </c>
      <c r="C8" s="51" t="s">
        <v>277</v>
      </c>
      <c r="D8" s="51">
        <f t="shared" si="0"/>
        <v>0</v>
      </c>
      <c r="E8" s="51" t="str">
        <f t="shared" si="1"/>
        <v/>
      </c>
      <c r="F8" s="51">
        <v>10.106842857142857</v>
      </c>
      <c r="G8" s="51" t="s">
        <v>277</v>
      </c>
      <c r="H8" s="51">
        <f t="shared" si="2"/>
        <v>0</v>
      </c>
      <c r="I8" s="51" t="str">
        <f t="shared" si="3"/>
        <v/>
      </c>
      <c r="J8" s="51">
        <v>10.483042857142857</v>
      </c>
      <c r="K8" s="51" t="s">
        <v>277</v>
      </c>
      <c r="L8" s="51">
        <f t="shared" si="4"/>
        <v>0</v>
      </c>
      <c r="M8" s="51" t="str">
        <f t="shared" si="5"/>
        <v/>
      </c>
      <c r="N8" s="51">
        <v>10.141042857142857</v>
      </c>
      <c r="O8" s="51" t="s">
        <v>277</v>
      </c>
      <c r="P8" s="51">
        <f t="shared" si="6"/>
        <v>0</v>
      </c>
      <c r="Q8" s="51" t="str">
        <f t="shared" si="7"/>
        <v/>
      </c>
      <c r="R8" s="51">
        <v>10.226542857142856</v>
      </c>
      <c r="S8" s="51" t="s">
        <v>277</v>
      </c>
      <c r="T8" s="51">
        <f t="shared" si="8"/>
        <v>0</v>
      </c>
      <c r="U8" s="51" t="str">
        <f t="shared" si="9"/>
        <v/>
      </c>
      <c r="V8" s="51">
        <v>10.773742857142858</v>
      </c>
      <c r="W8" s="51" t="s">
        <v>277</v>
      </c>
      <c r="X8" s="51">
        <f t="shared" si="10"/>
        <v>0</v>
      </c>
      <c r="Y8" s="51" t="str">
        <f t="shared" si="11"/>
        <v/>
      </c>
      <c r="Z8" s="51">
        <v>10.739542857142858</v>
      </c>
      <c r="AA8" s="51" t="s">
        <v>277</v>
      </c>
      <c r="AB8" s="51">
        <f t="shared" si="12"/>
        <v>0</v>
      </c>
      <c r="AC8" s="51" t="str">
        <f t="shared" si="13"/>
        <v/>
      </c>
      <c r="AD8" s="51">
        <v>11.115742857142857</v>
      </c>
      <c r="AE8" s="51" t="s">
        <v>277</v>
      </c>
      <c r="AF8" s="51">
        <f t="shared" si="14"/>
        <v>0</v>
      </c>
      <c r="AG8" s="51" t="str">
        <f t="shared" si="15"/>
        <v/>
      </c>
      <c r="AH8" s="51">
        <v>10.944742857142858</v>
      </c>
      <c r="AI8" s="51" t="s">
        <v>277</v>
      </c>
      <c r="AJ8" s="51">
        <f t="shared" si="16"/>
        <v>0</v>
      </c>
      <c r="AK8" s="51" t="str">
        <f t="shared" si="17"/>
        <v/>
      </c>
      <c r="AL8" s="51">
        <v>12.654742857142857</v>
      </c>
      <c r="AM8" s="51" t="s">
        <v>277</v>
      </c>
      <c r="AN8" s="51">
        <f t="shared" si="18"/>
        <v>0</v>
      </c>
      <c r="AO8" s="51" t="str">
        <f t="shared" si="19"/>
        <v/>
      </c>
      <c r="AP8" s="51">
        <v>11.286742857142858</v>
      </c>
      <c r="AQ8" s="51" t="s">
        <v>277</v>
      </c>
      <c r="AR8" s="51">
        <f t="shared" si="20"/>
        <v>0</v>
      </c>
      <c r="AS8" s="51" t="str">
        <f t="shared" si="21"/>
        <v/>
      </c>
      <c r="AT8" s="51">
        <v>18.429557142857142</v>
      </c>
      <c r="AU8" s="51" t="s">
        <v>277</v>
      </c>
      <c r="AV8" s="51">
        <f t="shared" si="22"/>
        <v>0</v>
      </c>
      <c r="AW8" s="51" t="str">
        <f t="shared" si="23"/>
        <v/>
      </c>
      <c r="AX8" s="51">
        <v>17.374342857142857</v>
      </c>
      <c r="AY8" s="51" t="s">
        <v>277</v>
      </c>
      <c r="AZ8" s="51">
        <f t="shared" si="24"/>
        <v>0</v>
      </c>
      <c r="BA8" s="51" t="str">
        <f t="shared" si="25"/>
        <v/>
      </c>
      <c r="BB8" s="51">
        <v>13.697842857142858</v>
      </c>
      <c r="BC8" s="51" t="s">
        <v>277</v>
      </c>
      <c r="BD8" s="51">
        <f t="shared" si="107"/>
        <v>0</v>
      </c>
      <c r="BE8" s="51" t="str">
        <f t="shared" si="108"/>
        <v/>
      </c>
      <c r="BF8" s="51">
        <v>12.774442857142859</v>
      </c>
      <c r="BG8" s="51" t="s">
        <v>277</v>
      </c>
      <c r="BH8" s="51">
        <f t="shared" si="28"/>
        <v>0</v>
      </c>
      <c r="BI8" s="51" t="str">
        <f t="shared" si="29"/>
        <v/>
      </c>
      <c r="BJ8" s="51">
        <v>12.996742857142857</v>
      </c>
      <c r="BK8" s="51" t="s">
        <v>277</v>
      </c>
      <c r="BL8" s="51">
        <f t="shared" si="30"/>
        <v>0</v>
      </c>
      <c r="BM8" s="51" t="str">
        <f t="shared" si="31"/>
        <v/>
      </c>
      <c r="BN8" s="51">
        <v>13.082242857142857</v>
      </c>
      <c r="BO8" s="51" t="s">
        <v>277</v>
      </c>
      <c r="BP8" s="51">
        <f t="shared" si="32"/>
        <v>0</v>
      </c>
      <c r="BQ8" s="51" t="str">
        <f t="shared" si="33"/>
        <v/>
      </c>
      <c r="BR8" s="51">
        <v>15.818242857142858</v>
      </c>
      <c r="BS8" s="51" t="s">
        <v>277</v>
      </c>
      <c r="BT8" s="51">
        <f t="shared" si="34"/>
        <v>0</v>
      </c>
      <c r="BU8" s="51" t="str">
        <f t="shared" si="35"/>
        <v/>
      </c>
      <c r="BV8" s="51">
        <v>13.851742857142858</v>
      </c>
      <c r="BW8" s="51" t="s">
        <v>277</v>
      </c>
      <c r="BX8" s="51">
        <f t="shared" si="109"/>
        <v>0</v>
      </c>
      <c r="BY8" s="51" t="str">
        <f t="shared" si="110"/>
        <v/>
      </c>
      <c r="BZ8" s="51">
        <v>13.595242857142857</v>
      </c>
      <c r="CA8" s="51" t="s">
        <v>277</v>
      </c>
      <c r="CB8" s="51">
        <f t="shared" si="111"/>
        <v>0</v>
      </c>
      <c r="CC8" s="51" t="str">
        <f t="shared" si="112"/>
        <v/>
      </c>
      <c r="CD8" s="51">
        <v>12.740242857142857</v>
      </c>
      <c r="CE8" s="51" t="s">
        <v>277</v>
      </c>
      <c r="CF8" s="51">
        <f t="shared" si="40"/>
        <v>0</v>
      </c>
      <c r="CG8" s="51" t="str">
        <f t="shared" si="41"/>
        <v/>
      </c>
      <c r="CH8" s="51">
        <v>15.031642857142856</v>
      </c>
      <c r="CI8" s="51" t="s">
        <v>277</v>
      </c>
      <c r="CJ8" s="51">
        <f t="shared" si="42"/>
        <v>0</v>
      </c>
      <c r="CK8" s="51" t="str">
        <f t="shared" si="43"/>
        <v/>
      </c>
      <c r="CL8" s="51">
        <v>16.177342857142854</v>
      </c>
      <c r="CM8" s="51" t="s">
        <v>277</v>
      </c>
      <c r="CN8" s="51">
        <f t="shared" si="113"/>
        <v>0</v>
      </c>
      <c r="CO8" s="51" t="str">
        <f t="shared" si="114"/>
        <v/>
      </c>
      <c r="CP8" s="51">
        <v>16.792942857142855</v>
      </c>
      <c r="CQ8" s="51" t="s">
        <v>277</v>
      </c>
      <c r="CR8" s="51">
        <f t="shared" si="46"/>
        <v>0</v>
      </c>
      <c r="CS8" s="51" t="str">
        <f t="shared" si="47"/>
        <v/>
      </c>
      <c r="CT8" s="51">
        <v>13.869542857142861</v>
      </c>
      <c r="CU8" s="230" t="s">
        <v>277</v>
      </c>
      <c r="CV8" s="51">
        <f t="shared" si="48"/>
        <v>0</v>
      </c>
      <c r="CW8" s="51" t="str">
        <f t="shared" si="49"/>
        <v/>
      </c>
      <c r="CX8" s="51">
        <v>14.758042857142858</v>
      </c>
      <c r="CY8" s="230" t="s">
        <v>277</v>
      </c>
      <c r="CZ8" s="51">
        <f t="shared" si="115"/>
        <v>0</v>
      </c>
      <c r="DA8" s="51" t="str">
        <f t="shared" si="116"/>
        <v/>
      </c>
      <c r="DB8" s="51">
        <v>13.732042857142858</v>
      </c>
      <c r="DC8" s="230" t="s">
        <v>277</v>
      </c>
      <c r="DD8" s="51">
        <f t="shared" si="52"/>
        <v>0</v>
      </c>
      <c r="DE8" s="51" t="str">
        <f t="shared" si="53"/>
        <v/>
      </c>
      <c r="DF8" s="51">
        <v>15.356542857142859</v>
      </c>
      <c r="DG8" s="230" t="s">
        <v>277</v>
      </c>
      <c r="DH8" s="51">
        <f t="shared" si="54"/>
        <v>0</v>
      </c>
      <c r="DI8" s="51" t="str">
        <f t="shared" si="55"/>
        <v/>
      </c>
      <c r="DJ8" s="51">
        <v>18.520042857142855</v>
      </c>
      <c r="DK8" s="51" t="s">
        <v>277</v>
      </c>
      <c r="DL8" s="51">
        <f t="shared" si="56"/>
        <v>0</v>
      </c>
      <c r="DM8" s="51" t="str">
        <f t="shared" si="57"/>
        <v/>
      </c>
      <c r="DN8" s="51">
        <v>15.100042857142858</v>
      </c>
      <c r="DO8" s="51" t="s">
        <v>277</v>
      </c>
      <c r="DP8" s="51">
        <f t="shared" si="58"/>
        <v>0</v>
      </c>
      <c r="DQ8" s="51" t="str">
        <f t="shared" si="59"/>
        <v/>
      </c>
      <c r="DR8" s="51">
        <v>15.100042857142858</v>
      </c>
      <c r="DS8" s="51" t="s">
        <v>277</v>
      </c>
      <c r="DT8" s="51">
        <f t="shared" si="60"/>
        <v>0</v>
      </c>
      <c r="DU8" s="51" t="str">
        <f t="shared" si="61"/>
        <v/>
      </c>
      <c r="DV8" s="51">
        <v>14.758042857142858</v>
      </c>
      <c r="DW8" s="230" t="s">
        <v>277</v>
      </c>
      <c r="DX8" s="51">
        <f t="shared" si="62"/>
        <v>0</v>
      </c>
      <c r="DY8" s="51" t="str">
        <f t="shared" si="63"/>
        <v/>
      </c>
      <c r="DZ8" s="51">
        <v>14.946142857142856</v>
      </c>
      <c r="EA8" s="51" t="s">
        <v>277</v>
      </c>
      <c r="EB8" s="51">
        <f t="shared" si="64"/>
        <v>0</v>
      </c>
      <c r="EC8" s="51" t="str">
        <f t="shared" si="65"/>
        <v/>
      </c>
      <c r="ED8" s="51">
        <v>18.024142857142856</v>
      </c>
      <c r="EE8" s="51" t="s">
        <v>277</v>
      </c>
      <c r="EF8" s="51">
        <f t="shared" si="66"/>
        <v>0</v>
      </c>
      <c r="EG8" s="51" t="str">
        <f t="shared" si="67"/>
        <v/>
      </c>
      <c r="EH8" s="51">
        <v>14.176642857142857</v>
      </c>
      <c r="EI8" s="230" t="s">
        <v>277</v>
      </c>
      <c r="EJ8" s="250">
        <f t="shared" si="68"/>
        <v>0</v>
      </c>
      <c r="EK8" s="51" t="str">
        <f t="shared" si="69"/>
        <v/>
      </c>
      <c r="EL8" s="51">
        <v>17.682142857142857</v>
      </c>
      <c r="EM8" s="250" t="s">
        <v>277</v>
      </c>
      <c r="EN8" s="230">
        <f t="shared" si="70"/>
        <v>0</v>
      </c>
      <c r="EO8" s="51" t="str">
        <f t="shared" si="71"/>
        <v/>
      </c>
      <c r="EP8" s="51">
        <v>17.144214285714288</v>
      </c>
      <c r="EQ8" s="230" t="s">
        <v>277</v>
      </c>
      <c r="ER8" s="51">
        <f t="shared" si="72"/>
        <v>0</v>
      </c>
      <c r="ES8" s="51" t="str">
        <f t="shared" si="73"/>
        <v/>
      </c>
      <c r="ET8" s="51">
        <v>17.999214285714288</v>
      </c>
      <c r="EU8" s="230" t="s">
        <v>277</v>
      </c>
      <c r="EV8" s="51">
        <f t="shared" si="117"/>
        <v>0</v>
      </c>
      <c r="EW8" s="51" t="str">
        <f t="shared" si="75"/>
        <v/>
      </c>
      <c r="EX8" s="51">
        <v>17.913714285714285</v>
      </c>
      <c r="EY8" s="51" t="s">
        <v>277</v>
      </c>
      <c r="EZ8" s="51">
        <f t="shared" si="76"/>
        <v>0</v>
      </c>
      <c r="FA8" s="51" t="str">
        <f t="shared" si="77"/>
        <v/>
      </c>
      <c r="FB8" s="51">
        <v>17.229714285714287</v>
      </c>
      <c r="FC8" s="51" t="s">
        <v>277</v>
      </c>
      <c r="FD8" s="51">
        <f t="shared" si="78"/>
        <v>0</v>
      </c>
      <c r="FE8" s="51" t="str">
        <f t="shared" si="79"/>
        <v/>
      </c>
      <c r="FF8" s="51">
        <v>20.957514285714286</v>
      </c>
      <c r="FG8" s="51" t="s">
        <v>277</v>
      </c>
      <c r="FH8" s="51">
        <f t="shared" si="80"/>
        <v>0</v>
      </c>
      <c r="FI8" s="51" t="str">
        <f t="shared" si="81"/>
        <v/>
      </c>
      <c r="FJ8" s="51">
        <v>18.768714285714285</v>
      </c>
      <c r="FK8" s="230" t="s">
        <v>277</v>
      </c>
      <c r="FL8" s="51">
        <f t="shared" si="82"/>
        <v>0</v>
      </c>
      <c r="FM8" s="51" t="str">
        <f t="shared" si="83"/>
        <v/>
      </c>
      <c r="FN8" s="51">
        <v>17.028078571428573</v>
      </c>
      <c r="FO8" s="51"/>
      <c r="FP8" s="51"/>
      <c r="FQ8" s="51"/>
      <c r="FR8" s="51">
        <f t="shared" si="118"/>
        <v>0</v>
      </c>
      <c r="FS8" s="14">
        <f t="shared" si="119"/>
        <v>0</v>
      </c>
      <c r="FT8">
        <f t="shared" si="120"/>
        <v>0</v>
      </c>
      <c r="FV8" s="215">
        <f t="shared" si="84"/>
        <v>0</v>
      </c>
      <c r="FW8" s="215">
        <f t="shared" si="85"/>
        <v>0</v>
      </c>
      <c r="FX8" s="215">
        <f t="shared" si="86"/>
        <v>0</v>
      </c>
      <c r="FY8" s="215">
        <f t="shared" si="87"/>
        <v>0</v>
      </c>
      <c r="FZ8" s="215">
        <f t="shared" si="88"/>
        <v>0</v>
      </c>
      <c r="GA8" s="215">
        <f t="shared" si="89"/>
        <v>0</v>
      </c>
      <c r="GB8" s="215">
        <f t="shared" si="90"/>
        <v>0</v>
      </c>
      <c r="GC8" s="215">
        <f t="shared" si="91"/>
        <v>0</v>
      </c>
      <c r="GD8" s="215">
        <f t="shared" si="92"/>
        <v>0</v>
      </c>
      <c r="GE8" s="215">
        <f t="shared" si="93"/>
        <v>0</v>
      </c>
      <c r="GF8" s="215">
        <f t="shared" si="94"/>
        <v>0</v>
      </c>
      <c r="GG8" s="215">
        <f t="shared" si="95"/>
        <v>0</v>
      </c>
      <c r="GH8" s="215">
        <f t="shared" si="96"/>
        <v>0</v>
      </c>
      <c r="GI8" s="215">
        <f t="shared" si="97"/>
        <v>0</v>
      </c>
      <c r="GJ8" s="215">
        <f t="shared" si="98"/>
        <v>0</v>
      </c>
      <c r="GK8" s="215">
        <f t="shared" si="99"/>
        <v>0</v>
      </c>
      <c r="GL8" s="215">
        <f t="shared" si="100"/>
        <v>0</v>
      </c>
      <c r="GM8" s="215">
        <f t="shared" si="101"/>
        <v>0</v>
      </c>
      <c r="GN8" s="215">
        <f t="shared" si="102"/>
        <v>0</v>
      </c>
      <c r="GO8" s="215">
        <f t="shared" si="103"/>
        <v>0</v>
      </c>
      <c r="GP8" s="215">
        <f t="shared" si="104"/>
        <v>0</v>
      </c>
      <c r="GQ8" s="215">
        <f t="shared" si="105"/>
        <v>0</v>
      </c>
      <c r="GR8" s="215">
        <f t="shared" si="106"/>
        <v>0</v>
      </c>
      <c r="GS8" s="215">
        <f t="shared" si="121"/>
        <v>0</v>
      </c>
      <c r="GT8" s="215">
        <f t="shared" si="122"/>
        <v>0</v>
      </c>
      <c r="GU8" s="215">
        <f t="shared" si="123"/>
        <v>0</v>
      </c>
      <c r="GV8" s="215">
        <f t="shared" si="124"/>
        <v>0</v>
      </c>
      <c r="GW8" s="215">
        <f t="shared" si="125"/>
        <v>0</v>
      </c>
      <c r="GX8" s="215">
        <f t="shared" si="126"/>
        <v>0</v>
      </c>
      <c r="GY8" s="215">
        <f t="shared" si="127"/>
        <v>0</v>
      </c>
      <c r="GZ8" s="215">
        <f t="shared" si="128"/>
        <v>0</v>
      </c>
      <c r="HA8" s="215">
        <f t="shared" si="129"/>
        <v>0</v>
      </c>
      <c r="HB8" s="215">
        <f t="shared" si="130"/>
        <v>0</v>
      </c>
      <c r="HC8" s="215">
        <f t="shared" si="131"/>
        <v>0</v>
      </c>
      <c r="HD8" s="215">
        <f t="shared" si="132"/>
        <v>0</v>
      </c>
      <c r="HE8" s="215">
        <f t="shared" si="133"/>
        <v>0</v>
      </c>
      <c r="HF8" s="215">
        <f t="shared" si="134"/>
        <v>0</v>
      </c>
      <c r="HG8" s="215">
        <f t="shared" si="135"/>
        <v>0</v>
      </c>
      <c r="HH8" s="215">
        <f t="shared" si="136"/>
        <v>0</v>
      </c>
      <c r="HI8" s="215">
        <f t="shared" si="137"/>
        <v>0</v>
      </c>
      <c r="HJ8" s="215">
        <f t="shared" si="138"/>
        <v>0</v>
      </c>
      <c r="HK8" s="215">
        <f t="shared" si="139"/>
        <v>0</v>
      </c>
      <c r="HL8" s="211">
        <f t="shared" si="140"/>
        <v>0</v>
      </c>
      <c r="HM8" s="51">
        <f t="shared" si="141"/>
        <v>0</v>
      </c>
    </row>
    <row r="9" spans="1:221">
      <c r="A9" s="49" t="s">
        <v>23</v>
      </c>
      <c r="B9" s="51">
        <v>8.6198428571428565</v>
      </c>
      <c r="C9" s="51" t="s">
        <v>277</v>
      </c>
      <c r="D9" s="51">
        <f t="shared" si="0"/>
        <v>0</v>
      </c>
      <c r="E9" s="51" t="str">
        <f t="shared" si="1"/>
        <v/>
      </c>
      <c r="F9" s="51">
        <v>10.106842857142857</v>
      </c>
      <c r="G9" s="51" t="s">
        <v>277</v>
      </c>
      <c r="H9" s="51">
        <f t="shared" si="2"/>
        <v>0</v>
      </c>
      <c r="I9" s="51" t="str">
        <f t="shared" si="3"/>
        <v/>
      </c>
      <c r="J9" s="51">
        <v>10.483042857142857</v>
      </c>
      <c r="K9" s="51" t="s">
        <v>277</v>
      </c>
      <c r="L9" s="51">
        <f t="shared" si="4"/>
        <v>0</v>
      </c>
      <c r="M9" s="51" t="str">
        <f t="shared" si="5"/>
        <v/>
      </c>
      <c r="N9" s="51">
        <v>10.141042857142857</v>
      </c>
      <c r="O9" s="51" t="s">
        <v>277</v>
      </c>
      <c r="P9" s="51">
        <f t="shared" si="6"/>
        <v>0</v>
      </c>
      <c r="Q9" s="51" t="str">
        <f t="shared" si="7"/>
        <v/>
      </c>
      <c r="R9" s="51">
        <v>10.226542857142856</v>
      </c>
      <c r="S9" s="51" t="s">
        <v>277</v>
      </c>
      <c r="T9" s="51">
        <f t="shared" si="8"/>
        <v>0</v>
      </c>
      <c r="U9" s="51" t="str">
        <f t="shared" si="9"/>
        <v/>
      </c>
      <c r="V9" s="51">
        <v>10.773742857142858</v>
      </c>
      <c r="W9" s="51" t="s">
        <v>277</v>
      </c>
      <c r="X9" s="51">
        <f t="shared" si="10"/>
        <v>0</v>
      </c>
      <c r="Y9" s="51" t="str">
        <f t="shared" si="11"/>
        <v/>
      </c>
      <c r="Z9" s="51">
        <v>10.739542857142858</v>
      </c>
      <c r="AA9" s="51" t="s">
        <v>277</v>
      </c>
      <c r="AB9" s="51">
        <f t="shared" si="12"/>
        <v>0</v>
      </c>
      <c r="AC9" s="51" t="str">
        <f t="shared" si="13"/>
        <v/>
      </c>
      <c r="AD9" s="51">
        <v>11.115742857142857</v>
      </c>
      <c r="AE9" s="51" t="s">
        <v>277</v>
      </c>
      <c r="AF9" s="51">
        <f t="shared" si="14"/>
        <v>0</v>
      </c>
      <c r="AG9" s="51" t="str">
        <f t="shared" si="15"/>
        <v/>
      </c>
      <c r="AH9" s="51">
        <v>10.944742857142858</v>
      </c>
      <c r="AI9" s="51" t="s">
        <v>277</v>
      </c>
      <c r="AJ9" s="51">
        <f t="shared" si="16"/>
        <v>0</v>
      </c>
      <c r="AK9" s="51" t="str">
        <f t="shared" si="17"/>
        <v/>
      </c>
      <c r="AL9" s="51">
        <v>12.654742857142857</v>
      </c>
      <c r="AM9" s="51" t="s">
        <v>277</v>
      </c>
      <c r="AN9" s="51">
        <f t="shared" si="18"/>
        <v>0</v>
      </c>
      <c r="AO9" s="51" t="str">
        <f t="shared" si="19"/>
        <v/>
      </c>
      <c r="AP9" s="51">
        <v>11.286742857142858</v>
      </c>
      <c r="AQ9" s="51" t="s">
        <v>277</v>
      </c>
      <c r="AR9" s="51">
        <f t="shared" si="20"/>
        <v>0</v>
      </c>
      <c r="AS9" s="51" t="str">
        <f t="shared" si="21"/>
        <v/>
      </c>
      <c r="AT9" s="51">
        <v>18.429557142857142</v>
      </c>
      <c r="AU9" s="51" t="s">
        <v>277</v>
      </c>
      <c r="AV9" s="51">
        <f t="shared" si="22"/>
        <v>0</v>
      </c>
      <c r="AW9" s="51" t="str">
        <f t="shared" si="23"/>
        <v/>
      </c>
      <c r="AX9" s="51">
        <v>17.374342857142857</v>
      </c>
      <c r="AY9" s="51" t="s">
        <v>277</v>
      </c>
      <c r="AZ9" s="51">
        <f t="shared" si="24"/>
        <v>0</v>
      </c>
      <c r="BA9" s="51" t="str">
        <f t="shared" si="25"/>
        <v/>
      </c>
      <c r="BB9" s="51">
        <v>13.697842857142858</v>
      </c>
      <c r="BC9" s="51" t="s">
        <v>277</v>
      </c>
      <c r="BD9" s="51">
        <f t="shared" si="107"/>
        <v>0</v>
      </c>
      <c r="BE9" s="51" t="str">
        <f t="shared" si="108"/>
        <v/>
      </c>
      <c r="BF9" s="51">
        <v>12.774442857142859</v>
      </c>
      <c r="BG9" s="51" t="s">
        <v>277</v>
      </c>
      <c r="BH9" s="51">
        <f t="shared" si="28"/>
        <v>0</v>
      </c>
      <c r="BI9" s="51" t="str">
        <f t="shared" si="29"/>
        <v/>
      </c>
      <c r="BJ9" s="51">
        <v>12.996742857142857</v>
      </c>
      <c r="BK9" s="51" t="s">
        <v>277</v>
      </c>
      <c r="BL9" s="51">
        <f t="shared" si="30"/>
        <v>0</v>
      </c>
      <c r="BM9" s="51" t="str">
        <f t="shared" si="31"/>
        <v/>
      </c>
      <c r="BN9" s="51">
        <v>13.082242857142857</v>
      </c>
      <c r="BO9" s="51" t="s">
        <v>277</v>
      </c>
      <c r="BP9" s="51">
        <f t="shared" si="32"/>
        <v>0</v>
      </c>
      <c r="BQ9" s="51" t="str">
        <f t="shared" si="33"/>
        <v/>
      </c>
      <c r="BR9" s="51">
        <v>15.818242857142858</v>
      </c>
      <c r="BS9" s="51" t="s">
        <v>277</v>
      </c>
      <c r="BT9" s="51">
        <f t="shared" si="34"/>
        <v>0</v>
      </c>
      <c r="BU9" s="51" t="str">
        <f t="shared" si="35"/>
        <v/>
      </c>
      <c r="BV9" s="51">
        <v>13.851742857142858</v>
      </c>
      <c r="BW9" s="51" t="s">
        <v>277</v>
      </c>
      <c r="BX9" s="51">
        <f t="shared" si="109"/>
        <v>0</v>
      </c>
      <c r="BY9" s="51" t="str">
        <f t="shared" si="110"/>
        <v/>
      </c>
      <c r="BZ9" s="51">
        <v>13.595242857142857</v>
      </c>
      <c r="CA9" s="51" t="s">
        <v>277</v>
      </c>
      <c r="CB9" s="51">
        <f t="shared" si="111"/>
        <v>0</v>
      </c>
      <c r="CC9" s="51" t="str">
        <f t="shared" si="112"/>
        <v/>
      </c>
      <c r="CD9" s="51">
        <v>12.740242857142857</v>
      </c>
      <c r="CE9" s="51" t="s">
        <v>277</v>
      </c>
      <c r="CF9" s="51">
        <f t="shared" si="40"/>
        <v>0</v>
      </c>
      <c r="CG9" s="51" t="str">
        <f t="shared" si="41"/>
        <v/>
      </c>
      <c r="CH9" s="51">
        <v>15.031642857142856</v>
      </c>
      <c r="CI9" s="51" t="s">
        <v>277</v>
      </c>
      <c r="CJ9" s="51">
        <f t="shared" si="42"/>
        <v>0</v>
      </c>
      <c r="CK9" s="51" t="str">
        <f t="shared" si="43"/>
        <v/>
      </c>
      <c r="CL9" s="51">
        <v>16.177342857142854</v>
      </c>
      <c r="CM9" s="51" t="s">
        <v>277</v>
      </c>
      <c r="CN9" s="51">
        <f t="shared" si="113"/>
        <v>0</v>
      </c>
      <c r="CO9" s="51" t="str">
        <f t="shared" si="114"/>
        <v/>
      </c>
      <c r="CP9" s="51">
        <v>16.792942857142855</v>
      </c>
      <c r="CQ9" s="51" t="s">
        <v>277</v>
      </c>
      <c r="CR9" s="51">
        <f t="shared" si="46"/>
        <v>0</v>
      </c>
      <c r="CS9" s="51" t="str">
        <f t="shared" si="47"/>
        <v/>
      </c>
      <c r="CT9" s="51">
        <v>13.869542857142861</v>
      </c>
      <c r="CU9" s="230" t="s">
        <v>277</v>
      </c>
      <c r="CV9" s="51">
        <f t="shared" si="48"/>
        <v>0</v>
      </c>
      <c r="CW9" s="51" t="str">
        <f t="shared" si="49"/>
        <v/>
      </c>
      <c r="CX9" s="51">
        <v>14.758042857142858</v>
      </c>
      <c r="CY9" s="230" t="s">
        <v>277</v>
      </c>
      <c r="CZ9" s="51">
        <f t="shared" si="115"/>
        <v>0</v>
      </c>
      <c r="DA9" s="51" t="str">
        <f t="shared" si="116"/>
        <v/>
      </c>
      <c r="DB9" s="51">
        <v>13.732042857142858</v>
      </c>
      <c r="DC9" s="230" t="s">
        <v>277</v>
      </c>
      <c r="DD9" s="51">
        <f t="shared" si="52"/>
        <v>0</v>
      </c>
      <c r="DE9" s="51" t="str">
        <f t="shared" si="53"/>
        <v/>
      </c>
      <c r="DF9" s="51">
        <v>15.356542857142859</v>
      </c>
      <c r="DG9" s="230" t="s">
        <v>277</v>
      </c>
      <c r="DH9" s="51">
        <f t="shared" si="54"/>
        <v>0</v>
      </c>
      <c r="DI9" s="51" t="str">
        <f t="shared" si="55"/>
        <v/>
      </c>
      <c r="DJ9" s="51">
        <v>18.520042857142855</v>
      </c>
      <c r="DK9" s="51" t="s">
        <v>277</v>
      </c>
      <c r="DL9" s="51">
        <f t="shared" si="56"/>
        <v>0</v>
      </c>
      <c r="DM9" s="51" t="str">
        <f t="shared" si="57"/>
        <v/>
      </c>
      <c r="DN9" s="51">
        <v>15.100042857142858</v>
      </c>
      <c r="DO9" s="51" t="s">
        <v>277</v>
      </c>
      <c r="DP9" s="51">
        <f t="shared" si="58"/>
        <v>0</v>
      </c>
      <c r="DQ9" s="51" t="str">
        <f t="shared" si="59"/>
        <v/>
      </c>
      <c r="DR9" s="51">
        <v>15.100042857142858</v>
      </c>
      <c r="DS9" s="51" t="s">
        <v>277</v>
      </c>
      <c r="DT9" s="51">
        <f t="shared" si="60"/>
        <v>0</v>
      </c>
      <c r="DU9" s="51" t="str">
        <f t="shared" si="61"/>
        <v/>
      </c>
      <c r="DV9" s="51">
        <v>14.758042857142858</v>
      </c>
      <c r="DW9" s="230" t="s">
        <v>277</v>
      </c>
      <c r="DX9" s="51">
        <f t="shared" si="62"/>
        <v>0</v>
      </c>
      <c r="DY9" s="51" t="str">
        <f t="shared" si="63"/>
        <v/>
      </c>
      <c r="DZ9" s="51">
        <v>14.946142857142856</v>
      </c>
      <c r="EA9" s="51" t="s">
        <v>277</v>
      </c>
      <c r="EB9" s="51">
        <f t="shared" si="64"/>
        <v>0</v>
      </c>
      <c r="EC9" s="51" t="str">
        <f t="shared" si="65"/>
        <v/>
      </c>
      <c r="ED9" s="51">
        <v>18.024142857142856</v>
      </c>
      <c r="EE9" s="51" t="s">
        <v>277</v>
      </c>
      <c r="EF9" s="51">
        <f t="shared" si="66"/>
        <v>0</v>
      </c>
      <c r="EG9" s="51" t="str">
        <f t="shared" si="67"/>
        <v/>
      </c>
      <c r="EH9" s="51">
        <v>14.176642857142857</v>
      </c>
      <c r="EI9" s="230" t="s">
        <v>277</v>
      </c>
      <c r="EJ9" s="250">
        <f t="shared" si="68"/>
        <v>0</v>
      </c>
      <c r="EK9" s="51" t="str">
        <f t="shared" si="69"/>
        <v/>
      </c>
      <c r="EL9" s="51">
        <v>17.682142857142857</v>
      </c>
      <c r="EM9" s="250" t="s">
        <v>277</v>
      </c>
      <c r="EN9" s="230">
        <f t="shared" si="70"/>
        <v>0</v>
      </c>
      <c r="EO9" s="51" t="str">
        <f t="shared" si="71"/>
        <v/>
      </c>
      <c r="EP9" s="51">
        <v>17.144214285714288</v>
      </c>
      <c r="EQ9" s="230" t="s">
        <v>277</v>
      </c>
      <c r="ER9" s="51">
        <f t="shared" si="72"/>
        <v>0</v>
      </c>
      <c r="ES9" s="51" t="str">
        <f t="shared" si="73"/>
        <v/>
      </c>
      <c r="ET9" s="51">
        <v>17.999214285714288</v>
      </c>
      <c r="EU9" s="230" t="s">
        <v>277</v>
      </c>
      <c r="EV9" s="51">
        <f t="shared" si="117"/>
        <v>0</v>
      </c>
      <c r="EW9" s="51" t="str">
        <f t="shared" si="75"/>
        <v/>
      </c>
      <c r="EX9" s="51">
        <v>17.913714285714285</v>
      </c>
      <c r="EY9" s="51" t="s">
        <v>277</v>
      </c>
      <c r="EZ9" s="51">
        <f t="shared" si="76"/>
        <v>0</v>
      </c>
      <c r="FA9" s="51" t="str">
        <f t="shared" si="77"/>
        <v/>
      </c>
      <c r="FB9" s="51">
        <v>17.229714285714287</v>
      </c>
      <c r="FC9" s="51" t="s">
        <v>277</v>
      </c>
      <c r="FD9" s="51">
        <f t="shared" si="78"/>
        <v>0</v>
      </c>
      <c r="FE9" s="51" t="str">
        <f t="shared" si="79"/>
        <v/>
      </c>
      <c r="FF9" s="51">
        <v>20.957514285714286</v>
      </c>
      <c r="FG9" s="51" t="s">
        <v>277</v>
      </c>
      <c r="FH9" s="51">
        <f t="shared" si="80"/>
        <v>0</v>
      </c>
      <c r="FI9" s="51" t="str">
        <f t="shared" si="81"/>
        <v/>
      </c>
      <c r="FJ9" s="51">
        <v>18.768714285714285</v>
      </c>
      <c r="FK9" s="230" t="s">
        <v>277</v>
      </c>
      <c r="FL9" s="51">
        <f t="shared" si="82"/>
        <v>0</v>
      </c>
      <c r="FM9" s="51" t="str">
        <f t="shared" si="83"/>
        <v/>
      </c>
      <c r="FN9" s="51">
        <v>17.028078571428573</v>
      </c>
      <c r="FO9" s="51"/>
      <c r="FP9" s="51"/>
      <c r="FQ9" s="51"/>
      <c r="FR9" s="51">
        <f t="shared" si="118"/>
        <v>0</v>
      </c>
      <c r="FS9" s="14">
        <f t="shared" si="119"/>
        <v>0</v>
      </c>
      <c r="FT9">
        <f t="shared" si="120"/>
        <v>0</v>
      </c>
      <c r="FV9" s="215">
        <f t="shared" si="84"/>
        <v>0</v>
      </c>
      <c r="FW9" s="215">
        <f t="shared" si="85"/>
        <v>0</v>
      </c>
      <c r="FX9" s="215">
        <f t="shared" si="86"/>
        <v>0</v>
      </c>
      <c r="FY9" s="215">
        <f t="shared" si="87"/>
        <v>0</v>
      </c>
      <c r="FZ9" s="215">
        <f t="shared" si="88"/>
        <v>0</v>
      </c>
      <c r="GA9" s="215">
        <f t="shared" si="89"/>
        <v>0</v>
      </c>
      <c r="GB9" s="215">
        <f t="shared" si="90"/>
        <v>0</v>
      </c>
      <c r="GC9" s="215">
        <f t="shared" si="91"/>
        <v>0</v>
      </c>
      <c r="GD9" s="215">
        <f t="shared" si="92"/>
        <v>0</v>
      </c>
      <c r="GE9" s="215">
        <f t="shared" si="93"/>
        <v>0</v>
      </c>
      <c r="GF9" s="215">
        <f t="shared" si="94"/>
        <v>0</v>
      </c>
      <c r="GG9" s="215">
        <f t="shared" si="95"/>
        <v>0</v>
      </c>
      <c r="GH9" s="215">
        <f t="shared" si="96"/>
        <v>0</v>
      </c>
      <c r="GI9" s="215">
        <f t="shared" si="97"/>
        <v>0</v>
      </c>
      <c r="GJ9" s="215">
        <f t="shared" si="98"/>
        <v>0</v>
      </c>
      <c r="GK9" s="215">
        <f t="shared" si="99"/>
        <v>0</v>
      </c>
      <c r="GL9" s="215">
        <f t="shared" si="100"/>
        <v>0</v>
      </c>
      <c r="GM9" s="215">
        <f t="shared" si="101"/>
        <v>0</v>
      </c>
      <c r="GN9" s="215">
        <f t="shared" si="102"/>
        <v>0</v>
      </c>
      <c r="GO9" s="215">
        <f t="shared" si="103"/>
        <v>0</v>
      </c>
      <c r="GP9" s="215">
        <f t="shared" si="104"/>
        <v>0</v>
      </c>
      <c r="GQ9" s="215">
        <f t="shared" si="105"/>
        <v>0</v>
      </c>
      <c r="GR9" s="215">
        <f t="shared" si="106"/>
        <v>0</v>
      </c>
      <c r="GS9" s="215">
        <f t="shared" si="121"/>
        <v>0</v>
      </c>
      <c r="GT9" s="215">
        <f t="shared" si="122"/>
        <v>0</v>
      </c>
      <c r="GU9" s="215">
        <f t="shared" si="123"/>
        <v>0</v>
      </c>
      <c r="GV9" s="215">
        <f t="shared" si="124"/>
        <v>0</v>
      </c>
      <c r="GW9" s="215">
        <f t="shared" si="125"/>
        <v>0</v>
      </c>
      <c r="GX9" s="215">
        <f t="shared" si="126"/>
        <v>0</v>
      </c>
      <c r="GY9" s="215">
        <f t="shared" si="127"/>
        <v>0</v>
      </c>
      <c r="GZ9" s="215">
        <f t="shared" si="128"/>
        <v>0</v>
      </c>
      <c r="HA9" s="215">
        <f t="shared" si="129"/>
        <v>0</v>
      </c>
      <c r="HB9" s="215">
        <f t="shared" si="130"/>
        <v>0</v>
      </c>
      <c r="HC9" s="215">
        <f t="shared" si="131"/>
        <v>0</v>
      </c>
      <c r="HD9" s="215">
        <f t="shared" si="132"/>
        <v>0</v>
      </c>
      <c r="HE9" s="215">
        <f t="shared" si="133"/>
        <v>0</v>
      </c>
      <c r="HF9" s="215">
        <f t="shared" si="134"/>
        <v>0</v>
      </c>
      <c r="HG9" s="215">
        <f t="shared" si="135"/>
        <v>0</v>
      </c>
      <c r="HH9" s="215">
        <f t="shared" si="136"/>
        <v>0</v>
      </c>
      <c r="HI9" s="215">
        <f t="shared" si="137"/>
        <v>0</v>
      </c>
      <c r="HJ9" s="215">
        <f t="shared" si="138"/>
        <v>0</v>
      </c>
      <c r="HK9" s="215">
        <f t="shared" si="139"/>
        <v>0</v>
      </c>
      <c r="HL9" s="211">
        <f t="shared" si="140"/>
        <v>0</v>
      </c>
      <c r="HM9" s="51">
        <f t="shared" si="141"/>
        <v>0</v>
      </c>
    </row>
    <row r="10" spans="1:221">
      <c r="A10" s="49" t="s">
        <v>25</v>
      </c>
      <c r="B10" s="51">
        <v>8.6198428571428565</v>
      </c>
      <c r="C10" s="51" t="s">
        <v>277</v>
      </c>
      <c r="D10" s="51">
        <f t="shared" si="0"/>
        <v>0</v>
      </c>
      <c r="E10" s="51" t="str">
        <f t="shared" si="1"/>
        <v/>
      </c>
      <c r="F10" s="51">
        <v>10.106842857142857</v>
      </c>
      <c r="G10" s="51" t="s">
        <v>277</v>
      </c>
      <c r="H10" s="51">
        <f t="shared" si="2"/>
        <v>0</v>
      </c>
      <c r="I10" s="51" t="str">
        <f t="shared" si="3"/>
        <v/>
      </c>
      <c r="J10" s="51">
        <v>10.483042857142857</v>
      </c>
      <c r="K10" s="51" t="s">
        <v>277</v>
      </c>
      <c r="L10" s="51">
        <f t="shared" si="4"/>
        <v>0</v>
      </c>
      <c r="M10" s="51" t="str">
        <f t="shared" si="5"/>
        <v/>
      </c>
      <c r="N10" s="51">
        <v>10.141042857142857</v>
      </c>
      <c r="O10" s="51" t="s">
        <v>277</v>
      </c>
      <c r="P10" s="51">
        <f t="shared" si="6"/>
        <v>0</v>
      </c>
      <c r="Q10" s="51" t="str">
        <f t="shared" si="7"/>
        <v/>
      </c>
      <c r="R10" s="51">
        <v>10.226542857142856</v>
      </c>
      <c r="S10" s="51" t="s">
        <v>277</v>
      </c>
      <c r="T10" s="51">
        <f t="shared" si="8"/>
        <v>0</v>
      </c>
      <c r="U10" s="51" t="str">
        <f t="shared" si="9"/>
        <v/>
      </c>
      <c r="V10" s="51">
        <v>10.773742857142858</v>
      </c>
      <c r="W10" s="51" t="s">
        <v>277</v>
      </c>
      <c r="X10" s="51">
        <f t="shared" si="10"/>
        <v>0</v>
      </c>
      <c r="Y10" s="51" t="str">
        <f t="shared" si="11"/>
        <v/>
      </c>
      <c r="Z10" s="51">
        <v>10.739542857142858</v>
      </c>
      <c r="AA10" s="51" t="s">
        <v>277</v>
      </c>
      <c r="AB10" s="51">
        <f t="shared" si="12"/>
        <v>0</v>
      </c>
      <c r="AC10" s="51" t="str">
        <f t="shared" si="13"/>
        <v/>
      </c>
      <c r="AD10" s="51">
        <v>11.115742857142857</v>
      </c>
      <c r="AE10" s="51" t="s">
        <v>277</v>
      </c>
      <c r="AF10" s="51">
        <f t="shared" si="14"/>
        <v>0</v>
      </c>
      <c r="AG10" s="51" t="str">
        <f t="shared" si="15"/>
        <v/>
      </c>
      <c r="AH10" s="51">
        <v>10.944742857142858</v>
      </c>
      <c r="AI10" s="51" t="s">
        <v>277</v>
      </c>
      <c r="AJ10" s="51">
        <f t="shared" si="16"/>
        <v>0</v>
      </c>
      <c r="AK10" s="51" t="str">
        <f t="shared" si="17"/>
        <v/>
      </c>
      <c r="AL10" s="51">
        <v>12.654742857142857</v>
      </c>
      <c r="AM10" s="51" t="s">
        <v>277</v>
      </c>
      <c r="AN10" s="51">
        <f t="shared" si="18"/>
        <v>0</v>
      </c>
      <c r="AO10" s="51" t="str">
        <f t="shared" si="19"/>
        <v/>
      </c>
      <c r="AP10" s="51">
        <v>11.286742857142858</v>
      </c>
      <c r="AQ10" s="51" t="s">
        <v>277</v>
      </c>
      <c r="AR10" s="51">
        <f t="shared" si="20"/>
        <v>0</v>
      </c>
      <c r="AS10" s="51" t="str">
        <f t="shared" si="21"/>
        <v/>
      </c>
      <c r="AT10" s="51">
        <v>18.429557142857142</v>
      </c>
      <c r="AU10" s="51" t="s">
        <v>277</v>
      </c>
      <c r="AV10" s="51">
        <f t="shared" si="22"/>
        <v>0</v>
      </c>
      <c r="AW10" s="51" t="str">
        <f t="shared" si="23"/>
        <v/>
      </c>
      <c r="AX10" s="51">
        <v>17.374342857142857</v>
      </c>
      <c r="AY10" s="51" t="s">
        <v>277</v>
      </c>
      <c r="AZ10" s="51">
        <f t="shared" si="24"/>
        <v>0</v>
      </c>
      <c r="BA10" s="51" t="str">
        <f t="shared" si="25"/>
        <v/>
      </c>
      <c r="BB10" s="51">
        <v>13.697842857142858</v>
      </c>
      <c r="BC10" s="51" t="s">
        <v>277</v>
      </c>
      <c r="BD10" s="51">
        <f t="shared" si="107"/>
        <v>0</v>
      </c>
      <c r="BE10" s="51" t="str">
        <f t="shared" si="108"/>
        <v/>
      </c>
      <c r="BF10" s="51">
        <v>12.774442857142859</v>
      </c>
      <c r="BG10" s="51" t="s">
        <v>277</v>
      </c>
      <c r="BH10" s="51">
        <f t="shared" si="28"/>
        <v>0</v>
      </c>
      <c r="BI10" s="51" t="str">
        <f t="shared" si="29"/>
        <v/>
      </c>
      <c r="BJ10" s="51">
        <v>12.996742857142857</v>
      </c>
      <c r="BK10" s="51" t="s">
        <v>277</v>
      </c>
      <c r="BL10" s="51">
        <f t="shared" si="30"/>
        <v>0</v>
      </c>
      <c r="BM10" s="51" t="str">
        <f t="shared" si="31"/>
        <v/>
      </c>
      <c r="BN10" s="51">
        <v>13.082242857142857</v>
      </c>
      <c r="BO10" s="51" t="s">
        <v>277</v>
      </c>
      <c r="BP10" s="51">
        <f t="shared" si="32"/>
        <v>0</v>
      </c>
      <c r="BQ10" s="51" t="str">
        <f t="shared" si="33"/>
        <v/>
      </c>
      <c r="BR10" s="51">
        <v>15.818242857142858</v>
      </c>
      <c r="BS10" s="51" t="s">
        <v>277</v>
      </c>
      <c r="BT10" s="51">
        <f t="shared" si="34"/>
        <v>0</v>
      </c>
      <c r="BU10" s="51" t="str">
        <f t="shared" si="35"/>
        <v/>
      </c>
      <c r="BV10" s="51">
        <v>13.851742857142858</v>
      </c>
      <c r="BW10" s="51" t="s">
        <v>277</v>
      </c>
      <c r="BX10" s="51">
        <f t="shared" si="109"/>
        <v>0</v>
      </c>
      <c r="BY10" s="51" t="str">
        <f t="shared" si="110"/>
        <v/>
      </c>
      <c r="BZ10" s="51">
        <v>13.595242857142857</v>
      </c>
      <c r="CA10" s="51" t="s">
        <v>277</v>
      </c>
      <c r="CB10" s="51">
        <f t="shared" si="111"/>
        <v>0</v>
      </c>
      <c r="CC10" s="51" t="str">
        <f t="shared" si="112"/>
        <v/>
      </c>
      <c r="CD10" s="51">
        <v>12.740242857142857</v>
      </c>
      <c r="CE10" s="51" t="s">
        <v>277</v>
      </c>
      <c r="CF10" s="51">
        <f t="shared" si="40"/>
        <v>0</v>
      </c>
      <c r="CG10" s="51" t="str">
        <f t="shared" si="41"/>
        <v/>
      </c>
      <c r="CH10" s="51">
        <v>15.031642857142856</v>
      </c>
      <c r="CI10" s="51" t="s">
        <v>277</v>
      </c>
      <c r="CJ10" s="51">
        <f t="shared" si="42"/>
        <v>0</v>
      </c>
      <c r="CK10" s="51" t="str">
        <f t="shared" si="43"/>
        <v/>
      </c>
      <c r="CL10" s="51">
        <v>16.177342857142854</v>
      </c>
      <c r="CM10" s="51" t="s">
        <v>277</v>
      </c>
      <c r="CN10" s="51">
        <f t="shared" si="113"/>
        <v>0</v>
      </c>
      <c r="CO10" s="51" t="str">
        <f t="shared" si="114"/>
        <v/>
      </c>
      <c r="CP10" s="51">
        <v>16.792942857142855</v>
      </c>
      <c r="CQ10" s="51" t="s">
        <v>277</v>
      </c>
      <c r="CR10" s="51">
        <f t="shared" si="46"/>
        <v>0</v>
      </c>
      <c r="CS10" s="51" t="str">
        <f t="shared" si="47"/>
        <v/>
      </c>
      <c r="CT10" s="51">
        <v>13.869542857142861</v>
      </c>
      <c r="CU10" s="230" t="s">
        <v>277</v>
      </c>
      <c r="CV10" s="51">
        <f t="shared" si="48"/>
        <v>0</v>
      </c>
      <c r="CW10" s="51" t="str">
        <f t="shared" si="49"/>
        <v/>
      </c>
      <c r="CX10" s="51">
        <v>14.758042857142858</v>
      </c>
      <c r="CY10" s="230" t="s">
        <v>277</v>
      </c>
      <c r="CZ10" s="51">
        <f t="shared" si="115"/>
        <v>0</v>
      </c>
      <c r="DA10" s="51" t="str">
        <f t="shared" si="116"/>
        <v/>
      </c>
      <c r="DB10" s="51">
        <v>13.732042857142858</v>
      </c>
      <c r="DC10" s="230" t="s">
        <v>277</v>
      </c>
      <c r="DD10" s="51">
        <f t="shared" si="52"/>
        <v>0</v>
      </c>
      <c r="DE10" s="51" t="str">
        <f t="shared" si="53"/>
        <v/>
      </c>
      <c r="DF10" s="51">
        <v>15.356542857142859</v>
      </c>
      <c r="DG10" s="230" t="s">
        <v>277</v>
      </c>
      <c r="DH10" s="51">
        <f t="shared" si="54"/>
        <v>0</v>
      </c>
      <c r="DI10" s="51" t="str">
        <f t="shared" si="55"/>
        <v/>
      </c>
      <c r="DJ10" s="51">
        <v>18.520042857142855</v>
      </c>
      <c r="DK10" s="51" t="s">
        <v>277</v>
      </c>
      <c r="DL10" s="51">
        <f t="shared" si="56"/>
        <v>0</v>
      </c>
      <c r="DM10" s="51" t="str">
        <f t="shared" si="57"/>
        <v/>
      </c>
      <c r="DN10" s="51">
        <v>15.100042857142858</v>
      </c>
      <c r="DO10" s="51" t="s">
        <v>277</v>
      </c>
      <c r="DP10" s="51">
        <f t="shared" si="58"/>
        <v>0</v>
      </c>
      <c r="DQ10" s="51" t="str">
        <f t="shared" si="59"/>
        <v/>
      </c>
      <c r="DR10" s="51">
        <v>15.100042857142858</v>
      </c>
      <c r="DS10" s="51" t="s">
        <v>277</v>
      </c>
      <c r="DT10" s="51">
        <f t="shared" si="60"/>
        <v>0</v>
      </c>
      <c r="DU10" s="51" t="str">
        <f t="shared" si="61"/>
        <v/>
      </c>
      <c r="DV10" s="51">
        <v>14.758042857142858</v>
      </c>
      <c r="DW10" s="230" t="s">
        <v>277</v>
      </c>
      <c r="DX10" s="51">
        <f t="shared" si="62"/>
        <v>0</v>
      </c>
      <c r="DY10" s="51" t="str">
        <f t="shared" si="63"/>
        <v/>
      </c>
      <c r="DZ10" s="51">
        <v>14.946142857142856</v>
      </c>
      <c r="EA10" s="51" t="s">
        <v>277</v>
      </c>
      <c r="EB10" s="51">
        <f t="shared" si="64"/>
        <v>0</v>
      </c>
      <c r="EC10" s="51" t="str">
        <f t="shared" si="65"/>
        <v/>
      </c>
      <c r="ED10" s="51">
        <v>18.024142857142856</v>
      </c>
      <c r="EE10" s="51" t="s">
        <v>277</v>
      </c>
      <c r="EF10" s="51">
        <f t="shared" si="66"/>
        <v>0</v>
      </c>
      <c r="EG10" s="51" t="str">
        <f t="shared" si="67"/>
        <v/>
      </c>
      <c r="EH10" s="51">
        <v>14.176642857142857</v>
      </c>
      <c r="EI10" s="230" t="s">
        <v>277</v>
      </c>
      <c r="EJ10" s="250">
        <f t="shared" si="68"/>
        <v>0</v>
      </c>
      <c r="EK10" s="51" t="str">
        <f t="shared" si="69"/>
        <v/>
      </c>
      <c r="EL10" s="51">
        <v>17.682142857142857</v>
      </c>
      <c r="EM10" s="250" t="s">
        <v>277</v>
      </c>
      <c r="EN10" s="230">
        <f t="shared" si="70"/>
        <v>0</v>
      </c>
      <c r="EO10" s="51" t="str">
        <f t="shared" si="71"/>
        <v/>
      </c>
      <c r="EP10" s="51">
        <v>17.144214285714288</v>
      </c>
      <c r="EQ10" s="230" t="s">
        <v>277</v>
      </c>
      <c r="ER10" s="51">
        <f t="shared" si="72"/>
        <v>0</v>
      </c>
      <c r="ES10" s="51" t="str">
        <f t="shared" si="73"/>
        <v/>
      </c>
      <c r="ET10" s="51">
        <v>17.999214285714288</v>
      </c>
      <c r="EU10" s="230" t="s">
        <v>277</v>
      </c>
      <c r="EV10" s="51">
        <f t="shared" si="117"/>
        <v>0</v>
      </c>
      <c r="EW10" s="51" t="str">
        <f t="shared" si="75"/>
        <v/>
      </c>
      <c r="EX10" s="51">
        <v>17.913714285714285</v>
      </c>
      <c r="EY10" s="51" t="s">
        <v>277</v>
      </c>
      <c r="EZ10" s="51">
        <f t="shared" si="76"/>
        <v>0</v>
      </c>
      <c r="FA10" s="51" t="str">
        <f t="shared" si="77"/>
        <v/>
      </c>
      <c r="FB10" s="51">
        <v>17.229714285714287</v>
      </c>
      <c r="FC10" s="51" t="s">
        <v>277</v>
      </c>
      <c r="FD10" s="51">
        <f t="shared" si="78"/>
        <v>0</v>
      </c>
      <c r="FE10" s="51" t="str">
        <f t="shared" si="79"/>
        <v/>
      </c>
      <c r="FF10" s="51">
        <v>20.957514285714286</v>
      </c>
      <c r="FG10" s="51" t="s">
        <v>277</v>
      </c>
      <c r="FH10" s="51">
        <f t="shared" si="80"/>
        <v>0</v>
      </c>
      <c r="FI10" s="51" t="str">
        <f t="shared" si="81"/>
        <v/>
      </c>
      <c r="FJ10" s="51">
        <v>18.768714285714285</v>
      </c>
      <c r="FK10" s="230" t="s">
        <v>277</v>
      </c>
      <c r="FL10" s="51">
        <f t="shared" si="82"/>
        <v>0</v>
      </c>
      <c r="FM10" s="51" t="str">
        <f t="shared" si="83"/>
        <v/>
      </c>
      <c r="FN10" s="51">
        <v>17.028078571428573</v>
      </c>
      <c r="FO10" s="51"/>
      <c r="FP10" s="51"/>
      <c r="FQ10" s="51"/>
      <c r="FR10" s="51">
        <f t="shared" si="118"/>
        <v>0</v>
      </c>
      <c r="FS10" s="14">
        <f t="shared" si="119"/>
        <v>0</v>
      </c>
      <c r="FT10">
        <f t="shared" si="120"/>
        <v>0</v>
      </c>
      <c r="FV10" s="215">
        <f t="shared" si="84"/>
        <v>0</v>
      </c>
      <c r="FW10" s="215">
        <f t="shared" si="85"/>
        <v>0</v>
      </c>
      <c r="FX10" s="215">
        <f t="shared" si="86"/>
        <v>0</v>
      </c>
      <c r="FY10" s="215">
        <f t="shared" si="87"/>
        <v>0</v>
      </c>
      <c r="FZ10" s="215">
        <f t="shared" si="88"/>
        <v>0</v>
      </c>
      <c r="GA10" s="215">
        <f t="shared" si="89"/>
        <v>0</v>
      </c>
      <c r="GB10" s="215">
        <f t="shared" si="90"/>
        <v>0</v>
      </c>
      <c r="GC10" s="215">
        <f t="shared" si="91"/>
        <v>0</v>
      </c>
      <c r="GD10" s="215">
        <f t="shared" si="92"/>
        <v>0</v>
      </c>
      <c r="GE10" s="215">
        <f t="shared" si="93"/>
        <v>0</v>
      </c>
      <c r="GF10" s="215">
        <f t="shared" si="94"/>
        <v>0</v>
      </c>
      <c r="GG10" s="215">
        <f t="shared" si="95"/>
        <v>0</v>
      </c>
      <c r="GH10" s="215">
        <f t="shared" si="96"/>
        <v>0</v>
      </c>
      <c r="GI10" s="215">
        <f t="shared" si="97"/>
        <v>0</v>
      </c>
      <c r="GJ10" s="215">
        <f t="shared" si="98"/>
        <v>0</v>
      </c>
      <c r="GK10" s="215">
        <f t="shared" si="99"/>
        <v>0</v>
      </c>
      <c r="GL10" s="215">
        <f t="shared" si="100"/>
        <v>0</v>
      </c>
      <c r="GM10" s="215">
        <f t="shared" si="101"/>
        <v>0</v>
      </c>
      <c r="GN10" s="215">
        <f t="shared" si="102"/>
        <v>0</v>
      </c>
      <c r="GO10" s="215">
        <f t="shared" si="103"/>
        <v>0</v>
      </c>
      <c r="GP10" s="215">
        <f t="shared" si="104"/>
        <v>0</v>
      </c>
      <c r="GQ10" s="215">
        <f t="shared" si="105"/>
        <v>0</v>
      </c>
      <c r="GR10" s="215">
        <f t="shared" si="106"/>
        <v>0</v>
      </c>
      <c r="GS10" s="215">
        <f t="shared" si="121"/>
        <v>0</v>
      </c>
      <c r="GT10" s="215">
        <f t="shared" si="122"/>
        <v>0</v>
      </c>
      <c r="GU10" s="215">
        <f t="shared" si="123"/>
        <v>0</v>
      </c>
      <c r="GV10" s="215">
        <f t="shared" si="124"/>
        <v>0</v>
      </c>
      <c r="GW10" s="215">
        <f t="shared" si="125"/>
        <v>0</v>
      </c>
      <c r="GX10" s="215">
        <f t="shared" si="126"/>
        <v>0</v>
      </c>
      <c r="GY10" s="215">
        <f t="shared" si="127"/>
        <v>0</v>
      </c>
      <c r="GZ10" s="215">
        <f t="shared" si="128"/>
        <v>0</v>
      </c>
      <c r="HA10" s="215">
        <f t="shared" si="129"/>
        <v>0</v>
      </c>
      <c r="HB10" s="215">
        <f t="shared" si="130"/>
        <v>0</v>
      </c>
      <c r="HC10" s="215">
        <f t="shared" si="131"/>
        <v>0</v>
      </c>
      <c r="HD10" s="215">
        <f t="shared" si="132"/>
        <v>0</v>
      </c>
      <c r="HE10" s="215">
        <f t="shared" si="133"/>
        <v>0</v>
      </c>
      <c r="HF10" s="215">
        <f t="shared" si="134"/>
        <v>0</v>
      </c>
      <c r="HG10" s="215">
        <f t="shared" si="135"/>
        <v>0</v>
      </c>
      <c r="HH10" s="215">
        <f t="shared" si="136"/>
        <v>0</v>
      </c>
      <c r="HI10" s="215">
        <f t="shared" si="137"/>
        <v>0</v>
      </c>
      <c r="HJ10" s="215">
        <f t="shared" si="138"/>
        <v>0</v>
      </c>
      <c r="HK10" s="215">
        <f t="shared" si="139"/>
        <v>0</v>
      </c>
      <c r="HL10" s="211">
        <f t="shared" si="140"/>
        <v>0</v>
      </c>
      <c r="HM10" s="51">
        <f t="shared" si="141"/>
        <v>0</v>
      </c>
    </row>
    <row r="11" spans="1:221">
      <c r="A11" s="49" t="s">
        <v>27</v>
      </c>
      <c r="B11" s="51">
        <v>8.6198428571428565</v>
      </c>
      <c r="C11" s="51" t="s">
        <v>277</v>
      </c>
      <c r="D11" s="51">
        <f t="shared" si="0"/>
        <v>0</v>
      </c>
      <c r="E11" s="51" t="str">
        <f t="shared" si="1"/>
        <v/>
      </c>
      <c r="F11" s="51">
        <v>10.106842857142857</v>
      </c>
      <c r="G11" s="51" t="s">
        <v>277</v>
      </c>
      <c r="H11" s="51">
        <f t="shared" si="2"/>
        <v>0</v>
      </c>
      <c r="I11" s="51" t="str">
        <f t="shared" si="3"/>
        <v/>
      </c>
      <c r="J11" s="51">
        <v>10.483042857142857</v>
      </c>
      <c r="K11" s="51" t="s">
        <v>277</v>
      </c>
      <c r="L11" s="51">
        <f t="shared" si="4"/>
        <v>0</v>
      </c>
      <c r="M11" s="51" t="str">
        <f t="shared" si="5"/>
        <v/>
      </c>
      <c r="N11" s="51">
        <v>10.141042857142857</v>
      </c>
      <c r="O11" s="51" t="s">
        <v>277</v>
      </c>
      <c r="P11" s="51">
        <f t="shared" si="6"/>
        <v>0</v>
      </c>
      <c r="Q11" s="51" t="str">
        <f t="shared" si="7"/>
        <v/>
      </c>
      <c r="R11" s="51">
        <v>10.226542857142856</v>
      </c>
      <c r="S11" s="51" t="s">
        <v>277</v>
      </c>
      <c r="T11" s="51">
        <f t="shared" si="8"/>
        <v>0</v>
      </c>
      <c r="U11" s="51" t="str">
        <f t="shared" si="9"/>
        <v/>
      </c>
      <c r="V11" s="51">
        <v>10.773742857142858</v>
      </c>
      <c r="W11" s="51" t="s">
        <v>277</v>
      </c>
      <c r="X11" s="51">
        <f t="shared" si="10"/>
        <v>0</v>
      </c>
      <c r="Y11" s="51" t="str">
        <f t="shared" si="11"/>
        <v/>
      </c>
      <c r="Z11" s="51">
        <v>10.739542857142858</v>
      </c>
      <c r="AA11" s="51" t="s">
        <v>277</v>
      </c>
      <c r="AB11" s="51">
        <f t="shared" si="12"/>
        <v>0</v>
      </c>
      <c r="AC11" s="51" t="str">
        <f t="shared" si="13"/>
        <v/>
      </c>
      <c r="AD11" s="51">
        <v>11.115742857142857</v>
      </c>
      <c r="AE11" s="51" t="s">
        <v>277</v>
      </c>
      <c r="AF11" s="51">
        <f t="shared" si="14"/>
        <v>0</v>
      </c>
      <c r="AG11" s="51" t="str">
        <f t="shared" si="15"/>
        <v/>
      </c>
      <c r="AH11" s="51">
        <v>10.944742857142858</v>
      </c>
      <c r="AI11" s="51" t="s">
        <v>277</v>
      </c>
      <c r="AJ11" s="51">
        <f t="shared" si="16"/>
        <v>0</v>
      </c>
      <c r="AK11" s="51" t="str">
        <f t="shared" si="17"/>
        <v/>
      </c>
      <c r="AL11" s="51">
        <v>12.654742857142857</v>
      </c>
      <c r="AM11" s="51" t="s">
        <v>277</v>
      </c>
      <c r="AN11" s="51">
        <f t="shared" si="18"/>
        <v>0</v>
      </c>
      <c r="AO11" s="51" t="str">
        <f t="shared" si="19"/>
        <v/>
      </c>
      <c r="AP11" s="51">
        <v>11.286742857142858</v>
      </c>
      <c r="AQ11" s="51" t="s">
        <v>277</v>
      </c>
      <c r="AR11" s="51">
        <f t="shared" si="20"/>
        <v>0</v>
      </c>
      <c r="AS11" s="51" t="str">
        <f t="shared" si="21"/>
        <v/>
      </c>
      <c r="AT11" s="51">
        <v>18.429557142857142</v>
      </c>
      <c r="AU11" s="51" t="s">
        <v>277</v>
      </c>
      <c r="AV11" s="51">
        <f t="shared" si="22"/>
        <v>0</v>
      </c>
      <c r="AW11" s="51" t="str">
        <f t="shared" si="23"/>
        <v/>
      </c>
      <c r="AX11" s="51">
        <v>17.374342857142857</v>
      </c>
      <c r="AY11" s="51" t="s">
        <v>277</v>
      </c>
      <c r="AZ11" s="51">
        <f t="shared" si="24"/>
        <v>0</v>
      </c>
      <c r="BA11" s="51" t="str">
        <f t="shared" si="25"/>
        <v/>
      </c>
      <c r="BB11" s="51">
        <v>13.697842857142858</v>
      </c>
      <c r="BC11" s="51" t="s">
        <v>277</v>
      </c>
      <c r="BD11" s="51">
        <f t="shared" si="107"/>
        <v>0</v>
      </c>
      <c r="BE11" s="51" t="str">
        <f t="shared" si="108"/>
        <v/>
      </c>
      <c r="BF11" s="51">
        <v>12.774442857142859</v>
      </c>
      <c r="BG11" s="51" t="s">
        <v>277</v>
      </c>
      <c r="BH11" s="51">
        <f t="shared" si="28"/>
        <v>0</v>
      </c>
      <c r="BI11" s="51" t="str">
        <f t="shared" si="29"/>
        <v/>
      </c>
      <c r="BJ11" s="51">
        <v>12.996742857142857</v>
      </c>
      <c r="BK11" s="51" t="s">
        <v>277</v>
      </c>
      <c r="BL11" s="51">
        <f t="shared" si="30"/>
        <v>0</v>
      </c>
      <c r="BM11" s="51" t="str">
        <f t="shared" si="31"/>
        <v/>
      </c>
      <c r="BN11" s="51">
        <v>13.082242857142857</v>
      </c>
      <c r="BO11" s="51" t="s">
        <v>277</v>
      </c>
      <c r="BP11" s="51">
        <f t="shared" si="32"/>
        <v>0</v>
      </c>
      <c r="BQ11" s="51" t="str">
        <f t="shared" si="33"/>
        <v/>
      </c>
      <c r="BR11" s="51">
        <v>15.818242857142858</v>
      </c>
      <c r="BS11" s="51" t="s">
        <v>277</v>
      </c>
      <c r="BT11" s="51">
        <f t="shared" si="34"/>
        <v>0</v>
      </c>
      <c r="BU11" s="51" t="str">
        <f t="shared" si="35"/>
        <v/>
      </c>
      <c r="BV11" s="51">
        <v>13.851742857142858</v>
      </c>
      <c r="BW11" s="51" t="s">
        <v>277</v>
      </c>
      <c r="BX11" s="51">
        <f t="shared" si="109"/>
        <v>0</v>
      </c>
      <c r="BY11" s="51" t="str">
        <f t="shared" si="110"/>
        <v/>
      </c>
      <c r="BZ11" s="51">
        <v>13.595242857142857</v>
      </c>
      <c r="CA11" s="51" t="s">
        <v>277</v>
      </c>
      <c r="CB11" s="51">
        <f t="shared" si="111"/>
        <v>0</v>
      </c>
      <c r="CC11" s="51" t="str">
        <f t="shared" si="112"/>
        <v/>
      </c>
      <c r="CD11" s="51">
        <v>12.740242857142857</v>
      </c>
      <c r="CE11" s="51" t="s">
        <v>277</v>
      </c>
      <c r="CF11" s="51">
        <f t="shared" si="40"/>
        <v>0</v>
      </c>
      <c r="CG11" s="51" t="str">
        <f t="shared" si="41"/>
        <v/>
      </c>
      <c r="CH11" s="51">
        <v>15.031642857142856</v>
      </c>
      <c r="CI11" s="51" t="s">
        <v>277</v>
      </c>
      <c r="CJ11" s="51">
        <f t="shared" si="42"/>
        <v>0</v>
      </c>
      <c r="CK11" s="51" t="str">
        <f t="shared" si="43"/>
        <v/>
      </c>
      <c r="CL11" s="51">
        <v>16.177342857142854</v>
      </c>
      <c r="CM11" s="51" t="s">
        <v>277</v>
      </c>
      <c r="CN11" s="51">
        <f t="shared" si="113"/>
        <v>0</v>
      </c>
      <c r="CO11" s="51" t="str">
        <f t="shared" si="114"/>
        <v/>
      </c>
      <c r="CP11" s="51">
        <v>16.792942857142855</v>
      </c>
      <c r="CQ11" s="51" t="s">
        <v>277</v>
      </c>
      <c r="CR11" s="51">
        <f t="shared" si="46"/>
        <v>0</v>
      </c>
      <c r="CS11" s="51" t="str">
        <f t="shared" si="47"/>
        <v/>
      </c>
      <c r="CT11" s="51">
        <v>13.869542857142861</v>
      </c>
      <c r="CU11" s="230" t="s">
        <v>277</v>
      </c>
      <c r="CV11" s="51">
        <f t="shared" si="48"/>
        <v>0</v>
      </c>
      <c r="CW11" s="51" t="str">
        <f t="shared" si="49"/>
        <v/>
      </c>
      <c r="CX11" s="51">
        <v>14.758042857142858</v>
      </c>
      <c r="CY11" s="230" t="s">
        <v>277</v>
      </c>
      <c r="CZ11" s="51">
        <f t="shared" si="115"/>
        <v>0</v>
      </c>
      <c r="DA11" s="51" t="str">
        <f t="shared" si="116"/>
        <v/>
      </c>
      <c r="DB11" s="51">
        <v>13.732042857142858</v>
      </c>
      <c r="DC11" s="230" t="s">
        <v>277</v>
      </c>
      <c r="DD11" s="51">
        <f t="shared" si="52"/>
        <v>0</v>
      </c>
      <c r="DE11" s="51" t="str">
        <f t="shared" si="53"/>
        <v/>
      </c>
      <c r="DF11" s="51">
        <v>15.356542857142859</v>
      </c>
      <c r="DG11" s="230" t="s">
        <v>277</v>
      </c>
      <c r="DH11" s="51">
        <f t="shared" si="54"/>
        <v>0</v>
      </c>
      <c r="DI11" s="51" t="str">
        <f t="shared" si="55"/>
        <v/>
      </c>
      <c r="DJ11" s="51">
        <v>18.520042857142855</v>
      </c>
      <c r="DK11" s="51" t="s">
        <v>277</v>
      </c>
      <c r="DL11" s="51">
        <f t="shared" si="56"/>
        <v>0</v>
      </c>
      <c r="DM11" s="51" t="str">
        <f t="shared" si="57"/>
        <v/>
      </c>
      <c r="DN11" s="51">
        <v>15.100042857142858</v>
      </c>
      <c r="DO11" s="51" t="s">
        <v>277</v>
      </c>
      <c r="DP11" s="51">
        <f t="shared" si="58"/>
        <v>0</v>
      </c>
      <c r="DQ11" s="51" t="str">
        <f t="shared" si="59"/>
        <v/>
      </c>
      <c r="DR11" s="51">
        <v>15.100042857142858</v>
      </c>
      <c r="DS11" s="51" t="s">
        <v>277</v>
      </c>
      <c r="DT11" s="51">
        <f t="shared" si="60"/>
        <v>0</v>
      </c>
      <c r="DU11" s="51" t="str">
        <f t="shared" si="61"/>
        <v/>
      </c>
      <c r="DV11" s="51">
        <v>14.758042857142858</v>
      </c>
      <c r="DW11" s="230" t="s">
        <v>277</v>
      </c>
      <c r="DX11" s="51">
        <f t="shared" si="62"/>
        <v>0</v>
      </c>
      <c r="DY11" s="51" t="str">
        <f t="shared" si="63"/>
        <v/>
      </c>
      <c r="DZ11" s="51">
        <v>14.946142857142856</v>
      </c>
      <c r="EA11" s="51" t="s">
        <v>277</v>
      </c>
      <c r="EB11" s="51">
        <f t="shared" si="64"/>
        <v>0</v>
      </c>
      <c r="EC11" s="51" t="str">
        <f t="shared" si="65"/>
        <v/>
      </c>
      <c r="ED11" s="51">
        <v>18.024142857142856</v>
      </c>
      <c r="EE11" s="51" t="s">
        <v>277</v>
      </c>
      <c r="EF11" s="51">
        <f t="shared" si="66"/>
        <v>0</v>
      </c>
      <c r="EG11" s="51" t="str">
        <f t="shared" si="67"/>
        <v/>
      </c>
      <c r="EH11" s="51">
        <v>14.176642857142857</v>
      </c>
      <c r="EI11" s="230" t="s">
        <v>277</v>
      </c>
      <c r="EJ11" s="250">
        <f t="shared" si="68"/>
        <v>0</v>
      </c>
      <c r="EK11" s="51" t="str">
        <f t="shared" si="69"/>
        <v/>
      </c>
      <c r="EL11" s="51">
        <v>17.682142857142857</v>
      </c>
      <c r="EM11" s="250" t="s">
        <v>277</v>
      </c>
      <c r="EN11" s="230">
        <f t="shared" si="70"/>
        <v>0</v>
      </c>
      <c r="EO11" s="51" t="str">
        <f t="shared" si="71"/>
        <v/>
      </c>
      <c r="EP11" s="51">
        <v>17.144214285714288</v>
      </c>
      <c r="EQ11" s="230" t="s">
        <v>277</v>
      </c>
      <c r="ER11" s="51">
        <f t="shared" si="72"/>
        <v>0</v>
      </c>
      <c r="ES11" s="51" t="str">
        <f t="shared" si="73"/>
        <v/>
      </c>
      <c r="ET11" s="51">
        <v>17.999214285714288</v>
      </c>
      <c r="EU11" s="230" t="s">
        <v>277</v>
      </c>
      <c r="EV11" s="51">
        <f t="shared" si="117"/>
        <v>0</v>
      </c>
      <c r="EW11" s="51" t="str">
        <f t="shared" si="75"/>
        <v/>
      </c>
      <c r="EX11" s="51">
        <v>17.913714285714285</v>
      </c>
      <c r="EY11" s="51" t="s">
        <v>277</v>
      </c>
      <c r="EZ11" s="51">
        <f t="shared" si="76"/>
        <v>0</v>
      </c>
      <c r="FA11" s="51" t="str">
        <f t="shared" si="77"/>
        <v/>
      </c>
      <c r="FB11" s="51">
        <v>17.229714285714287</v>
      </c>
      <c r="FC11" s="51" t="s">
        <v>277</v>
      </c>
      <c r="FD11" s="51">
        <f t="shared" si="78"/>
        <v>0</v>
      </c>
      <c r="FE11" s="51" t="str">
        <f t="shared" si="79"/>
        <v/>
      </c>
      <c r="FF11" s="51">
        <v>20.957514285714286</v>
      </c>
      <c r="FG11" s="51" t="s">
        <v>277</v>
      </c>
      <c r="FH11" s="51">
        <f t="shared" si="80"/>
        <v>0</v>
      </c>
      <c r="FI11" s="51" t="str">
        <f t="shared" si="81"/>
        <v/>
      </c>
      <c r="FJ11" s="51">
        <v>18.768714285714285</v>
      </c>
      <c r="FK11" s="230" t="s">
        <v>277</v>
      </c>
      <c r="FL11" s="51">
        <f t="shared" si="82"/>
        <v>0</v>
      </c>
      <c r="FM11" s="51" t="str">
        <f t="shared" si="83"/>
        <v/>
      </c>
      <c r="FN11" s="51">
        <v>17.028078571428573</v>
      </c>
      <c r="FO11" s="51"/>
      <c r="FP11" s="51"/>
      <c r="FQ11" s="51"/>
      <c r="FR11" s="51">
        <f t="shared" si="118"/>
        <v>0</v>
      </c>
      <c r="FS11" s="14">
        <f t="shared" si="119"/>
        <v>0</v>
      </c>
      <c r="FT11">
        <f t="shared" si="120"/>
        <v>0</v>
      </c>
      <c r="FV11" s="215">
        <f t="shared" si="84"/>
        <v>0</v>
      </c>
      <c r="FW11" s="215">
        <f t="shared" si="85"/>
        <v>0</v>
      </c>
      <c r="FX11" s="215">
        <f t="shared" si="86"/>
        <v>0</v>
      </c>
      <c r="FY11" s="215">
        <f t="shared" si="87"/>
        <v>0</v>
      </c>
      <c r="FZ11" s="215">
        <f t="shared" si="88"/>
        <v>0</v>
      </c>
      <c r="GA11" s="215">
        <f t="shared" si="89"/>
        <v>0</v>
      </c>
      <c r="GB11" s="215">
        <f t="shared" si="90"/>
        <v>0</v>
      </c>
      <c r="GC11" s="215">
        <f t="shared" si="91"/>
        <v>0</v>
      </c>
      <c r="GD11" s="215">
        <f t="shared" si="92"/>
        <v>0</v>
      </c>
      <c r="GE11" s="215">
        <f t="shared" si="93"/>
        <v>0</v>
      </c>
      <c r="GF11" s="215">
        <f t="shared" si="94"/>
        <v>0</v>
      </c>
      <c r="GG11" s="215">
        <f t="shared" si="95"/>
        <v>0</v>
      </c>
      <c r="GH11" s="215">
        <f t="shared" si="96"/>
        <v>0</v>
      </c>
      <c r="GI11" s="215">
        <f t="shared" si="97"/>
        <v>0</v>
      </c>
      <c r="GJ11" s="215">
        <f t="shared" si="98"/>
        <v>0</v>
      </c>
      <c r="GK11" s="215">
        <f t="shared" si="99"/>
        <v>0</v>
      </c>
      <c r="GL11" s="215">
        <f t="shared" si="100"/>
        <v>0</v>
      </c>
      <c r="GM11" s="215">
        <f t="shared" si="101"/>
        <v>0</v>
      </c>
      <c r="GN11" s="215">
        <f t="shared" si="102"/>
        <v>0</v>
      </c>
      <c r="GO11" s="215">
        <f t="shared" si="103"/>
        <v>0</v>
      </c>
      <c r="GP11" s="215">
        <f t="shared" si="104"/>
        <v>0</v>
      </c>
      <c r="GQ11" s="215">
        <f t="shared" si="105"/>
        <v>0</v>
      </c>
      <c r="GR11" s="215">
        <f t="shared" si="106"/>
        <v>0</v>
      </c>
      <c r="GS11" s="215">
        <f t="shared" si="121"/>
        <v>0</v>
      </c>
      <c r="GT11" s="215">
        <f t="shared" si="122"/>
        <v>0</v>
      </c>
      <c r="GU11" s="215">
        <f t="shared" si="123"/>
        <v>0</v>
      </c>
      <c r="GV11" s="215">
        <f t="shared" si="124"/>
        <v>0</v>
      </c>
      <c r="GW11" s="215">
        <f t="shared" si="125"/>
        <v>0</v>
      </c>
      <c r="GX11" s="215">
        <f t="shared" si="126"/>
        <v>0</v>
      </c>
      <c r="GY11" s="215">
        <f t="shared" si="127"/>
        <v>0</v>
      </c>
      <c r="GZ11" s="215">
        <f t="shared" si="128"/>
        <v>0</v>
      </c>
      <c r="HA11" s="215">
        <f t="shared" si="129"/>
        <v>0</v>
      </c>
      <c r="HB11" s="215">
        <f t="shared" si="130"/>
        <v>0</v>
      </c>
      <c r="HC11" s="215">
        <f t="shared" si="131"/>
        <v>0</v>
      </c>
      <c r="HD11" s="215">
        <f t="shared" si="132"/>
        <v>0</v>
      </c>
      <c r="HE11" s="215">
        <f t="shared" si="133"/>
        <v>0</v>
      </c>
      <c r="HF11" s="215">
        <f t="shared" si="134"/>
        <v>0</v>
      </c>
      <c r="HG11" s="215">
        <f t="shared" si="135"/>
        <v>0</v>
      </c>
      <c r="HH11" s="215">
        <f t="shared" si="136"/>
        <v>0</v>
      </c>
      <c r="HI11" s="215">
        <f t="shared" si="137"/>
        <v>0</v>
      </c>
      <c r="HJ11" s="215">
        <f t="shared" si="138"/>
        <v>0</v>
      </c>
      <c r="HK11" s="215">
        <f t="shared" si="139"/>
        <v>0</v>
      </c>
      <c r="HL11" s="211">
        <f t="shared" si="140"/>
        <v>0</v>
      </c>
      <c r="HM11" s="51">
        <f t="shared" si="141"/>
        <v>0</v>
      </c>
    </row>
    <row r="12" spans="1:221">
      <c r="A12" s="49" t="s">
        <v>29</v>
      </c>
      <c r="B12" s="51">
        <v>8.6198428571428565</v>
      </c>
      <c r="C12" s="51" t="s">
        <v>277</v>
      </c>
      <c r="D12" s="51">
        <f t="shared" si="0"/>
        <v>0</v>
      </c>
      <c r="E12" s="51" t="str">
        <f t="shared" si="1"/>
        <v/>
      </c>
      <c r="F12" s="51">
        <v>10.106842857142857</v>
      </c>
      <c r="G12" s="51" t="s">
        <v>277</v>
      </c>
      <c r="H12" s="51">
        <f t="shared" si="2"/>
        <v>0</v>
      </c>
      <c r="I12" s="51" t="str">
        <f t="shared" si="3"/>
        <v/>
      </c>
      <c r="J12" s="51">
        <v>10.483042857142857</v>
      </c>
      <c r="K12" s="51" t="s">
        <v>277</v>
      </c>
      <c r="L12" s="51">
        <f t="shared" si="4"/>
        <v>0</v>
      </c>
      <c r="M12" s="51" t="str">
        <f t="shared" si="5"/>
        <v/>
      </c>
      <c r="N12" s="51">
        <v>10.141042857142857</v>
      </c>
      <c r="O12" s="51" t="s">
        <v>277</v>
      </c>
      <c r="P12" s="51">
        <f t="shared" si="6"/>
        <v>0</v>
      </c>
      <c r="Q12" s="51" t="str">
        <f t="shared" si="7"/>
        <v/>
      </c>
      <c r="R12" s="51">
        <v>10.226542857142856</v>
      </c>
      <c r="S12" s="51" t="s">
        <v>277</v>
      </c>
      <c r="T12" s="51">
        <f t="shared" si="8"/>
        <v>0</v>
      </c>
      <c r="U12" s="51" t="str">
        <f t="shared" si="9"/>
        <v/>
      </c>
      <c r="V12" s="51">
        <v>10.773742857142858</v>
      </c>
      <c r="W12" s="51" t="s">
        <v>277</v>
      </c>
      <c r="X12" s="51">
        <f t="shared" si="10"/>
        <v>0</v>
      </c>
      <c r="Y12" s="51" t="str">
        <f t="shared" si="11"/>
        <v/>
      </c>
      <c r="Z12" s="51">
        <v>10.739542857142858</v>
      </c>
      <c r="AA12" s="51" t="s">
        <v>277</v>
      </c>
      <c r="AB12" s="51">
        <f t="shared" si="12"/>
        <v>0</v>
      </c>
      <c r="AC12" s="51" t="str">
        <f t="shared" si="13"/>
        <v/>
      </c>
      <c r="AD12" s="51">
        <v>11.115742857142857</v>
      </c>
      <c r="AE12" s="51" t="s">
        <v>277</v>
      </c>
      <c r="AF12" s="51">
        <f t="shared" si="14"/>
        <v>0</v>
      </c>
      <c r="AG12" s="51" t="str">
        <f t="shared" si="15"/>
        <v/>
      </c>
      <c r="AH12" s="51">
        <v>10.944742857142858</v>
      </c>
      <c r="AI12" s="51" t="s">
        <v>277</v>
      </c>
      <c r="AJ12" s="51">
        <f t="shared" si="16"/>
        <v>0</v>
      </c>
      <c r="AK12" s="51" t="str">
        <f t="shared" si="17"/>
        <v/>
      </c>
      <c r="AL12" s="51">
        <v>12.654742857142857</v>
      </c>
      <c r="AM12" s="51" t="s">
        <v>277</v>
      </c>
      <c r="AN12" s="51">
        <f t="shared" si="18"/>
        <v>0</v>
      </c>
      <c r="AO12" s="51" t="str">
        <f t="shared" si="19"/>
        <v/>
      </c>
      <c r="AP12" s="51">
        <v>11.286742857142858</v>
      </c>
      <c r="AQ12" s="51" t="s">
        <v>277</v>
      </c>
      <c r="AR12" s="51">
        <f t="shared" si="20"/>
        <v>0</v>
      </c>
      <c r="AS12" s="51" t="str">
        <f t="shared" si="21"/>
        <v/>
      </c>
      <c r="AT12" s="51">
        <v>18.429557142857142</v>
      </c>
      <c r="AU12" s="51" t="s">
        <v>277</v>
      </c>
      <c r="AV12" s="51">
        <f t="shared" si="22"/>
        <v>0</v>
      </c>
      <c r="AW12" s="51" t="str">
        <f t="shared" si="23"/>
        <v/>
      </c>
      <c r="AX12" s="51">
        <v>17.374342857142857</v>
      </c>
      <c r="AY12" s="51" t="s">
        <v>277</v>
      </c>
      <c r="AZ12" s="51">
        <f t="shared" si="24"/>
        <v>0</v>
      </c>
      <c r="BA12" s="51" t="str">
        <f t="shared" si="25"/>
        <v/>
      </c>
      <c r="BB12" s="51">
        <v>13.697842857142858</v>
      </c>
      <c r="BC12" s="51" t="s">
        <v>277</v>
      </c>
      <c r="BD12" s="51">
        <f t="shared" si="107"/>
        <v>0</v>
      </c>
      <c r="BE12" s="51" t="str">
        <f t="shared" si="108"/>
        <v/>
      </c>
      <c r="BF12" s="51">
        <v>12.774442857142859</v>
      </c>
      <c r="BG12" s="51" t="s">
        <v>277</v>
      </c>
      <c r="BH12" s="51">
        <f t="shared" si="28"/>
        <v>0</v>
      </c>
      <c r="BI12" s="51" t="str">
        <f t="shared" si="29"/>
        <v/>
      </c>
      <c r="BJ12" s="51">
        <v>12.996742857142857</v>
      </c>
      <c r="BK12" s="51" t="s">
        <v>277</v>
      </c>
      <c r="BL12" s="51">
        <f t="shared" si="30"/>
        <v>0</v>
      </c>
      <c r="BM12" s="51" t="str">
        <f t="shared" si="31"/>
        <v/>
      </c>
      <c r="BN12" s="51">
        <v>13.082242857142857</v>
      </c>
      <c r="BO12" s="51" t="s">
        <v>277</v>
      </c>
      <c r="BP12" s="51">
        <f t="shared" si="32"/>
        <v>0</v>
      </c>
      <c r="BQ12" s="51" t="str">
        <f t="shared" si="33"/>
        <v/>
      </c>
      <c r="BR12" s="51">
        <v>15.818242857142858</v>
      </c>
      <c r="BS12" s="51" t="s">
        <v>277</v>
      </c>
      <c r="BT12" s="51">
        <f t="shared" si="34"/>
        <v>0</v>
      </c>
      <c r="BU12" s="51" t="str">
        <f t="shared" si="35"/>
        <v/>
      </c>
      <c r="BV12" s="51">
        <v>13.851742857142858</v>
      </c>
      <c r="BW12" s="51" t="s">
        <v>277</v>
      </c>
      <c r="BX12" s="51">
        <f t="shared" si="109"/>
        <v>0</v>
      </c>
      <c r="BY12" s="51" t="str">
        <f t="shared" si="110"/>
        <v/>
      </c>
      <c r="BZ12" s="51">
        <v>13.595242857142857</v>
      </c>
      <c r="CA12" s="51" t="s">
        <v>277</v>
      </c>
      <c r="CB12" s="51">
        <f t="shared" si="111"/>
        <v>0</v>
      </c>
      <c r="CC12" s="51" t="str">
        <f t="shared" si="112"/>
        <v/>
      </c>
      <c r="CD12" s="51">
        <v>12.740242857142857</v>
      </c>
      <c r="CE12" s="51" t="s">
        <v>277</v>
      </c>
      <c r="CF12" s="51">
        <f t="shared" si="40"/>
        <v>0</v>
      </c>
      <c r="CG12" s="51" t="str">
        <f t="shared" si="41"/>
        <v/>
      </c>
      <c r="CH12" s="51">
        <v>15.031642857142856</v>
      </c>
      <c r="CI12" s="51" t="s">
        <v>277</v>
      </c>
      <c r="CJ12" s="51">
        <f t="shared" si="42"/>
        <v>0</v>
      </c>
      <c r="CK12" s="51" t="str">
        <f t="shared" si="43"/>
        <v/>
      </c>
      <c r="CL12" s="51">
        <v>16.177342857142854</v>
      </c>
      <c r="CM12" s="51" t="s">
        <v>277</v>
      </c>
      <c r="CN12" s="51">
        <f t="shared" si="113"/>
        <v>0</v>
      </c>
      <c r="CO12" s="51" t="str">
        <f t="shared" si="114"/>
        <v/>
      </c>
      <c r="CP12" s="51">
        <v>16.792942857142855</v>
      </c>
      <c r="CQ12" s="51" t="s">
        <v>277</v>
      </c>
      <c r="CR12" s="51">
        <f t="shared" si="46"/>
        <v>0</v>
      </c>
      <c r="CS12" s="51" t="str">
        <f t="shared" si="47"/>
        <v/>
      </c>
      <c r="CT12" s="51">
        <v>13.869542857142861</v>
      </c>
      <c r="CU12" s="230" t="s">
        <v>277</v>
      </c>
      <c r="CV12" s="51">
        <f t="shared" si="48"/>
        <v>0</v>
      </c>
      <c r="CW12" s="51" t="str">
        <f t="shared" si="49"/>
        <v/>
      </c>
      <c r="CX12" s="51">
        <v>14.758042857142858</v>
      </c>
      <c r="CY12" s="230" t="s">
        <v>277</v>
      </c>
      <c r="CZ12" s="51">
        <f t="shared" si="115"/>
        <v>0</v>
      </c>
      <c r="DA12" s="51" t="str">
        <f t="shared" si="116"/>
        <v/>
      </c>
      <c r="DB12" s="51">
        <v>13.732042857142858</v>
      </c>
      <c r="DC12" s="230" t="s">
        <v>277</v>
      </c>
      <c r="DD12" s="51">
        <f t="shared" si="52"/>
        <v>0</v>
      </c>
      <c r="DE12" s="51" t="str">
        <f t="shared" si="53"/>
        <v/>
      </c>
      <c r="DF12" s="51">
        <v>15.356542857142859</v>
      </c>
      <c r="DG12" s="230" t="s">
        <v>277</v>
      </c>
      <c r="DH12" s="51">
        <f t="shared" si="54"/>
        <v>0</v>
      </c>
      <c r="DI12" s="51" t="str">
        <f t="shared" si="55"/>
        <v/>
      </c>
      <c r="DJ12" s="51">
        <v>18.520042857142855</v>
      </c>
      <c r="DK12" s="51" t="s">
        <v>277</v>
      </c>
      <c r="DL12" s="51">
        <f t="shared" si="56"/>
        <v>0</v>
      </c>
      <c r="DM12" s="51" t="str">
        <f t="shared" si="57"/>
        <v/>
      </c>
      <c r="DN12" s="51">
        <v>15.100042857142858</v>
      </c>
      <c r="DO12" s="51" t="s">
        <v>277</v>
      </c>
      <c r="DP12" s="51">
        <f t="shared" si="58"/>
        <v>0</v>
      </c>
      <c r="DQ12" s="51" t="str">
        <f t="shared" si="59"/>
        <v/>
      </c>
      <c r="DR12" s="51">
        <v>15.100042857142858</v>
      </c>
      <c r="DS12" s="51" t="s">
        <v>277</v>
      </c>
      <c r="DT12" s="51">
        <f t="shared" si="60"/>
        <v>0</v>
      </c>
      <c r="DU12" s="51" t="str">
        <f t="shared" si="61"/>
        <v/>
      </c>
      <c r="DV12" s="51">
        <v>14.758042857142858</v>
      </c>
      <c r="DW12" s="230" t="s">
        <v>277</v>
      </c>
      <c r="DX12" s="51">
        <f t="shared" si="62"/>
        <v>0</v>
      </c>
      <c r="DY12" s="51" t="str">
        <f t="shared" si="63"/>
        <v/>
      </c>
      <c r="DZ12" s="51">
        <v>14.946142857142856</v>
      </c>
      <c r="EA12" s="51" t="s">
        <v>277</v>
      </c>
      <c r="EB12" s="51">
        <f t="shared" si="64"/>
        <v>0</v>
      </c>
      <c r="EC12" s="51" t="str">
        <f t="shared" si="65"/>
        <v/>
      </c>
      <c r="ED12" s="51">
        <v>18.024142857142856</v>
      </c>
      <c r="EE12" s="51" t="s">
        <v>277</v>
      </c>
      <c r="EF12" s="51">
        <f t="shared" si="66"/>
        <v>0</v>
      </c>
      <c r="EG12" s="51" t="str">
        <f t="shared" si="67"/>
        <v/>
      </c>
      <c r="EH12" s="51">
        <v>14.176642857142857</v>
      </c>
      <c r="EI12" s="230" t="s">
        <v>277</v>
      </c>
      <c r="EJ12" s="250">
        <f t="shared" si="68"/>
        <v>0</v>
      </c>
      <c r="EK12" s="51" t="str">
        <f t="shared" si="69"/>
        <v/>
      </c>
      <c r="EL12" s="51">
        <v>17.682142857142857</v>
      </c>
      <c r="EM12" s="250" t="s">
        <v>277</v>
      </c>
      <c r="EN12" s="230">
        <f t="shared" si="70"/>
        <v>0</v>
      </c>
      <c r="EO12" s="51" t="str">
        <f t="shared" si="71"/>
        <v/>
      </c>
      <c r="EP12" s="51">
        <v>17.144214285714288</v>
      </c>
      <c r="EQ12" s="230" t="s">
        <v>277</v>
      </c>
      <c r="ER12" s="51">
        <f t="shared" si="72"/>
        <v>0</v>
      </c>
      <c r="ES12" s="51" t="str">
        <f t="shared" si="73"/>
        <v/>
      </c>
      <c r="ET12" s="51">
        <v>17.999214285714288</v>
      </c>
      <c r="EU12" s="230" t="s">
        <v>277</v>
      </c>
      <c r="EV12" s="51">
        <f t="shared" si="117"/>
        <v>0</v>
      </c>
      <c r="EW12" s="51" t="str">
        <f t="shared" si="75"/>
        <v/>
      </c>
      <c r="EX12" s="51">
        <v>17.913714285714285</v>
      </c>
      <c r="EY12" s="51" t="s">
        <v>277</v>
      </c>
      <c r="EZ12" s="51">
        <f t="shared" si="76"/>
        <v>0</v>
      </c>
      <c r="FA12" s="51" t="str">
        <f t="shared" si="77"/>
        <v/>
      </c>
      <c r="FB12" s="51">
        <v>17.229714285714287</v>
      </c>
      <c r="FC12" s="51" t="s">
        <v>277</v>
      </c>
      <c r="FD12" s="51">
        <f t="shared" si="78"/>
        <v>0</v>
      </c>
      <c r="FE12" s="51" t="str">
        <f t="shared" si="79"/>
        <v/>
      </c>
      <c r="FF12" s="51">
        <v>20.957514285714286</v>
      </c>
      <c r="FG12" s="51" t="s">
        <v>277</v>
      </c>
      <c r="FH12" s="51">
        <f t="shared" si="80"/>
        <v>0</v>
      </c>
      <c r="FI12" s="51" t="str">
        <f t="shared" si="81"/>
        <v/>
      </c>
      <c r="FJ12" s="51">
        <v>18.768714285714285</v>
      </c>
      <c r="FK12" s="230" t="s">
        <v>277</v>
      </c>
      <c r="FL12" s="51">
        <f t="shared" si="82"/>
        <v>0</v>
      </c>
      <c r="FM12" s="51" t="str">
        <f t="shared" si="83"/>
        <v/>
      </c>
      <c r="FN12" s="51">
        <v>17.028078571428573</v>
      </c>
      <c r="FO12" s="51"/>
      <c r="FP12" s="51"/>
      <c r="FQ12" s="51"/>
      <c r="FR12" s="51">
        <f t="shared" si="118"/>
        <v>0</v>
      </c>
      <c r="FS12" s="14">
        <f t="shared" si="119"/>
        <v>0</v>
      </c>
      <c r="FT12">
        <f t="shared" si="120"/>
        <v>0</v>
      </c>
      <c r="FV12" s="215">
        <f t="shared" si="84"/>
        <v>0</v>
      </c>
      <c r="FW12" s="215">
        <f t="shared" si="85"/>
        <v>0</v>
      </c>
      <c r="FX12" s="215">
        <f t="shared" si="86"/>
        <v>0</v>
      </c>
      <c r="FY12" s="215">
        <f t="shared" si="87"/>
        <v>0</v>
      </c>
      <c r="FZ12" s="215">
        <f t="shared" si="88"/>
        <v>0</v>
      </c>
      <c r="GA12" s="215">
        <f t="shared" si="89"/>
        <v>0</v>
      </c>
      <c r="GB12" s="215">
        <f t="shared" si="90"/>
        <v>0</v>
      </c>
      <c r="GC12" s="215">
        <f t="shared" si="91"/>
        <v>0</v>
      </c>
      <c r="GD12" s="215">
        <f t="shared" si="92"/>
        <v>0</v>
      </c>
      <c r="GE12" s="215">
        <f t="shared" si="93"/>
        <v>0</v>
      </c>
      <c r="GF12" s="215">
        <f t="shared" si="94"/>
        <v>0</v>
      </c>
      <c r="GG12" s="215">
        <f t="shared" si="95"/>
        <v>0</v>
      </c>
      <c r="GH12" s="215">
        <f t="shared" si="96"/>
        <v>0</v>
      </c>
      <c r="GI12" s="215">
        <f t="shared" si="97"/>
        <v>0</v>
      </c>
      <c r="GJ12" s="215">
        <f t="shared" si="98"/>
        <v>0</v>
      </c>
      <c r="GK12" s="215">
        <f t="shared" si="99"/>
        <v>0</v>
      </c>
      <c r="GL12" s="215">
        <f t="shared" si="100"/>
        <v>0</v>
      </c>
      <c r="GM12" s="215">
        <f t="shared" si="101"/>
        <v>0</v>
      </c>
      <c r="GN12" s="215">
        <f t="shared" si="102"/>
        <v>0</v>
      </c>
      <c r="GO12" s="215">
        <f t="shared" si="103"/>
        <v>0</v>
      </c>
      <c r="GP12" s="215">
        <f t="shared" si="104"/>
        <v>0</v>
      </c>
      <c r="GQ12" s="215">
        <f t="shared" si="105"/>
        <v>0</v>
      </c>
      <c r="GR12" s="215">
        <f t="shared" si="106"/>
        <v>0</v>
      </c>
      <c r="GS12" s="215">
        <f t="shared" si="121"/>
        <v>0</v>
      </c>
      <c r="GT12" s="215">
        <f t="shared" si="122"/>
        <v>0</v>
      </c>
      <c r="GU12" s="215">
        <f t="shared" si="123"/>
        <v>0</v>
      </c>
      <c r="GV12" s="215">
        <f t="shared" si="124"/>
        <v>0</v>
      </c>
      <c r="GW12" s="215">
        <f t="shared" si="125"/>
        <v>0</v>
      </c>
      <c r="GX12" s="215">
        <f t="shared" si="126"/>
        <v>0</v>
      </c>
      <c r="GY12" s="215">
        <f t="shared" si="127"/>
        <v>0</v>
      </c>
      <c r="GZ12" s="215">
        <f t="shared" si="128"/>
        <v>0</v>
      </c>
      <c r="HA12" s="215">
        <f t="shared" si="129"/>
        <v>0</v>
      </c>
      <c r="HB12" s="215">
        <f t="shared" si="130"/>
        <v>0</v>
      </c>
      <c r="HC12" s="215">
        <f t="shared" si="131"/>
        <v>0</v>
      </c>
      <c r="HD12" s="215">
        <f t="shared" si="132"/>
        <v>0</v>
      </c>
      <c r="HE12" s="215">
        <f t="shared" si="133"/>
        <v>0</v>
      </c>
      <c r="HF12" s="215">
        <f t="shared" si="134"/>
        <v>0</v>
      </c>
      <c r="HG12" s="215">
        <f t="shared" si="135"/>
        <v>0</v>
      </c>
      <c r="HH12" s="215">
        <f t="shared" si="136"/>
        <v>0</v>
      </c>
      <c r="HI12" s="215">
        <f t="shared" si="137"/>
        <v>0</v>
      </c>
      <c r="HJ12" s="215">
        <f t="shared" si="138"/>
        <v>0</v>
      </c>
      <c r="HK12" s="215">
        <f t="shared" si="139"/>
        <v>0</v>
      </c>
      <c r="HL12" s="211">
        <f t="shared" si="140"/>
        <v>0</v>
      </c>
      <c r="HM12" s="51">
        <f t="shared" si="141"/>
        <v>0</v>
      </c>
    </row>
    <row r="13" spans="1:221">
      <c r="A13" s="49" t="s">
        <v>31</v>
      </c>
      <c r="B13" s="51">
        <v>8.6198428571428565</v>
      </c>
      <c r="C13" s="51" t="s">
        <v>277</v>
      </c>
      <c r="D13" s="51">
        <f t="shared" si="0"/>
        <v>0</v>
      </c>
      <c r="E13" s="51" t="str">
        <f t="shared" si="1"/>
        <v/>
      </c>
      <c r="F13" s="51">
        <v>10.106842857142857</v>
      </c>
      <c r="G13" s="51" t="s">
        <v>277</v>
      </c>
      <c r="H13" s="51">
        <f t="shared" si="2"/>
        <v>0</v>
      </c>
      <c r="I13" s="51" t="str">
        <f t="shared" si="3"/>
        <v/>
      </c>
      <c r="J13" s="51">
        <v>10.483042857142857</v>
      </c>
      <c r="K13" s="51" t="s">
        <v>277</v>
      </c>
      <c r="L13" s="51">
        <f t="shared" si="4"/>
        <v>0</v>
      </c>
      <c r="M13" s="51" t="str">
        <f t="shared" si="5"/>
        <v/>
      </c>
      <c r="N13" s="51">
        <v>10.141042857142857</v>
      </c>
      <c r="O13" s="51" t="s">
        <v>277</v>
      </c>
      <c r="P13" s="51">
        <f t="shared" si="6"/>
        <v>0</v>
      </c>
      <c r="Q13" s="51" t="str">
        <f t="shared" si="7"/>
        <v/>
      </c>
      <c r="R13" s="51">
        <v>10.226542857142856</v>
      </c>
      <c r="S13" s="51" t="s">
        <v>277</v>
      </c>
      <c r="T13" s="51">
        <f t="shared" si="8"/>
        <v>0</v>
      </c>
      <c r="U13" s="51" t="str">
        <f t="shared" si="9"/>
        <v/>
      </c>
      <c r="V13" s="51">
        <v>10.773742857142858</v>
      </c>
      <c r="W13" s="51" t="s">
        <v>277</v>
      </c>
      <c r="X13" s="51">
        <f t="shared" si="10"/>
        <v>0</v>
      </c>
      <c r="Y13" s="51" t="str">
        <f t="shared" si="11"/>
        <v/>
      </c>
      <c r="Z13" s="51">
        <v>10.739542857142858</v>
      </c>
      <c r="AA13" s="51" t="s">
        <v>277</v>
      </c>
      <c r="AB13" s="51">
        <f t="shared" si="12"/>
        <v>0</v>
      </c>
      <c r="AC13" s="51" t="str">
        <f t="shared" si="13"/>
        <v/>
      </c>
      <c r="AD13" s="51">
        <v>11.115742857142857</v>
      </c>
      <c r="AE13" s="51" t="s">
        <v>277</v>
      </c>
      <c r="AF13" s="51">
        <f t="shared" si="14"/>
        <v>0</v>
      </c>
      <c r="AG13" s="51" t="str">
        <f t="shared" si="15"/>
        <v/>
      </c>
      <c r="AH13" s="51">
        <v>10.944742857142858</v>
      </c>
      <c r="AI13" s="51" t="s">
        <v>277</v>
      </c>
      <c r="AJ13" s="51">
        <f t="shared" si="16"/>
        <v>0</v>
      </c>
      <c r="AK13" s="51" t="str">
        <f t="shared" si="17"/>
        <v/>
      </c>
      <c r="AL13" s="51">
        <v>12.654742857142857</v>
      </c>
      <c r="AM13" s="51" t="s">
        <v>277</v>
      </c>
      <c r="AN13" s="51">
        <f t="shared" si="18"/>
        <v>0</v>
      </c>
      <c r="AO13" s="51" t="str">
        <f t="shared" si="19"/>
        <v/>
      </c>
      <c r="AP13" s="51">
        <v>11.286742857142858</v>
      </c>
      <c r="AQ13" s="51" t="s">
        <v>277</v>
      </c>
      <c r="AR13" s="51">
        <f t="shared" si="20"/>
        <v>0</v>
      </c>
      <c r="AS13" s="51" t="str">
        <f t="shared" si="21"/>
        <v/>
      </c>
      <c r="AT13" s="51">
        <v>18.429557142857142</v>
      </c>
      <c r="AU13" s="51" t="s">
        <v>277</v>
      </c>
      <c r="AV13" s="51">
        <f t="shared" si="22"/>
        <v>0</v>
      </c>
      <c r="AW13" s="51" t="str">
        <f t="shared" si="23"/>
        <v/>
      </c>
      <c r="AX13" s="51">
        <v>17.374342857142857</v>
      </c>
      <c r="AY13" s="51" t="s">
        <v>277</v>
      </c>
      <c r="AZ13" s="51">
        <f t="shared" si="24"/>
        <v>0</v>
      </c>
      <c r="BA13" s="51" t="str">
        <f t="shared" si="25"/>
        <v/>
      </c>
      <c r="BB13" s="51">
        <v>13.697842857142858</v>
      </c>
      <c r="BC13" s="51" t="s">
        <v>277</v>
      </c>
      <c r="BD13" s="51">
        <f t="shared" si="107"/>
        <v>0</v>
      </c>
      <c r="BE13" s="51" t="str">
        <f t="shared" si="108"/>
        <v/>
      </c>
      <c r="BF13" s="51">
        <v>12.774442857142859</v>
      </c>
      <c r="BG13" s="51" t="s">
        <v>277</v>
      </c>
      <c r="BH13" s="51">
        <f t="shared" si="28"/>
        <v>0</v>
      </c>
      <c r="BI13" s="51" t="str">
        <f t="shared" si="29"/>
        <v/>
      </c>
      <c r="BJ13" s="51">
        <v>12.996742857142857</v>
      </c>
      <c r="BK13" s="51" t="s">
        <v>277</v>
      </c>
      <c r="BL13" s="51">
        <f t="shared" si="30"/>
        <v>0</v>
      </c>
      <c r="BM13" s="51" t="str">
        <f t="shared" si="31"/>
        <v/>
      </c>
      <c r="BN13" s="51">
        <v>13.082242857142857</v>
      </c>
      <c r="BO13" s="51" t="s">
        <v>277</v>
      </c>
      <c r="BP13" s="51">
        <f t="shared" si="32"/>
        <v>0</v>
      </c>
      <c r="BQ13" s="51" t="str">
        <f t="shared" si="33"/>
        <v/>
      </c>
      <c r="BR13" s="51">
        <v>15.818242857142858</v>
      </c>
      <c r="BS13" s="51" t="s">
        <v>277</v>
      </c>
      <c r="BT13" s="51">
        <f t="shared" si="34"/>
        <v>0</v>
      </c>
      <c r="BU13" s="51" t="str">
        <f t="shared" si="35"/>
        <v/>
      </c>
      <c r="BV13" s="51">
        <v>13.851742857142858</v>
      </c>
      <c r="BW13" s="51" t="s">
        <v>277</v>
      </c>
      <c r="BX13" s="51">
        <f t="shared" si="109"/>
        <v>0</v>
      </c>
      <c r="BY13" s="51" t="str">
        <f t="shared" si="110"/>
        <v/>
      </c>
      <c r="BZ13" s="51">
        <v>13.595242857142857</v>
      </c>
      <c r="CA13" s="51" t="s">
        <v>277</v>
      </c>
      <c r="CB13" s="51">
        <f t="shared" si="111"/>
        <v>0</v>
      </c>
      <c r="CC13" s="51" t="str">
        <f t="shared" si="112"/>
        <v/>
      </c>
      <c r="CD13" s="51">
        <v>12.740242857142857</v>
      </c>
      <c r="CE13" s="51" t="s">
        <v>277</v>
      </c>
      <c r="CF13" s="51">
        <f t="shared" si="40"/>
        <v>0</v>
      </c>
      <c r="CG13" s="51" t="str">
        <f t="shared" si="41"/>
        <v/>
      </c>
      <c r="CH13" s="51">
        <v>15.031642857142856</v>
      </c>
      <c r="CI13" s="51" t="s">
        <v>277</v>
      </c>
      <c r="CJ13" s="51">
        <f t="shared" ref="CJ13" si="142">IF(CI13="",CH13,0)</f>
        <v>0</v>
      </c>
      <c r="CK13" s="51" t="str">
        <f t="shared" ref="CK13" si="143">IF(CJ13&gt;0,"Debe","")</f>
        <v/>
      </c>
      <c r="CL13" s="51">
        <v>16.177342857142854</v>
      </c>
      <c r="CM13" s="51" t="s">
        <v>277</v>
      </c>
      <c r="CN13" s="51">
        <f t="shared" si="113"/>
        <v>0</v>
      </c>
      <c r="CO13" s="51" t="str">
        <f t="shared" si="114"/>
        <v/>
      </c>
      <c r="CP13" s="51">
        <v>16.792942857142855</v>
      </c>
      <c r="CQ13" s="51" t="s">
        <v>277</v>
      </c>
      <c r="CR13" s="51">
        <f t="shared" si="46"/>
        <v>0</v>
      </c>
      <c r="CS13" s="51" t="str">
        <f t="shared" si="47"/>
        <v/>
      </c>
      <c r="CT13" s="51">
        <v>13.869542857142861</v>
      </c>
      <c r="CU13" s="230" t="s">
        <v>277</v>
      </c>
      <c r="CV13" s="51">
        <f t="shared" si="48"/>
        <v>0</v>
      </c>
      <c r="CW13" s="51" t="str">
        <f t="shared" si="49"/>
        <v/>
      </c>
      <c r="CX13" s="51">
        <v>14.758042857142858</v>
      </c>
      <c r="CY13" s="230" t="s">
        <v>277</v>
      </c>
      <c r="CZ13" s="51">
        <f t="shared" si="115"/>
        <v>0</v>
      </c>
      <c r="DA13" s="51" t="str">
        <f t="shared" si="116"/>
        <v/>
      </c>
      <c r="DB13" s="51">
        <v>13.732042857142858</v>
      </c>
      <c r="DC13" s="230" t="s">
        <v>277</v>
      </c>
      <c r="DD13" s="51">
        <f t="shared" si="52"/>
        <v>0</v>
      </c>
      <c r="DE13" s="51" t="str">
        <f t="shared" si="53"/>
        <v/>
      </c>
      <c r="DF13" s="51">
        <v>15.356542857142859</v>
      </c>
      <c r="DG13" s="230" t="s">
        <v>277</v>
      </c>
      <c r="DH13" s="51">
        <f t="shared" si="54"/>
        <v>0</v>
      </c>
      <c r="DI13" s="51" t="str">
        <f t="shared" si="55"/>
        <v/>
      </c>
      <c r="DJ13" s="51">
        <v>18.520042857142855</v>
      </c>
      <c r="DK13" s="51" t="s">
        <v>277</v>
      </c>
      <c r="DL13" s="51">
        <f t="shared" si="56"/>
        <v>0</v>
      </c>
      <c r="DM13" s="51" t="str">
        <f t="shared" si="57"/>
        <v/>
      </c>
      <c r="DN13" s="51">
        <v>15.100042857142858</v>
      </c>
      <c r="DO13" s="51" t="s">
        <v>277</v>
      </c>
      <c r="DP13" s="51">
        <f t="shared" si="58"/>
        <v>0</v>
      </c>
      <c r="DQ13" s="51" t="str">
        <f t="shared" si="59"/>
        <v/>
      </c>
      <c r="DR13" s="51">
        <v>15.100042857142858</v>
      </c>
      <c r="DS13" s="51" t="s">
        <v>277</v>
      </c>
      <c r="DT13" s="51">
        <f t="shared" si="60"/>
        <v>0</v>
      </c>
      <c r="DU13" s="51" t="str">
        <f t="shared" si="61"/>
        <v/>
      </c>
      <c r="DV13" s="51">
        <v>14.758042857142858</v>
      </c>
      <c r="DW13" s="230" t="s">
        <v>277</v>
      </c>
      <c r="DX13" s="51">
        <f t="shared" si="62"/>
        <v>0</v>
      </c>
      <c r="DY13" s="51" t="str">
        <f t="shared" si="63"/>
        <v/>
      </c>
      <c r="DZ13" s="51">
        <v>14.946142857142856</v>
      </c>
      <c r="EA13" s="51" t="s">
        <v>277</v>
      </c>
      <c r="EB13" s="51">
        <f t="shared" si="64"/>
        <v>0</v>
      </c>
      <c r="EC13" s="51" t="str">
        <f t="shared" si="65"/>
        <v/>
      </c>
      <c r="ED13" s="51">
        <v>18.024142857142856</v>
      </c>
      <c r="EE13" s="51" t="s">
        <v>277</v>
      </c>
      <c r="EF13" s="51">
        <f t="shared" si="66"/>
        <v>0</v>
      </c>
      <c r="EG13" s="51" t="str">
        <f t="shared" si="67"/>
        <v/>
      </c>
      <c r="EH13" s="51">
        <v>14.176642857142857</v>
      </c>
      <c r="EI13" s="230" t="s">
        <v>277</v>
      </c>
      <c r="EJ13" s="250">
        <f t="shared" si="68"/>
        <v>0</v>
      </c>
      <c r="EK13" s="51" t="str">
        <f t="shared" si="69"/>
        <v/>
      </c>
      <c r="EL13" s="51">
        <v>17.682142857142857</v>
      </c>
      <c r="EM13" s="250" t="s">
        <v>277</v>
      </c>
      <c r="EN13" s="230">
        <f t="shared" si="70"/>
        <v>0</v>
      </c>
      <c r="EO13" s="51" t="str">
        <f t="shared" si="71"/>
        <v/>
      </c>
      <c r="EP13" s="51">
        <v>17.144214285714288</v>
      </c>
      <c r="EQ13" s="230" t="s">
        <v>277</v>
      </c>
      <c r="ER13" s="51">
        <f t="shared" si="72"/>
        <v>0</v>
      </c>
      <c r="ES13" s="51" t="str">
        <f t="shared" si="73"/>
        <v/>
      </c>
      <c r="ET13" s="51">
        <v>17.999214285714288</v>
      </c>
      <c r="EU13" s="230" t="s">
        <v>277</v>
      </c>
      <c r="EV13" s="51">
        <f t="shared" si="117"/>
        <v>0</v>
      </c>
      <c r="EW13" s="51" t="str">
        <f t="shared" si="75"/>
        <v/>
      </c>
      <c r="EX13" s="51">
        <v>17.913714285714285</v>
      </c>
      <c r="EY13" s="51" t="s">
        <v>277</v>
      </c>
      <c r="EZ13" s="51">
        <f t="shared" si="76"/>
        <v>0</v>
      </c>
      <c r="FA13" s="51" t="str">
        <f t="shared" si="77"/>
        <v/>
      </c>
      <c r="FB13" s="51">
        <v>17.229714285714287</v>
      </c>
      <c r="FC13" s="51" t="s">
        <v>277</v>
      </c>
      <c r="FD13" s="51">
        <f t="shared" si="78"/>
        <v>0</v>
      </c>
      <c r="FE13" s="51" t="str">
        <f t="shared" si="79"/>
        <v/>
      </c>
      <c r="FF13" s="51">
        <v>20.957514285714286</v>
      </c>
      <c r="FG13" s="51" t="s">
        <v>277</v>
      </c>
      <c r="FH13" s="51">
        <f t="shared" si="80"/>
        <v>0</v>
      </c>
      <c r="FI13" s="51" t="str">
        <f t="shared" si="81"/>
        <v/>
      </c>
      <c r="FJ13" s="51">
        <v>18.768714285714285</v>
      </c>
      <c r="FK13" s="230" t="s">
        <v>277</v>
      </c>
      <c r="FL13" s="51">
        <f t="shared" si="82"/>
        <v>0</v>
      </c>
      <c r="FM13" s="51" t="str">
        <f t="shared" si="83"/>
        <v/>
      </c>
      <c r="FN13" s="51">
        <v>17.028078571428573</v>
      </c>
      <c r="FO13" s="51"/>
      <c r="FP13" s="51"/>
      <c r="FQ13" s="51"/>
      <c r="FR13" s="51">
        <f t="shared" si="118"/>
        <v>0</v>
      </c>
      <c r="FS13" s="14">
        <f t="shared" si="119"/>
        <v>0</v>
      </c>
      <c r="FT13">
        <f t="shared" si="120"/>
        <v>0</v>
      </c>
      <c r="FV13" s="215">
        <f t="shared" si="84"/>
        <v>0</v>
      </c>
      <c r="FW13" s="215">
        <f t="shared" si="85"/>
        <v>0</v>
      </c>
      <c r="FX13" s="215">
        <f t="shared" si="86"/>
        <v>0</v>
      </c>
      <c r="FY13" s="215">
        <f t="shared" si="87"/>
        <v>0</v>
      </c>
      <c r="FZ13" s="215">
        <f t="shared" si="88"/>
        <v>0</v>
      </c>
      <c r="GA13" s="215">
        <f t="shared" si="89"/>
        <v>0</v>
      </c>
      <c r="GB13" s="215">
        <f t="shared" si="90"/>
        <v>0</v>
      </c>
      <c r="GC13" s="215">
        <f t="shared" si="91"/>
        <v>0</v>
      </c>
      <c r="GD13" s="215">
        <f t="shared" si="92"/>
        <v>0</v>
      </c>
      <c r="GE13" s="215">
        <f t="shared" si="93"/>
        <v>0</v>
      </c>
      <c r="GF13" s="215">
        <f t="shared" si="94"/>
        <v>0</v>
      </c>
      <c r="GG13" s="215">
        <f t="shared" si="95"/>
        <v>0</v>
      </c>
      <c r="GH13" s="215">
        <f t="shared" si="96"/>
        <v>0</v>
      </c>
      <c r="GI13" s="215">
        <f t="shared" si="97"/>
        <v>0</v>
      </c>
      <c r="GJ13" s="215">
        <f t="shared" si="98"/>
        <v>0</v>
      </c>
      <c r="GK13" s="215">
        <f t="shared" si="99"/>
        <v>0</v>
      </c>
      <c r="GL13" s="215">
        <f t="shared" si="100"/>
        <v>0</v>
      </c>
      <c r="GM13" s="215">
        <f t="shared" si="101"/>
        <v>0</v>
      </c>
      <c r="GN13" s="215">
        <f t="shared" si="102"/>
        <v>0</v>
      </c>
      <c r="GO13" s="215">
        <f t="shared" si="103"/>
        <v>0</v>
      </c>
      <c r="GP13" s="215">
        <f t="shared" si="104"/>
        <v>0</v>
      </c>
      <c r="GQ13" s="215">
        <f t="shared" si="105"/>
        <v>0</v>
      </c>
      <c r="GR13" s="215">
        <f t="shared" si="106"/>
        <v>0</v>
      </c>
      <c r="GS13" s="215">
        <f t="shared" si="121"/>
        <v>0</v>
      </c>
      <c r="GT13" s="215">
        <f t="shared" si="122"/>
        <v>0</v>
      </c>
      <c r="GU13" s="215">
        <f t="shared" si="123"/>
        <v>0</v>
      </c>
      <c r="GV13" s="215">
        <f t="shared" si="124"/>
        <v>0</v>
      </c>
      <c r="GW13" s="215">
        <f t="shared" si="125"/>
        <v>0</v>
      </c>
      <c r="GX13" s="215">
        <f t="shared" si="126"/>
        <v>0</v>
      </c>
      <c r="GY13" s="215">
        <f t="shared" si="127"/>
        <v>0</v>
      </c>
      <c r="GZ13" s="215">
        <f t="shared" si="128"/>
        <v>0</v>
      </c>
      <c r="HA13" s="215">
        <f t="shared" si="129"/>
        <v>0</v>
      </c>
      <c r="HB13" s="215">
        <f t="shared" si="130"/>
        <v>0</v>
      </c>
      <c r="HC13" s="215">
        <f t="shared" si="131"/>
        <v>0</v>
      </c>
      <c r="HD13" s="215">
        <f t="shared" si="132"/>
        <v>0</v>
      </c>
      <c r="HE13" s="215">
        <f t="shared" si="133"/>
        <v>0</v>
      </c>
      <c r="HF13" s="215">
        <f t="shared" si="134"/>
        <v>0</v>
      </c>
      <c r="HG13" s="215">
        <f t="shared" si="135"/>
        <v>0</v>
      </c>
      <c r="HH13" s="215">
        <f t="shared" si="136"/>
        <v>0</v>
      </c>
      <c r="HI13" s="215">
        <f t="shared" si="137"/>
        <v>0</v>
      </c>
      <c r="HJ13" s="215">
        <f t="shared" si="138"/>
        <v>0</v>
      </c>
      <c r="HK13" s="215">
        <f t="shared" si="139"/>
        <v>0</v>
      </c>
      <c r="HL13" s="211">
        <f t="shared" si="140"/>
        <v>0</v>
      </c>
      <c r="HM13" s="51">
        <f t="shared" si="141"/>
        <v>0</v>
      </c>
    </row>
    <row r="14" spans="1:221">
      <c r="A14" s="49" t="s">
        <v>32</v>
      </c>
      <c r="B14" s="51">
        <v>8.6198428571428565</v>
      </c>
      <c r="C14" s="51" t="s">
        <v>277</v>
      </c>
      <c r="D14" s="51">
        <f t="shared" si="0"/>
        <v>0</v>
      </c>
      <c r="E14" s="51" t="str">
        <f t="shared" si="1"/>
        <v/>
      </c>
      <c r="F14" s="51">
        <v>10.106842857142857</v>
      </c>
      <c r="G14" s="51" t="s">
        <v>277</v>
      </c>
      <c r="H14" s="51">
        <f t="shared" si="2"/>
        <v>0</v>
      </c>
      <c r="I14" s="51" t="str">
        <f t="shared" si="3"/>
        <v/>
      </c>
      <c r="J14" s="51">
        <v>10.483042857142857</v>
      </c>
      <c r="K14" s="51" t="s">
        <v>277</v>
      </c>
      <c r="L14" s="51">
        <f t="shared" si="4"/>
        <v>0</v>
      </c>
      <c r="M14" s="51" t="str">
        <f t="shared" si="5"/>
        <v/>
      </c>
      <c r="N14" s="51">
        <v>10.141042857142857</v>
      </c>
      <c r="O14" s="51" t="s">
        <v>277</v>
      </c>
      <c r="P14" s="51">
        <f t="shared" si="6"/>
        <v>0</v>
      </c>
      <c r="Q14" s="51" t="str">
        <f t="shared" si="7"/>
        <v/>
      </c>
      <c r="R14" s="51">
        <v>10.226542857142856</v>
      </c>
      <c r="S14" s="51" t="s">
        <v>277</v>
      </c>
      <c r="T14" s="51">
        <f t="shared" si="8"/>
        <v>0</v>
      </c>
      <c r="U14" s="51" t="str">
        <f t="shared" si="9"/>
        <v/>
      </c>
      <c r="V14" s="51">
        <v>10.773742857142858</v>
      </c>
      <c r="W14" s="51" t="s">
        <v>277</v>
      </c>
      <c r="X14" s="51">
        <f t="shared" si="10"/>
        <v>0</v>
      </c>
      <c r="Y14" s="51" t="str">
        <f t="shared" si="11"/>
        <v/>
      </c>
      <c r="Z14" s="51">
        <v>10.739542857142858</v>
      </c>
      <c r="AA14" s="51" t="s">
        <v>277</v>
      </c>
      <c r="AB14" s="51">
        <f t="shared" si="12"/>
        <v>0</v>
      </c>
      <c r="AC14" s="51" t="str">
        <f t="shared" si="13"/>
        <v/>
      </c>
      <c r="AD14" s="51">
        <v>11.115742857142857</v>
      </c>
      <c r="AE14" s="51" t="s">
        <v>277</v>
      </c>
      <c r="AF14" s="51">
        <f t="shared" si="14"/>
        <v>0</v>
      </c>
      <c r="AG14" s="51" t="str">
        <f t="shared" si="15"/>
        <v/>
      </c>
      <c r="AH14" s="51">
        <v>10.944742857142858</v>
      </c>
      <c r="AI14" s="51" t="s">
        <v>277</v>
      </c>
      <c r="AJ14" s="51">
        <f t="shared" si="16"/>
        <v>0</v>
      </c>
      <c r="AK14" s="51" t="str">
        <f t="shared" si="17"/>
        <v/>
      </c>
      <c r="AL14" s="51">
        <v>12.654742857142857</v>
      </c>
      <c r="AM14" s="51" t="s">
        <v>277</v>
      </c>
      <c r="AN14" s="51">
        <f t="shared" si="18"/>
        <v>0</v>
      </c>
      <c r="AO14" s="51" t="str">
        <f t="shared" si="19"/>
        <v/>
      </c>
      <c r="AP14" s="51">
        <v>11.286742857142858</v>
      </c>
      <c r="AQ14" s="51" t="s">
        <v>277</v>
      </c>
      <c r="AR14" s="51">
        <f t="shared" si="20"/>
        <v>0</v>
      </c>
      <c r="AS14" s="51" t="str">
        <f t="shared" si="21"/>
        <v/>
      </c>
      <c r="AT14" s="51">
        <v>18.429557142857142</v>
      </c>
      <c r="AU14" s="51" t="s">
        <v>277</v>
      </c>
      <c r="AV14" s="51">
        <f t="shared" si="22"/>
        <v>0</v>
      </c>
      <c r="AW14" s="51" t="str">
        <f t="shared" si="23"/>
        <v/>
      </c>
      <c r="AX14" s="51">
        <v>17.374342857142857</v>
      </c>
      <c r="AY14" s="51" t="s">
        <v>277</v>
      </c>
      <c r="AZ14" s="51">
        <f t="shared" si="24"/>
        <v>0</v>
      </c>
      <c r="BA14" s="51" t="str">
        <f t="shared" si="25"/>
        <v/>
      </c>
      <c r="BB14" s="51">
        <v>13.697842857142858</v>
      </c>
      <c r="BC14" s="51" t="s">
        <v>277</v>
      </c>
      <c r="BD14" s="51">
        <f t="shared" si="107"/>
        <v>0</v>
      </c>
      <c r="BE14" s="51" t="str">
        <f t="shared" si="108"/>
        <v/>
      </c>
      <c r="BF14" s="51">
        <v>12.774442857142859</v>
      </c>
      <c r="BG14" s="51" t="s">
        <v>277</v>
      </c>
      <c r="BH14" s="51">
        <f t="shared" si="28"/>
        <v>0</v>
      </c>
      <c r="BI14" s="51" t="str">
        <f t="shared" si="29"/>
        <v/>
      </c>
      <c r="BJ14" s="51">
        <v>12.996742857142857</v>
      </c>
      <c r="BK14" s="51" t="s">
        <v>277</v>
      </c>
      <c r="BL14" s="51">
        <f t="shared" si="30"/>
        <v>0</v>
      </c>
      <c r="BM14" s="51" t="str">
        <f t="shared" si="31"/>
        <v/>
      </c>
      <c r="BN14" s="51">
        <v>13.082242857142857</v>
      </c>
      <c r="BO14" s="51" t="s">
        <v>277</v>
      </c>
      <c r="BP14" s="51">
        <f t="shared" si="32"/>
        <v>0</v>
      </c>
      <c r="BQ14" s="51" t="str">
        <f t="shared" si="33"/>
        <v/>
      </c>
      <c r="BR14" s="51">
        <v>15.818242857142858</v>
      </c>
      <c r="BS14" s="51" t="s">
        <v>277</v>
      </c>
      <c r="BT14" s="51">
        <f t="shared" si="34"/>
        <v>0</v>
      </c>
      <c r="BU14" s="51" t="str">
        <f t="shared" si="35"/>
        <v/>
      </c>
      <c r="BV14" s="51">
        <v>13.851742857142858</v>
      </c>
      <c r="BW14" s="51" t="s">
        <v>277</v>
      </c>
      <c r="BX14" s="51">
        <f t="shared" si="109"/>
        <v>0</v>
      </c>
      <c r="BY14" s="51" t="str">
        <f t="shared" si="110"/>
        <v/>
      </c>
      <c r="BZ14" s="51">
        <v>13.595242857142857</v>
      </c>
      <c r="CA14" s="51" t="s">
        <v>277</v>
      </c>
      <c r="CB14" s="51">
        <f t="shared" si="111"/>
        <v>0</v>
      </c>
      <c r="CC14" s="51" t="str">
        <f t="shared" si="112"/>
        <v/>
      </c>
      <c r="CD14" s="51">
        <v>12.740242857142857</v>
      </c>
      <c r="CE14" s="51" t="s">
        <v>277</v>
      </c>
      <c r="CF14" s="51">
        <f t="shared" si="40"/>
        <v>0</v>
      </c>
      <c r="CG14" s="51" t="str">
        <f t="shared" si="41"/>
        <v/>
      </c>
      <c r="CH14" s="51">
        <v>15.031642857142856</v>
      </c>
      <c r="CI14" s="51" t="s">
        <v>277</v>
      </c>
      <c r="CJ14" s="51">
        <f t="shared" ref="CJ14:CJ38" si="144">IF(CI14="",CH14,0)</f>
        <v>0</v>
      </c>
      <c r="CK14" s="51" t="str">
        <f t="shared" ref="CK14:CK38" si="145">IF(CJ14&gt;0,"Debe","")</f>
        <v/>
      </c>
      <c r="CL14" s="51">
        <v>16.177342857142854</v>
      </c>
      <c r="CM14" s="51" t="s">
        <v>277</v>
      </c>
      <c r="CN14" s="51">
        <f t="shared" si="113"/>
        <v>0</v>
      </c>
      <c r="CO14" s="51" t="str">
        <f t="shared" si="114"/>
        <v/>
      </c>
      <c r="CP14" s="51">
        <v>16.792942857142855</v>
      </c>
      <c r="CQ14" s="51" t="s">
        <v>277</v>
      </c>
      <c r="CR14" s="51">
        <f t="shared" si="46"/>
        <v>0</v>
      </c>
      <c r="CS14" s="51" t="str">
        <f t="shared" si="47"/>
        <v/>
      </c>
      <c r="CT14" s="51">
        <v>13.869542857142861</v>
      </c>
      <c r="CU14" s="230" t="s">
        <v>277</v>
      </c>
      <c r="CV14" s="51">
        <f t="shared" si="48"/>
        <v>0</v>
      </c>
      <c r="CW14" s="51" t="str">
        <f t="shared" si="49"/>
        <v/>
      </c>
      <c r="CX14" s="51">
        <v>14.758042857142858</v>
      </c>
      <c r="CY14" s="230" t="s">
        <v>277</v>
      </c>
      <c r="CZ14" s="51">
        <f t="shared" si="115"/>
        <v>0</v>
      </c>
      <c r="DA14" s="51" t="str">
        <f t="shared" si="116"/>
        <v/>
      </c>
      <c r="DB14" s="51">
        <v>13.732042857142858</v>
      </c>
      <c r="DC14" s="230" t="s">
        <v>277</v>
      </c>
      <c r="DD14" s="51">
        <f t="shared" si="52"/>
        <v>0</v>
      </c>
      <c r="DE14" s="51" t="str">
        <f t="shared" si="53"/>
        <v/>
      </c>
      <c r="DF14" s="51">
        <v>15.356542857142859</v>
      </c>
      <c r="DG14" s="230" t="s">
        <v>277</v>
      </c>
      <c r="DH14" s="51">
        <f t="shared" si="54"/>
        <v>0</v>
      </c>
      <c r="DI14" s="51" t="str">
        <f t="shared" si="55"/>
        <v/>
      </c>
      <c r="DJ14" s="51">
        <v>18.520042857142855</v>
      </c>
      <c r="DK14" s="51" t="s">
        <v>277</v>
      </c>
      <c r="DL14" s="51">
        <f t="shared" si="56"/>
        <v>0</v>
      </c>
      <c r="DM14" s="51" t="str">
        <f t="shared" si="57"/>
        <v/>
      </c>
      <c r="DN14" s="51">
        <v>15.100042857142858</v>
      </c>
      <c r="DO14" s="51" t="s">
        <v>277</v>
      </c>
      <c r="DP14" s="51">
        <f t="shared" si="58"/>
        <v>0</v>
      </c>
      <c r="DQ14" s="51" t="str">
        <f t="shared" si="59"/>
        <v/>
      </c>
      <c r="DR14" s="51">
        <v>15.100042857142858</v>
      </c>
      <c r="DS14" s="51" t="s">
        <v>277</v>
      </c>
      <c r="DT14" s="51">
        <f t="shared" si="60"/>
        <v>0</v>
      </c>
      <c r="DU14" s="51" t="str">
        <f t="shared" si="61"/>
        <v/>
      </c>
      <c r="DV14" s="51">
        <v>14.758042857142858</v>
      </c>
      <c r="DW14" s="230" t="s">
        <v>277</v>
      </c>
      <c r="DX14" s="51">
        <f t="shared" si="62"/>
        <v>0</v>
      </c>
      <c r="DY14" s="51" t="str">
        <f t="shared" si="63"/>
        <v/>
      </c>
      <c r="DZ14" s="51">
        <v>14.946142857142856</v>
      </c>
      <c r="EA14" s="51" t="s">
        <v>277</v>
      </c>
      <c r="EB14" s="51">
        <f t="shared" si="64"/>
        <v>0</v>
      </c>
      <c r="EC14" s="51" t="str">
        <f t="shared" si="65"/>
        <v/>
      </c>
      <c r="ED14" s="51">
        <v>18.024142857142856</v>
      </c>
      <c r="EE14" s="51" t="s">
        <v>277</v>
      </c>
      <c r="EF14" s="51">
        <f t="shared" si="66"/>
        <v>0</v>
      </c>
      <c r="EG14" s="51" t="str">
        <f t="shared" si="67"/>
        <v/>
      </c>
      <c r="EH14" s="51">
        <v>14.176642857142857</v>
      </c>
      <c r="EI14" s="230" t="s">
        <v>277</v>
      </c>
      <c r="EJ14" s="250">
        <f t="shared" si="68"/>
        <v>0</v>
      </c>
      <c r="EK14" s="51" t="str">
        <f t="shared" si="69"/>
        <v/>
      </c>
      <c r="EL14" s="51">
        <v>17.682142857142857</v>
      </c>
      <c r="EM14" s="250" t="s">
        <v>277</v>
      </c>
      <c r="EN14" s="230">
        <f t="shared" si="70"/>
        <v>0</v>
      </c>
      <c r="EO14" s="51" t="str">
        <f t="shared" si="71"/>
        <v/>
      </c>
      <c r="EP14" s="51">
        <v>17.144214285714288</v>
      </c>
      <c r="EQ14" s="230" t="s">
        <v>277</v>
      </c>
      <c r="ER14" s="51">
        <f t="shared" si="72"/>
        <v>0</v>
      </c>
      <c r="ES14" s="51" t="str">
        <f t="shared" si="73"/>
        <v/>
      </c>
      <c r="ET14" s="51">
        <v>17.999214285714288</v>
      </c>
      <c r="EU14" s="230" t="s">
        <v>277</v>
      </c>
      <c r="EV14" s="51">
        <f t="shared" si="117"/>
        <v>0</v>
      </c>
      <c r="EW14" s="51" t="str">
        <f t="shared" si="75"/>
        <v/>
      </c>
      <c r="EX14" s="51">
        <v>17.913714285714285</v>
      </c>
      <c r="EY14" s="51" t="s">
        <v>277</v>
      </c>
      <c r="EZ14" s="51">
        <f t="shared" si="76"/>
        <v>0</v>
      </c>
      <c r="FA14" s="51" t="str">
        <f t="shared" si="77"/>
        <v/>
      </c>
      <c r="FB14" s="51">
        <v>17.229714285714287</v>
      </c>
      <c r="FC14" s="51" t="s">
        <v>277</v>
      </c>
      <c r="FD14" s="51">
        <f t="shared" si="78"/>
        <v>0</v>
      </c>
      <c r="FE14" s="51" t="str">
        <f t="shared" si="79"/>
        <v/>
      </c>
      <c r="FF14" s="51">
        <v>20.957514285714286</v>
      </c>
      <c r="FG14" s="51" t="s">
        <v>277</v>
      </c>
      <c r="FH14" s="51">
        <f t="shared" si="80"/>
        <v>0</v>
      </c>
      <c r="FI14" s="51" t="str">
        <f t="shared" si="81"/>
        <v/>
      </c>
      <c r="FJ14" s="51">
        <v>18.768714285714285</v>
      </c>
      <c r="FK14" s="230" t="s">
        <v>277</v>
      </c>
      <c r="FL14" s="51">
        <f t="shared" si="82"/>
        <v>0</v>
      </c>
      <c r="FM14" s="51" t="str">
        <f t="shared" si="83"/>
        <v/>
      </c>
      <c r="FN14" s="51">
        <v>17.028078571428573</v>
      </c>
      <c r="FO14" s="51"/>
      <c r="FP14" s="51"/>
      <c r="FQ14" s="51"/>
      <c r="FR14" s="51">
        <f t="shared" si="118"/>
        <v>0</v>
      </c>
      <c r="FS14" s="14">
        <f t="shared" si="119"/>
        <v>0</v>
      </c>
      <c r="FT14">
        <f t="shared" si="120"/>
        <v>0</v>
      </c>
      <c r="FV14" s="215">
        <f t="shared" si="84"/>
        <v>0</v>
      </c>
      <c r="FW14" s="215">
        <f t="shared" si="85"/>
        <v>0</v>
      </c>
      <c r="FX14" s="215">
        <f t="shared" si="86"/>
        <v>0</v>
      </c>
      <c r="FY14" s="215">
        <f t="shared" si="87"/>
        <v>0</v>
      </c>
      <c r="FZ14" s="215">
        <f t="shared" si="88"/>
        <v>0</v>
      </c>
      <c r="GA14" s="215">
        <f t="shared" si="89"/>
        <v>0</v>
      </c>
      <c r="GB14" s="215">
        <f t="shared" si="90"/>
        <v>0</v>
      </c>
      <c r="GC14" s="215">
        <f t="shared" si="91"/>
        <v>0</v>
      </c>
      <c r="GD14" s="215">
        <f t="shared" si="92"/>
        <v>0</v>
      </c>
      <c r="GE14" s="215">
        <f t="shared" si="93"/>
        <v>0</v>
      </c>
      <c r="GF14" s="215">
        <f t="shared" si="94"/>
        <v>0</v>
      </c>
      <c r="GG14" s="215">
        <f t="shared" si="95"/>
        <v>0</v>
      </c>
      <c r="GH14" s="215">
        <f t="shared" si="96"/>
        <v>0</v>
      </c>
      <c r="GI14" s="215">
        <f t="shared" si="97"/>
        <v>0</v>
      </c>
      <c r="GJ14" s="215">
        <f t="shared" si="98"/>
        <v>0</v>
      </c>
      <c r="GK14" s="215">
        <f t="shared" si="99"/>
        <v>0</v>
      </c>
      <c r="GL14" s="215">
        <f t="shared" si="100"/>
        <v>0</v>
      </c>
      <c r="GM14" s="215">
        <f t="shared" si="101"/>
        <v>0</v>
      </c>
      <c r="GN14" s="215">
        <f t="shared" si="102"/>
        <v>0</v>
      </c>
      <c r="GO14" s="215">
        <f t="shared" si="103"/>
        <v>0</v>
      </c>
      <c r="GP14" s="215">
        <f t="shared" si="104"/>
        <v>0</v>
      </c>
      <c r="GQ14" s="215">
        <f t="shared" si="105"/>
        <v>0</v>
      </c>
      <c r="GR14" s="215">
        <f t="shared" si="106"/>
        <v>0</v>
      </c>
      <c r="GS14" s="215">
        <f t="shared" si="121"/>
        <v>0</v>
      </c>
      <c r="GT14" s="215">
        <f t="shared" si="122"/>
        <v>0</v>
      </c>
      <c r="GU14" s="215">
        <f t="shared" si="123"/>
        <v>0</v>
      </c>
      <c r="GV14" s="215">
        <f t="shared" si="124"/>
        <v>0</v>
      </c>
      <c r="GW14" s="215">
        <f t="shared" si="125"/>
        <v>0</v>
      </c>
      <c r="GX14" s="215">
        <f t="shared" si="126"/>
        <v>0</v>
      </c>
      <c r="GY14" s="215">
        <f t="shared" si="127"/>
        <v>0</v>
      </c>
      <c r="GZ14" s="215">
        <f t="shared" si="128"/>
        <v>0</v>
      </c>
      <c r="HA14" s="215">
        <f t="shared" si="129"/>
        <v>0</v>
      </c>
      <c r="HB14" s="215">
        <f t="shared" si="130"/>
        <v>0</v>
      </c>
      <c r="HC14" s="215">
        <f t="shared" si="131"/>
        <v>0</v>
      </c>
      <c r="HD14" s="215">
        <f t="shared" si="132"/>
        <v>0</v>
      </c>
      <c r="HE14" s="215">
        <f t="shared" si="133"/>
        <v>0</v>
      </c>
      <c r="HF14" s="215">
        <f t="shared" si="134"/>
        <v>0</v>
      </c>
      <c r="HG14" s="215">
        <f t="shared" si="135"/>
        <v>0</v>
      </c>
      <c r="HH14" s="215">
        <f t="shared" si="136"/>
        <v>0</v>
      </c>
      <c r="HI14" s="215">
        <f t="shared" si="137"/>
        <v>0</v>
      </c>
      <c r="HJ14" s="215">
        <f t="shared" si="138"/>
        <v>0</v>
      </c>
      <c r="HK14" s="215">
        <f t="shared" si="139"/>
        <v>0</v>
      </c>
      <c r="HL14" s="211">
        <f t="shared" si="140"/>
        <v>0</v>
      </c>
      <c r="HM14" s="51">
        <f t="shared" si="141"/>
        <v>0</v>
      </c>
    </row>
    <row r="15" spans="1:221">
      <c r="A15" s="49" t="s">
        <v>34</v>
      </c>
      <c r="B15" s="51">
        <v>8.6198428571428565</v>
      </c>
      <c r="C15" s="51" t="s">
        <v>277</v>
      </c>
      <c r="D15" s="51">
        <f t="shared" si="0"/>
        <v>0</v>
      </c>
      <c r="E15" s="51" t="str">
        <f t="shared" si="1"/>
        <v/>
      </c>
      <c r="F15" s="51">
        <v>10.106842857142857</v>
      </c>
      <c r="G15" s="51" t="s">
        <v>277</v>
      </c>
      <c r="H15" s="51">
        <f t="shared" si="2"/>
        <v>0</v>
      </c>
      <c r="I15" s="51" t="str">
        <f t="shared" si="3"/>
        <v/>
      </c>
      <c r="J15" s="51">
        <v>10.483042857142857</v>
      </c>
      <c r="K15" s="51" t="s">
        <v>277</v>
      </c>
      <c r="L15" s="51">
        <f t="shared" si="4"/>
        <v>0</v>
      </c>
      <c r="M15" s="51" t="str">
        <f t="shared" si="5"/>
        <v/>
      </c>
      <c r="N15" s="51">
        <v>10.141042857142857</v>
      </c>
      <c r="O15" s="51" t="s">
        <v>277</v>
      </c>
      <c r="P15" s="51">
        <f t="shared" si="6"/>
        <v>0</v>
      </c>
      <c r="Q15" s="51" t="str">
        <f t="shared" si="7"/>
        <v/>
      </c>
      <c r="R15" s="51">
        <v>10.226542857142856</v>
      </c>
      <c r="S15" s="51" t="s">
        <v>277</v>
      </c>
      <c r="T15" s="51">
        <f t="shared" si="8"/>
        <v>0</v>
      </c>
      <c r="U15" s="51" t="str">
        <f t="shared" si="9"/>
        <v/>
      </c>
      <c r="V15" s="51">
        <v>10.773742857142858</v>
      </c>
      <c r="W15" s="51" t="s">
        <v>277</v>
      </c>
      <c r="X15" s="51">
        <f t="shared" si="10"/>
        <v>0</v>
      </c>
      <c r="Y15" s="51" t="str">
        <f t="shared" si="11"/>
        <v/>
      </c>
      <c r="Z15" s="51">
        <v>10.739542857142858</v>
      </c>
      <c r="AA15" s="51" t="s">
        <v>277</v>
      </c>
      <c r="AB15" s="51">
        <f t="shared" si="12"/>
        <v>0</v>
      </c>
      <c r="AC15" s="51" t="str">
        <f t="shared" si="13"/>
        <v/>
      </c>
      <c r="AD15" s="51">
        <v>11.115742857142857</v>
      </c>
      <c r="AE15" s="51" t="s">
        <v>277</v>
      </c>
      <c r="AF15" s="51">
        <f t="shared" si="14"/>
        <v>0</v>
      </c>
      <c r="AG15" s="51" t="str">
        <f t="shared" si="15"/>
        <v/>
      </c>
      <c r="AH15" s="51">
        <v>10.944742857142858</v>
      </c>
      <c r="AI15" s="51" t="s">
        <v>277</v>
      </c>
      <c r="AJ15" s="51">
        <f t="shared" si="16"/>
        <v>0</v>
      </c>
      <c r="AK15" s="51" t="str">
        <f t="shared" si="17"/>
        <v/>
      </c>
      <c r="AL15" s="51">
        <v>12.654742857142857</v>
      </c>
      <c r="AM15" s="51" t="s">
        <v>277</v>
      </c>
      <c r="AN15" s="51">
        <f t="shared" si="18"/>
        <v>0</v>
      </c>
      <c r="AO15" s="51" t="str">
        <f t="shared" si="19"/>
        <v/>
      </c>
      <c r="AP15" s="51">
        <v>11.286742857142858</v>
      </c>
      <c r="AQ15" s="51" t="s">
        <v>277</v>
      </c>
      <c r="AR15" s="51">
        <f t="shared" si="20"/>
        <v>0</v>
      </c>
      <c r="AS15" s="51" t="str">
        <f t="shared" si="21"/>
        <v/>
      </c>
      <c r="AT15" s="51">
        <v>18.429557142857142</v>
      </c>
      <c r="AU15" s="51" t="s">
        <v>277</v>
      </c>
      <c r="AV15" s="51">
        <f t="shared" si="22"/>
        <v>0</v>
      </c>
      <c r="AW15" s="51" t="str">
        <f t="shared" si="23"/>
        <v/>
      </c>
      <c r="AX15" s="51">
        <v>17.374342857142857</v>
      </c>
      <c r="AY15" s="51" t="s">
        <v>277</v>
      </c>
      <c r="AZ15" s="51">
        <f t="shared" si="24"/>
        <v>0</v>
      </c>
      <c r="BA15" s="51" t="str">
        <f t="shared" si="25"/>
        <v/>
      </c>
      <c r="BB15" s="51">
        <v>13.697842857142858</v>
      </c>
      <c r="BC15" s="51" t="s">
        <v>277</v>
      </c>
      <c r="BD15" s="51">
        <f t="shared" si="107"/>
        <v>0</v>
      </c>
      <c r="BE15" s="51" t="str">
        <f t="shared" si="108"/>
        <v/>
      </c>
      <c r="BF15" s="51">
        <v>12.774442857142859</v>
      </c>
      <c r="BG15" s="51" t="s">
        <v>277</v>
      </c>
      <c r="BH15" s="51">
        <f t="shared" si="28"/>
        <v>0</v>
      </c>
      <c r="BI15" s="51" t="str">
        <f t="shared" si="29"/>
        <v/>
      </c>
      <c r="BJ15" s="51">
        <v>12.996742857142857</v>
      </c>
      <c r="BK15" s="51" t="s">
        <v>277</v>
      </c>
      <c r="BL15" s="51">
        <f t="shared" si="30"/>
        <v>0</v>
      </c>
      <c r="BM15" s="51" t="str">
        <f t="shared" si="31"/>
        <v/>
      </c>
      <c r="BN15" s="51">
        <v>13.082242857142857</v>
      </c>
      <c r="BO15" s="51" t="s">
        <v>277</v>
      </c>
      <c r="BP15" s="51">
        <f t="shared" si="32"/>
        <v>0</v>
      </c>
      <c r="BQ15" s="51" t="str">
        <f t="shared" si="33"/>
        <v/>
      </c>
      <c r="BR15" s="51">
        <v>15.818242857142858</v>
      </c>
      <c r="BS15" s="51" t="s">
        <v>277</v>
      </c>
      <c r="BT15" s="51">
        <f t="shared" si="34"/>
        <v>0</v>
      </c>
      <c r="BU15" s="51" t="str">
        <f t="shared" si="35"/>
        <v/>
      </c>
      <c r="BV15" s="51">
        <v>13.851742857142858</v>
      </c>
      <c r="BW15" s="51" t="s">
        <v>277</v>
      </c>
      <c r="BX15" s="51">
        <f t="shared" si="109"/>
        <v>0</v>
      </c>
      <c r="BY15" s="51" t="str">
        <f t="shared" si="110"/>
        <v/>
      </c>
      <c r="BZ15" s="51">
        <v>13.595242857142857</v>
      </c>
      <c r="CA15" s="51" t="s">
        <v>277</v>
      </c>
      <c r="CB15" s="51">
        <f t="shared" si="111"/>
        <v>0</v>
      </c>
      <c r="CC15" s="51" t="str">
        <f t="shared" si="112"/>
        <v/>
      </c>
      <c r="CD15" s="51">
        <v>12.740242857142857</v>
      </c>
      <c r="CE15" s="51" t="s">
        <v>277</v>
      </c>
      <c r="CF15" s="51">
        <f t="shared" si="40"/>
        <v>0</v>
      </c>
      <c r="CG15" s="51" t="str">
        <f t="shared" si="41"/>
        <v/>
      </c>
      <c r="CH15" s="51">
        <v>15.031642857142856</v>
      </c>
      <c r="CI15" s="51" t="s">
        <v>277</v>
      </c>
      <c r="CJ15" s="51">
        <f t="shared" si="144"/>
        <v>0</v>
      </c>
      <c r="CK15" s="51" t="str">
        <f t="shared" si="145"/>
        <v/>
      </c>
      <c r="CL15" s="51">
        <v>16.177342857142854</v>
      </c>
      <c r="CM15" s="51" t="s">
        <v>277</v>
      </c>
      <c r="CN15" s="51">
        <f t="shared" si="113"/>
        <v>0</v>
      </c>
      <c r="CO15" s="51" t="str">
        <f t="shared" si="114"/>
        <v/>
      </c>
      <c r="CP15" s="51">
        <v>16.792942857142855</v>
      </c>
      <c r="CQ15" s="51" t="s">
        <v>277</v>
      </c>
      <c r="CR15" s="51">
        <f t="shared" si="46"/>
        <v>0</v>
      </c>
      <c r="CS15" s="51" t="str">
        <f t="shared" si="47"/>
        <v/>
      </c>
      <c r="CT15" s="51">
        <v>13.869542857142861</v>
      </c>
      <c r="CU15" s="230" t="s">
        <v>277</v>
      </c>
      <c r="CV15" s="51">
        <f t="shared" si="48"/>
        <v>0</v>
      </c>
      <c r="CW15" s="51" t="str">
        <f t="shared" si="49"/>
        <v/>
      </c>
      <c r="CX15" s="51">
        <v>14.758042857142858</v>
      </c>
      <c r="CY15" s="230" t="s">
        <v>277</v>
      </c>
      <c r="CZ15" s="51">
        <f t="shared" si="115"/>
        <v>0</v>
      </c>
      <c r="DA15" s="51" t="str">
        <f t="shared" si="116"/>
        <v/>
      </c>
      <c r="DB15" s="51">
        <v>13.732042857142858</v>
      </c>
      <c r="DC15" s="230" t="s">
        <v>277</v>
      </c>
      <c r="DD15" s="51">
        <f t="shared" si="52"/>
        <v>0</v>
      </c>
      <c r="DE15" s="51" t="str">
        <f t="shared" si="53"/>
        <v/>
      </c>
      <c r="DF15" s="51">
        <v>15.356542857142859</v>
      </c>
      <c r="DG15" s="230" t="s">
        <v>277</v>
      </c>
      <c r="DH15" s="51">
        <f t="shared" si="54"/>
        <v>0</v>
      </c>
      <c r="DI15" s="51" t="str">
        <f t="shared" si="55"/>
        <v/>
      </c>
      <c r="DJ15" s="51">
        <v>18.520042857142855</v>
      </c>
      <c r="DK15" s="51" t="s">
        <v>277</v>
      </c>
      <c r="DL15" s="51">
        <f t="shared" si="56"/>
        <v>0</v>
      </c>
      <c r="DM15" s="51" t="str">
        <f t="shared" si="57"/>
        <v/>
      </c>
      <c r="DN15" s="51">
        <v>15.100042857142858</v>
      </c>
      <c r="DO15" s="51" t="s">
        <v>277</v>
      </c>
      <c r="DP15" s="51">
        <f t="shared" si="58"/>
        <v>0</v>
      </c>
      <c r="DQ15" s="51" t="str">
        <f t="shared" si="59"/>
        <v/>
      </c>
      <c r="DR15" s="51">
        <v>15.100042857142858</v>
      </c>
      <c r="DS15" s="51" t="s">
        <v>277</v>
      </c>
      <c r="DT15" s="51">
        <f t="shared" si="60"/>
        <v>0</v>
      </c>
      <c r="DU15" s="51" t="str">
        <f t="shared" si="61"/>
        <v/>
      </c>
      <c r="DV15" s="51">
        <v>14.758042857142858</v>
      </c>
      <c r="DW15" s="230" t="s">
        <v>277</v>
      </c>
      <c r="DX15" s="51">
        <f t="shared" si="62"/>
        <v>0</v>
      </c>
      <c r="DY15" s="51" t="str">
        <f t="shared" si="63"/>
        <v/>
      </c>
      <c r="DZ15" s="51">
        <v>14.946142857142856</v>
      </c>
      <c r="EA15" s="51" t="s">
        <v>277</v>
      </c>
      <c r="EB15" s="51">
        <f t="shared" si="64"/>
        <v>0</v>
      </c>
      <c r="EC15" s="51" t="str">
        <f t="shared" si="65"/>
        <v/>
      </c>
      <c r="ED15" s="51">
        <v>18.024142857142856</v>
      </c>
      <c r="EE15" s="51" t="s">
        <v>277</v>
      </c>
      <c r="EF15" s="51">
        <f t="shared" si="66"/>
        <v>0</v>
      </c>
      <c r="EG15" s="51" t="str">
        <f t="shared" si="67"/>
        <v/>
      </c>
      <c r="EH15" s="51">
        <v>14.176642857142857</v>
      </c>
      <c r="EI15" s="230" t="s">
        <v>277</v>
      </c>
      <c r="EJ15" s="250">
        <f t="shared" si="68"/>
        <v>0</v>
      </c>
      <c r="EK15" s="51" t="str">
        <f t="shared" si="69"/>
        <v/>
      </c>
      <c r="EL15" s="51">
        <v>17.682142857142857</v>
      </c>
      <c r="EM15" s="250" t="s">
        <v>277</v>
      </c>
      <c r="EN15" s="230">
        <f t="shared" si="70"/>
        <v>0</v>
      </c>
      <c r="EO15" s="51" t="str">
        <f t="shared" si="71"/>
        <v/>
      </c>
      <c r="EP15" s="51">
        <v>17.144214285714288</v>
      </c>
      <c r="EQ15" s="230" t="s">
        <v>277</v>
      </c>
      <c r="ER15" s="51">
        <f t="shared" si="72"/>
        <v>0</v>
      </c>
      <c r="ES15" s="51" t="str">
        <f t="shared" si="73"/>
        <v/>
      </c>
      <c r="ET15" s="51">
        <v>17.999214285714288</v>
      </c>
      <c r="EU15" s="230" t="s">
        <v>277</v>
      </c>
      <c r="EV15" s="51">
        <f t="shared" si="117"/>
        <v>0</v>
      </c>
      <c r="EW15" s="51" t="str">
        <f t="shared" si="75"/>
        <v/>
      </c>
      <c r="EX15" s="51">
        <v>17.913714285714285</v>
      </c>
      <c r="EY15" s="51" t="s">
        <v>277</v>
      </c>
      <c r="EZ15" s="51">
        <f t="shared" si="76"/>
        <v>0</v>
      </c>
      <c r="FA15" s="51" t="str">
        <f t="shared" si="77"/>
        <v/>
      </c>
      <c r="FB15" s="51">
        <v>17.229714285714287</v>
      </c>
      <c r="FC15" s="51" t="s">
        <v>277</v>
      </c>
      <c r="FD15" s="51">
        <f t="shared" si="78"/>
        <v>0</v>
      </c>
      <c r="FE15" s="51" t="str">
        <f t="shared" si="79"/>
        <v/>
      </c>
      <c r="FF15" s="51">
        <v>20.957514285714286</v>
      </c>
      <c r="FG15" s="51" t="s">
        <v>277</v>
      </c>
      <c r="FH15" s="51">
        <f t="shared" si="80"/>
        <v>0</v>
      </c>
      <c r="FI15" s="51" t="str">
        <f t="shared" si="81"/>
        <v/>
      </c>
      <c r="FJ15" s="51">
        <v>18.768714285714285</v>
      </c>
      <c r="FK15" s="230" t="s">
        <v>277</v>
      </c>
      <c r="FL15" s="51">
        <f t="shared" si="82"/>
        <v>0</v>
      </c>
      <c r="FM15" s="51" t="str">
        <f t="shared" si="83"/>
        <v/>
      </c>
      <c r="FN15" s="51">
        <v>17.028078571428573</v>
      </c>
      <c r="FO15" s="51"/>
      <c r="FP15" s="51"/>
      <c r="FQ15" s="51"/>
      <c r="FR15" s="51">
        <f t="shared" si="118"/>
        <v>0</v>
      </c>
      <c r="FS15" s="14">
        <f t="shared" si="119"/>
        <v>0</v>
      </c>
      <c r="FT15">
        <f t="shared" si="120"/>
        <v>0</v>
      </c>
      <c r="FV15" s="215">
        <f t="shared" si="84"/>
        <v>0</v>
      </c>
      <c r="FW15" s="215">
        <f t="shared" si="85"/>
        <v>0</v>
      </c>
      <c r="FX15" s="215">
        <f t="shared" si="86"/>
        <v>0</v>
      </c>
      <c r="FY15" s="215">
        <f t="shared" si="87"/>
        <v>0</v>
      </c>
      <c r="FZ15" s="215">
        <f t="shared" si="88"/>
        <v>0</v>
      </c>
      <c r="GA15" s="215">
        <f t="shared" si="89"/>
        <v>0</v>
      </c>
      <c r="GB15" s="215">
        <f t="shared" si="90"/>
        <v>0</v>
      </c>
      <c r="GC15" s="215">
        <f t="shared" si="91"/>
        <v>0</v>
      </c>
      <c r="GD15" s="215">
        <f t="shared" si="92"/>
        <v>0</v>
      </c>
      <c r="GE15" s="215">
        <f t="shared" si="93"/>
        <v>0</v>
      </c>
      <c r="GF15" s="215">
        <f t="shared" si="94"/>
        <v>0</v>
      </c>
      <c r="GG15" s="215">
        <f t="shared" si="95"/>
        <v>0</v>
      </c>
      <c r="GH15" s="215">
        <f t="shared" si="96"/>
        <v>0</v>
      </c>
      <c r="GI15" s="215">
        <f t="shared" si="97"/>
        <v>0</v>
      </c>
      <c r="GJ15" s="215">
        <f t="shared" si="98"/>
        <v>0</v>
      </c>
      <c r="GK15" s="215">
        <f t="shared" si="99"/>
        <v>0</v>
      </c>
      <c r="GL15" s="215">
        <f t="shared" si="100"/>
        <v>0</v>
      </c>
      <c r="GM15" s="215">
        <f t="shared" si="101"/>
        <v>0</v>
      </c>
      <c r="GN15" s="215">
        <f t="shared" si="102"/>
        <v>0</v>
      </c>
      <c r="GO15" s="215">
        <f t="shared" si="103"/>
        <v>0</v>
      </c>
      <c r="GP15" s="215">
        <f t="shared" si="104"/>
        <v>0</v>
      </c>
      <c r="GQ15" s="215">
        <f t="shared" si="105"/>
        <v>0</v>
      </c>
      <c r="GR15" s="215">
        <f t="shared" si="106"/>
        <v>0</v>
      </c>
      <c r="GS15" s="215">
        <f t="shared" si="121"/>
        <v>0</v>
      </c>
      <c r="GT15" s="215">
        <f t="shared" si="122"/>
        <v>0</v>
      </c>
      <c r="GU15" s="215">
        <f t="shared" si="123"/>
        <v>0</v>
      </c>
      <c r="GV15" s="215">
        <f t="shared" si="124"/>
        <v>0</v>
      </c>
      <c r="GW15" s="215">
        <f t="shared" si="125"/>
        <v>0</v>
      </c>
      <c r="GX15" s="215">
        <f t="shared" si="126"/>
        <v>0</v>
      </c>
      <c r="GY15" s="215">
        <f t="shared" si="127"/>
        <v>0</v>
      </c>
      <c r="GZ15" s="215">
        <f t="shared" si="128"/>
        <v>0</v>
      </c>
      <c r="HA15" s="215">
        <f t="shared" si="129"/>
        <v>0</v>
      </c>
      <c r="HB15" s="215">
        <f t="shared" si="130"/>
        <v>0</v>
      </c>
      <c r="HC15" s="215">
        <f t="shared" si="131"/>
        <v>0</v>
      </c>
      <c r="HD15" s="215">
        <f t="shared" si="132"/>
        <v>0</v>
      </c>
      <c r="HE15" s="215">
        <f t="shared" si="133"/>
        <v>0</v>
      </c>
      <c r="HF15" s="215">
        <f t="shared" si="134"/>
        <v>0</v>
      </c>
      <c r="HG15" s="215">
        <f t="shared" si="135"/>
        <v>0</v>
      </c>
      <c r="HH15" s="215">
        <f t="shared" si="136"/>
        <v>0</v>
      </c>
      <c r="HI15" s="215">
        <f t="shared" si="137"/>
        <v>0</v>
      </c>
      <c r="HJ15" s="215">
        <f t="shared" si="138"/>
        <v>0</v>
      </c>
      <c r="HK15" s="215">
        <f t="shared" si="139"/>
        <v>0</v>
      </c>
      <c r="HL15" s="211">
        <f t="shared" si="140"/>
        <v>0</v>
      </c>
      <c r="HM15" s="51">
        <f t="shared" si="141"/>
        <v>0</v>
      </c>
    </row>
    <row r="16" spans="1:221">
      <c r="A16" s="49" t="s">
        <v>36</v>
      </c>
      <c r="B16" s="51">
        <v>8.6198428571428565</v>
      </c>
      <c r="C16" s="51" t="s">
        <v>277</v>
      </c>
      <c r="D16" s="51">
        <f t="shared" si="0"/>
        <v>0</v>
      </c>
      <c r="E16" s="51" t="str">
        <f t="shared" si="1"/>
        <v/>
      </c>
      <c r="F16" s="51">
        <v>10.106842857142857</v>
      </c>
      <c r="G16" s="51" t="s">
        <v>277</v>
      </c>
      <c r="H16" s="51">
        <f t="shared" si="2"/>
        <v>0</v>
      </c>
      <c r="I16" s="51" t="str">
        <f t="shared" si="3"/>
        <v/>
      </c>
      <c r="J16" s="51">
        <v>10.483042857142857</v>
      </c>
      <c r="K16" s="51" t="s">
        <v>277</v>
      </c>
      <c r="L16" s="51">
        <f t="shared" si="4"/>
        <v>0</v>
      </c>
      <c r="M16" s="51" t="str">
        <f t="shared" si="5"/>
        <v/>
      </c>
      <c r="N16" s="51">
        <v>10.141042857142857</v>
      </c>
      <c r="O16" s="51" t="s">
        <v>277</v>
      </c>
      <c r="P16" s="51">
        <f t="shared" si="6"/>
        <v>0</v>
      </c>
      <c r="Q16" s="51" t="str">
        <f t="shared" si="7"/>
        <v/>
      </c>
      <c r="R16" s="51">
        <v>10.226542857142856</v>
      </c>
      <c r="S16" s="51" t="s">
        <v>277</v>
      </c>
      <c r="T16" s="51">
        <f t="shared" si="8"/>
        <v>0</v>
      </c>
      <c r="U16" s="51" t="str">
        <f t="shared" si="9"/>
        <v/>
      </c>
      <c r="V16" s="51">
        <v>10.773742857142858</v>
      </c>
      <c r="W16" s="51" t="s">
        <v>277</v>
      </c>
      <c r="X16" s="51">
        <f t="shared" si="10"/>
        <v>0</v>
      </c>
      <c r="Y16" s="51" t="str">
        <f t="shared" si="11"/>
        <v/>
      </c>
      <c r="Z16" s="51">
        <v>10.739542857142858</v>
      </c>
      <c r="AA16" s="51" t="s">
        <v>277</v>
      </c>
      <c r="AB16" s="51">
        <f t="shared" si="12"/>
        <v>0</v>
      </c>
      <c r="AC16" s="51" t="str">
        <f t="shared" si="13"/>
        <v/>
      </c>
      <c r="AD16" s="51">
        <v>11.115742857142857</v>
      </c>
      <c r="AE16" s="51" t="s">
        <v>277</v>
      </c>
      <c r="AF16" s="51">
        <f t="shared" si="14"/>
        <v>0</v>
      </c>
      <c r="AG16" s="51" t="str">
        <f t="shared" si="15"/>
        <v/>
      </c>
      <c r="AH16" s="51">
        <v>10.944742857142858</v>
      </c>
      <c r="AI16" s="51" t="s">
        <v>277</v>
      </c>
      <c r="AJ16" s="51">
        <f t="shared" si="16"/>
        <v>0</v>
      </c>
      <c r="AK16" s="51" t="str">
        <f t="shared" si="17"/>
        <v/>
      </c>
      <c r="AL16" s="51">
        <v>12.654742857142857</v>
      </c>
      <c r="AM16" s="51" t="s">
        <v>277</v>
      </c>
      <c r="AN16" s="51">
        <f t="shared" si="18"/>
        <v>0</v>
      </c>
      <c r="AO16" s="51" t="str">
        <f t="shared" si="19"/>
        <v/>
      </c>
      <c r="AP16" s="51">
        <v>11.286742857142858</v>
      </c>
      <c r="AQ16" s="51" t="s">
        <v>277</v>
      </c>
      <c r="AR16" s="51">
        <f t="shared" si="20"/>
        <v>0</v>
      </c>
      <c r="AS16" s="51" t="str">
        <f t="shared" si="21"/>
        <v/>
      </c>
      <c r="AT16" s="51">
        <v>18.429557142857142</v>
      </c>
      <c r="AU16" s="51" t="s">
        <v>277</v>
      </c>
      <c r="AV16" s="51">
        <f t="shared" si="22"/>
        <v>0</v>
      </c>
      <c r="AW16" s="51" t="str">
        <f t="shared" si="23"/>
        <v/>
      </c>
      <c r="AX16" s="51">
        <v>17.374342857142857</v>
      </c>
      <c r="AY16" s="51" t="s">
        <v>277</v>
      </c>
      <c r="AZ16" s="51">
        <f t="shared" si="24"/>
        <v>0</v>
      </c>
      <c r="BA16" s="51" t="str">
        <f t="shared" si="25"/>
        <v/>
      </c>
      <c r="BB16" s="51">
        <v>13.697842857142858</v>
      </c>
      <c r="BC16" s="51" t="s">
        <v>277</v>
      </c>
      <c r="BD16" s="51">
        <f t="shared" si="107"/>
        <v>0</v>
      </c>
      <c r="BE16" s="51" t="str">
        <f t="shared" si="108"/>
        <v/>
      </c>
      <c r="BF16" s="51">
        <v>12.774442857142859</v>
      </c>
      <c r="BG16" s="51" t="s">
        <v>277</v>
      </c>
      <c r="BH16" s="51">
        <f t="shared" si="28"/>
        <v>0</v>
      </c>
      <c r="BI16" s="51" t="str">
        <f t="shared" si="29"/>
        <v/>
      </c>
      <c r="BJ16" s="51">
        <v>12.996742857142857</v>
      </c>
      <c r="BK16" s="51" t="s">
        <v>277</v>
      </c>
      <c r="BL16" s="51">
        <f t="shared" si="30"/>
        <v>0</v>
      </c>
      <c r="BM16" s="51" t="str">
        <f t="shared" si="31"/>
        <v/>
      </c>
      <c r="BN16" s="51">
        <v>13.082242857142857</v>
      </c>
      <c r="BO16" s="51" t="s">
        <v>277</v>
      </c>
      <c r="BP16" s="51">
        <f t="shared" si="32"/>
        <v>0</v>
      </c>
      <c r="BQ16" s="51" t="str">
        <f t="shared" si="33"/>
        <v/>
      </c>
      <c r="BR16" s="51">
        <v>15.818242857142858</v>
      </c>
      <c r="BS16" s="51" t="s">
        <v>277</v>
      </c>
      <c r="BT16" s="51">
        <f t="shared" si="34"/>
        <v>0</v>
      </c>
      <c r="BU16" s="51" t="str">
        <f t="shared" si="35"/>
        <v/>
      </c>
      <c r="BV16" s="51">
        <v>13.851742857142858</v>
      </c>
      <c r="BW16" s="51" t="s">
        <v>277</v>
      </c>
      <c r="BX16" s="51">
        <f t="shared" si="109"/>
        <v>0</v>
      </c>
      <c r="BY16" s="51" t="str">
        <f t="shared" si="110"/>
        <v/>
      </c>
      <c r="BZ16" s="51">
        <v>13.595242857142857</v>
      </c>
      <c r="CA16" s="51" t="s">
        <v>277</v>
      </c>
      <c r="CB16" s="51">
        <f t="shared" si="111"/>
        <v>0</v>
      </c>
      <c r="CC16" s="51" t="str">
        <f t="shared" si="112"/>
        <v/>
      </c>
      <c r="CD16" s="51">
        <v>12.740242857142857</v>
      </c>
      <c r="CE16" s="51" t="s">
        <v>277</v>
      </c>
      <c r="CF16" s="51">
        <f t="shared" si="40"/>
        <v>0</v>
      </c>
      <c r="CG16" s="51" t="str">
        <f t="shared" si="41"/>
        <v/>
      </c>
      <c r="CH16" s="51">
        <v>15.031642857142856</v>
      </c>
      <c r="CI16" s="51" t="s">
        <v>277</v>
      </c>
      <c r="CJ16" s="51">
        <f t="shared" si="144"/>
        <v>0</v>
      </c>
      <c r="CK16" s="51" t="str">
        <f t="shared" si="145"/>
        <v/>
      </c>
      <c r="CL16" s="51">
        <v>16.177342857142854</v>
      </c>
      <c r="CM16" s="51" t="s">
        <v>277</v>
      </c>
      <c r="CN16" s="51">
        <f t="shared" si="113"/>
        <v>0</v>
      </c>
      <c r="CO16" s="51" t="str">
        <f t="shared" si="114"/>
        <v/>
      </c>
      <c r="CP16" s="51">
        <v>16.792942857142855</v>
      </c>
      <c r="CQ16" s="51" t="s">
        <v>277</v>
      </c>
      <c r="CR16" s="51">
        <f t="shared" si="46"/>
        <v>0</v>
      </c>
      <c r="CS16" s="51" t="str">
        <f t="shared" si="47"/>
        <v/>
      </c>
      <c r="CT16" s="51">
        <v>13.869542857142861</v>
      </c>
      <c r="CU16" s="230" t="s">
        <v>277</v>
      </c>
      <c r="CV16" s="51">
        <f t="shared" si="48"/>
        <v>0</v>
      </c>
      <c r="CW16" s="51" t="str">
        <f t="shared" si="49"/>
        <v/>
      </c>
      <c r="CX16" s="51">
        <v>14.758042857142858</v>
      </c>
      <c r="CY16" s="230" t="s">
        <v>277</v>
      </c>
      <c r="CZ16" s="51">
        <f t="shared" si="115"/>
        <v>0</v>
      </c>
      <c r="DA16" s="51" t="str">
        <f t="shared" si="116"/>
        <v/>
      </c>
      <c r="DB16" s="51">
        <v>13.732042857142858</v>
      </c>
      <c r="DC16" s="230" t="s">
        <v>277</v>
      </c>
      <c r="DD16" s="51">
        <f t="shared" si="52"/>
        <v>0</v>
      </c>
      <c r="DE16" s="51" t="str">
        <f t="shared" si="53"/>
        <v/>
      </c>
      <c r="DF16" s="51">
        <v>15.356542857142859</v>
      </c>
      <c r="DG16" s="230" t="s">
        <v>277</v>
      </c>
      <c r="DH16" s="51">
        <f t="shared" si="54"/>
        <v>0</v>
      </c>
      <c r="DI16" s="51" t="str">
        <f t="shared" si="55"/>
        <v/>
      </c>
      <c r="DJ16" s="51">
        <v>18.520042857142855</v>
      </c>
      <c r="DK16" s="51" t="s">
        <v>277</v>
      </c>
      <c r="DL16" s="51">
        <f t="shared" si="56"/>
        <v>0</v>
      </c>
      <c r="DM16" s="51" t="str">
        <f t="shared" si="57"/>
        <v/>
      </c>
      <c r="DN16" s="51">
        <v>15.100042857142858</v>
      </c>
      <c r="DO16" s="51" t="s">
        <v>277</v>
      </c>
      <c r="DP16" s="51">
        <f t="shared" si="58"/>
        <v>0</v>
      </c>
      <c r="DQ16" s="51" t="str">
        <f t="shared" si="59"/>
        <v/>
      </c>
      <c r="DR16" s="51">
        <v>15.100042857142858</v>
      </c>
      <c r="DS16" s="51" t="s">
        <v>277</v>
      </c>
      <c r="DT16" s="51">
        <f t="shared" si="60"/>
        <v>0</v>
      </c>
      <c r="DU16" s="51" t="str">
        <f t="shared" si="61"/>
        <v/>
      </c>
      <c r="DV16" s="51">
        <v>14.758042857142858</v>
      </c>
      <c r="DW16" s="230" t="s">
        <v>277</v>
      </c>
      <c r="DX16" s="51">
        <f t="shared" si="62"/>
        <v>0</v>
      </c>
      <c r="DY16" s="51" t="str">
        <f t="shared" si="63"/>
        <v/>
      </c>
      <c r="DZ16" s="51">
        <v>14.946142857142856</v>
      </c>
      <c r="EA16" s="51" t="s">
        <v>277</v>
      </c>
      <c r="EB16" s="51">
        <f t="shared" si="64"/>
        <v>0</v>
      </c>
      <c r="EC16" s="51" t="str">
        <f t="shared" si="65"/>
        <v/>
      </c>
      <c r="ED16" s="51">
        <v>18.024142857142856</v>
      </c>
      <c r="EE16" s="51" t="s">
        <v>277</v>
      </c>
      <c r="EF16" s="51">
        <f t="shared" si="66"/>
        <v>0</v>
      </c>
      <c r="EG16" s="51" t="str">
        <f t="shared" si="67"/>
        <v/>
      </c>
      <c r="EH16" s="51">
        <v>14.176642857142857</v>
      </c>
      <c r="EI16" s="230" t="s">
        <v>277</v>
      </c>
      <c r="EJ16" s="250">
        <f t="shared" si="68"/>
        <v>0</v>
      </c>
      <c r="EK16" s="51" t="str">
        <f t="shared" si="69"/>
        <v/>
      </c>
      <c r="EL16" s="51">
        <v>17.682142857142857</v>
      </c>
      <c r="EM16" s="250" t="s">
        <v>277</v>
      </c>
      <c r="EN16" s="230">
        <f t="shared" si="70"/>
        <v>0</v>
      </c>
      <c r="EO16" s="51" t="str">
        <f t="shared" si="71"/>
        <v/>
      </c>
      <c r="EP16" s="51">
        <v>17.144214285714288</v>
      </c>
      <c r="EQ16" s="230" t="s">
        <v>277</v>
      </c>
      <c r="ER16" s="51">
        <f t="shared" si="72"/>
        <v>0</v>
      </c>
      <c r="ES16" s="51" t="str">
        <f t="shared" si="73"/>
        <v/>
      </c>
      <c r="ET16" s="51">
        <v>17.999214285714288</v>
      </c>
      <c r="EU16" s="230" t="s">
        <v>277</v>
      </c>
      <c r="EV16" s="51">
        <f t="shared" si="117"/>
        <v>0</v>
      </c>
      <c r="EW16" s="51" t="str">
        <f t="shared" si="75"/>
        <v/>
      </c>
      <c r="EX16" s="51">
        <v>17.913714285714285</v>
      </c>
      <c r="EY16" s="51" t="s">
        <v>277</v>
      </c>
      <c r="EZ16" s="51">
        <f t="shared" si="76"/>
        <v>0</v>
      </c>
      <c r="FA16" s="51" t="str">
        <f t="shared" si="77"/>
        <v/>
      </c>
      <c r="FB16" s="51">
        <v>17.229714285714287</v>
      </c>
      <c r="FC16" s="51" t="s">
        <v>277</v>
      </c>
      <c r="FD16" s="51">
        <f t="shared" si="78"/>
        <v>0</v>
      </c>
      <c r="FE16" s="51" t="str">
        <f t="shared" si="79"/>
        <v/>
      </c>
      <c r="FF16" s="51">
        <v>20.957514285714286</v>
      </c>
      <c r="FG16" s="51" t="s">
        <v>277</v>
      </c>
      <c r="FH16" s="51">
        <f t="shared" ref="FH16:FH38" si="146">IF(FG16="",FF16,0)</f>
        <v>0</v>
      </c>
      <c r="FI16" s="51" t="str">
        <f t="shared" ref="FI16:FI38" si="147">IF(FH16&gt;0,"Debe","")</f>
        <v/>
      </c>
      <c r="FJ16" s="51">
        <v>18.768714285714285</v>
      </c>
      <c r="FK16" s="230" t="s">
        <v>277</v>
      </c>
      <c r="FL16" s="51">
        <f t="shared" si="82"/>
        <v>0</v>
      </c>
      <c r="FM16" s="51" t="str">
        <f t="shared" si="83"/>
        <v/>
      </c>
      <c r="FN16" s="51">
        <v>17.028078571428573</v>
      </c>
      <c r="FO16" s="51"/>
      <c r="FP16" s="51"/>
      <c r="FQ16" s="51"/>
      <c r="FR16" s="51">
        <f t="shared" si="118"/>
        <v>0</v>
      </c>
      <c r="FS16" s="14">
        <f t="shared" si="119"/>
        <v>0</v>
      </c>
      <c r="FT16">
        <f t="shared" si="120"/>
        <v>0</v>
      </c>
      <c r="FV16" s="215">
        <f t="shared" si="84"/>
        <v>0</v>
      </c>
      <c r="FW16" s="215">
        <f t="shared" si="85"/>
        <v>0</v>
      </c>
      <c r="FX16" s="215">
        <f t="shared" si="86"/>
        <v>0</v>
      </c>
      <c r="FY16" s="215">
        <f t="shared" si="87"/>
        <v>0</v>
      </c>
      <c r="FZ16" s="215">
        <f t="shared" si="88"/>
        <v>0</v>
      </c>
      <c r="GA16" s="215">
        <f t="shared" si="89"/>
        <v>0</v>
      </c>
      <c r="GB16" s="215">
        <f t="shared" si="90"/>
        <v>0</v>
      </c>
      <c r="GC16" s="215">
        <f t="shared" si="91"/>
        <v>0</v>
      </c>
      <c r="GD16" s="215">
        <f t="shared" si="92"/>
        <v>0</v>
      </c>
      <c r="GE16" s="215">
        <f t="shared" si="93"/>
        <v>0</v>
      </c>
      <c r="GF16" s="215">
        <f t="shared" si="94"/>
        <v>0</v>
      </c>
      <c r="GG16" s="215">
        <f t="shared" si="95"/>
        <v>0</v>
      </c>
      <c r="GH16" s="215">
        <f t="shared" si="96"/>
        <v>0</v>
      </c>
      <c r="GI16" s="215">
        <f t="shared" si="97"/>
        <v>0</v>
      </c>
      <c r="GJ16" s="215">
        <f t="shared" si="98"/>
        <v>0</v>
      </c>
      <c r="GK16" s="215">
        <f t="shared" si="99"/>
        <v>0</v>
      </c>
      <c r="GL16" s="215">
        <f t="shared" si="100"/>
        <v>0</v>
      </c>
      <c r="GM16" s="215">
        <f t="shared" si="101"/>
        <v>0</v>
      </c>
      <c r="GN16" s="215">
        <f t="shared" si="102"/>
        <v>0</v>
      </c>
      <c r="GO16" s="215">
        <f t="shared" si="103"/>
        <v>0</v>
      </c>
      <c r="GP16" s="215">
        <f t="shared" si="104"/>
        <v>0</v>
      </c>
      <c r="GQ16" s="215">
        <f t="shared" si="105"/>
        <v>0</v>
      </c>
      <c r="GR16" s="215">
        <f t="shared" si="106"/>
        <v>0</v>
      </c>
      <c r="GS16" s="215">
        <f t="shared" si="121"/>
        <v>0</v>
      </c>
      <c r="GT16" s="215">
        <f t="shared" si="122"/>
        <v>0</v>
      </c>
      <c r="GU16" s="215">
        <f t="shared" si="123"/>
        <v>0</v>
      </c>
      <c r="GV16" s="215">
        <f t="shared" si="124"/>
        <v>0</v>
      </c>
      <c r="GW16" s="215">
        <f t="shared" si="125"/>
        <v>0</v>
      </c>
      <c r="GX16" s="215">
        <f t="shared" si="126"/>
        <v>0</v>
      </c>
      <c r="GY16" s="215">
        <f t="shared" si="127"/>
        <v>0</v>
      </c>
      <c r="GZ16" s="215">
        <f t="shared" si="128"/>
        <v>0</v>
      </c>
      <c r="HA16" s="215">
        <f t="shared" si="129"/>
        <v>0</v>
      </c>
      <c r="HB16" s="215">
        <f t="shared" si="130"/>
        <v>0</v>
      </c>
      <c r="HC16" s="215">
        <f t="shared" si="131"/>
        <v>0</v>
      </c>
      <c r="HD16" s="215">
        <f t="shared" si="132"/>
        <v>0</v>
      </c>
      <c r="HE16" s="215">
        <f t="shared" si="133"/>
        <v>0</v>
      </c>
      <c r="HF16" s="215">
        <f t="shared" si="134"/>
        <v>0</v>
      </c>
      <c r="HG16" s="215">
        <f t="shared" si="135"/>
        <v>0</v>
      </c>
      <c r="HH16" s="215">
        <f t="shared" si="136"/>
        <v>0</v>
      </c>
      <c r="HI16" s="215">
        <f t="shared" si="137"/>
        <v>0</v>
      </c>
      <c r="HJ16" s="215">
        <f t="shared" si="138"/>
        <v>0</v>
      </c>
      <c r="HK16" s="215">
        <f t="shared" si="139"/>
        <v>0</v>
      </c>
      <c r="HL16" s="211">
        <f t="shared" si="140"/>
        <v>0</v>
      </c>
      <c r="HM16" s="51">
        <f t="shared" si="141"/>
        <v>0</v>
      </c>
    </row>
    <row r="17" spans="1:224">
      <c r="A17" s="49" t="s">
        <v>37</v>
      </c>
      <c r="B17" s="51">
        <v>8.6198428571428565</v>
      </c>
      <c r="C17" s="51" t="s">
        <v>277</v>
      </c>
      <c r="D17" s="51">
        <f t="shared" si="0"/>
        <v>0</v>
      </c>
      <c r="E17" s="51" t="str">
        <f t="shared" si="1"/>
        <v/>
      </c>
      <c r="F17" s="51">
        <v>10.106842857142857</v>
      </c>
      <c r="G17" s="51" t="s">
        <v>277</v>
      </c>
      <c r="H17" s="51">
        <f t="shared" si="2"/>
        <v>0</v>
      </c>
      <c r="I17" s="51" t="str">
        <f t="shared" si="3"/>
        <v/>
      </c>
      <c r="J17" s="51">
        <v>10.483042857142857</v>
      </c>
      <c r="K17" s="51" t="s">
        <v>277</v>
      </c>
      <c r="L17" s="51">
        <f t="shared" si="4"/>
        <v>0</v>
      </c>
      <c r="M17" s="51" t="str">
        <f t="shared" si="5"/>
        <v/>
      </c>
      <c r="N17" s="51">
        <v>10.141042857142857</v>
      </c>
      <c r="O17" s="51" t="s">
        <v>277</v>
      </c>
      <c r="P17" s="51">
        <f t="shared" si="6"/>
        <v>0</v>
      </c>
      <c r="Q17" s="51" t="str">
        <f t="shared" si="7"/>
        <v/>
      </c>
      <c r="R17" s="51">
        <v>10.226542857142856</v>
      </c>
      <c r="S17" s="51" t="s">
        <v>277</v>
      </c>
      <c r="T17" s="51">
        <f t="shared" si="8"/>
        <v>0</v>
      </c>
      <c r="U17" s="51" t="str">
        <f t="shared" si="9"/>
        <v/>
      </c>
      <c r="V17" s="51">
        <v>10.773742857142858</v>
      </c>
      <c r="W17" s="51" t="s">
        <v>277</v>
      </c>
      <c r="X17" s="51">
        <f t="shared" si="10"/>
        <v>0</v>
      </c>
      <c r="Y17" s="51" t="str">
        <f t="shared" si="11"/>
        <v/>
      </c>
      <c r="Z17" s="51">
        <v>10.739542857142858</v>
      </c>
      <c r="AA17" s="51" t="s">
        <v>277</v>
      </c>
      <c r="AB17" s="51">
        <f t="shared" si="12"/>
        <v>0</v>
      </c>
      <c r="AC17" s="51" t="str">
        <f t="shared" si="13"/>
        <v/>
      </c>
      <c r="AD17" s="51">
        <v>11.115742857142857</v>
      </c>
      <c r="AE17" s="51" t="s">
        <v>277</v>
      </c>
      <c r="AF17" s="51">
        <f t="shared" si="14"/>
        <v>0</v>
      </c>
      <c r="AG17" s="51" t="str">
        <f t="shared" si="15"/>
        <v/>
      </c>
      <c r="AH17" s="51">
        <v>10.944742857142858</v>
      </c>
      <c r="AI17" s="51" t="s">
        <v>277</v>
      </c>
      <c r="AJ17" s="51">
        <f t="shared" si="16"/>
        <v>0</v>
      </c>
      <c r="AK17" s="51" t="str">
        <f t="shared" si="17"/>
        <v/>
      </c>
      <c r="AL17" s="51">
        <v>12.654742857142857</v>
      </c>
      <c r="AM17" s="51" t="s">
        <v>277</v>
      </c>
      <c r="AN17" s="51">
        <f t="shared" si="18"/>
        <v>0</v>
      </c>
      <c r="AO17" s="51" t="str">
        <f t="shared" si="19"/>
        <v/>
      </c>
      <c r="AP17" s="51">
        <v>11.286742857142858</v>
      </c>
      <c r="AQ17" s="51" t="s">
        <v>277</v>
      </c>
      <c r="AR17" s="51">
        <f t="shared" si="20"/>
        <v>0</v>
      </c>
      <c r="AS17" s="51" t="str">
        <f t="shared" si="21"/>
        <v/>
      </c>
      <c r="AT17" s="51">
        <v>18.429557142857142</v>
      </c>
      <c r="AU17" s="51" t="s">
        <v>277</v>
      </c>
      <c r="AV17" s="51">
        <f t="shared" si="22"/>
        <v>0</v>
      </c>
      <c r="AW17" s="51" t="str">
        <f t="shared" si="23"/>
        <v/>
      </c>
      <c r="AX17" s="51">
        <v>17.374342857142857</v>
      </c>
      <c r="AY17" s="51" t="s">
        <v>277</v>
      </c>
      <c r="AZ17" s="51">
        <f t="shared" si="24"/>
        <v>0</v>
      </c>
      <c r="BA17" s="51" t="str">
        <f t="shared" si="25"/>
        <v/>
      </c>
      <c r="BB17" s="51">
        <v>13.697842857142858</v>
      </c>
      <c r="BC17" s="51" t="s">
        <v>277</v>
      </c>
      <c r="BD17" s="51">
        <f t="shared" si="107"/>
        <v>0</v>
      </c>
      <c r="BE17" s="51" t="str">
        <f t="shared" si="108"/>
        <v/>
      </c>
      <c r="BF17" s="51">
        <v>12.774442857142859</v>
      </c>
      <c r="BG17" s="51" t="s">
        <v>277</v>
      </c>
      <c r="BH17" s="51">
        <f t="shared" si="28"/>
        <v>0</v>
      </c>
      <c r="BI17" s="51" t="str">
        <f t="shared" si="29"/>
        <v/>
      </c>
      <c r="BJ17" s="51">
        <v>12.996742857142857</v>
      </c>
      <c r="BK17" s="51" t="s">
        <v>277</v>
      </c>
      <c r="BL17" s="51">
        <f t="shared" si="30"/>
        <v>0</v>
      </c>
      <c r="BM17" s="51" t="str">
        <f t="shared" si="31"/>
        <v/>
      </c>
      <c r="BN17" s="51">
        <v>13.082242857142857</v>
      </c>
      <c r="BO17" s="51" t="s">
        <v>277</v>
      </c>
      <c r="BP17" s="51">
        <f t="shared" si="32"/>
        <v>0</v>
      </c>
      <c r="BQ17" s="51" t="str">
        <f t="shared" si="33"/>
        <v/>
      </c>
      <c r="BR17" s="51">
        <v>15.818242857142858</v>
      </c>
      <c r="BS17" s="51" t="s">
        <v>277</v>
      </c>
      <c r="BT17" s="51">
        <f t="shared" si="34"/>
        <v>0</v>
      </c>
      <c r="BU17" s="51" t="str">
        <f t="shared" si="35"/>
        <v/>
      </c>
      <c r="BV17" s="51">
        <v>13.851742857142858</v>
      </c>
      <c r="BW17" s="51" t="s">
        <v>277</v>
      </c>
      <c r="BX17" s="51">
        <f t="shared" si="109"/>
        <v>0</v>
      </c>
      <c r="BY17" s="51" t="str">
        <f t="shared" si="110"/>
        <v/>
      </c>
      <c r="BZ17" s="51">
        <v>13.595242857142857</v>
      </c>
      <c r="CA17" s="51" t="s">
        <v>277</v>
      </c>
      <c r="CB17" s="51">
        <f t="shared" si="111"/>
        <v>0</v>
      </c>
      <c r="CC17" s="51" t="str">
        <f t="shared" si="112"/>
        <v/>
      </c>
      <c r="CD17" s="51">
        <v>12.740242857142857</v>
      </c>
      <c r="CE17" s="51" t="s">
        <v>277</v>
      </c>
      <c r="CF17" s="51">
        <f t="shared" si="40"/>
        <v>0</v>
      </c>
      <c r="CG17" s="51" t="str">
        <f t="shared" si="41"/>
        <v/>
      </c>
      <c r="CH17" s="51">
        <v>15.031642857142856</v>
      </c>
      <c r="CI17" s="51" t="s">
        <v>277</v>
      </c>
      <c r="CJ17" s="51">
        <f t="shared" si="144"/>
        <v>0</v>
      </c>
      <c r="CK17" s="51" t="str">
        <f t="shared" si="145"/>
        <v/>
      </c>
      <c r="CL17" s="51">
        <v>33.177342857142854</v>
      </c>
      <c r="CM17" s="51" t="s">
        <v>277</v>
      </c>
      <c r="CN17" s="51">
        <f t="shared" si="113"/>
        <v>0</v>
      </c>
      <c r="CO17" s="51" t="str">
        <f t="shared" si="114"/>
        <v/>
      </c>
      <c r="CP17" s="51">
        <v>16.792942857142855</v>
      </c>
      <c r="CQ17" s="51" t="s">
        <v>277</v>
      </c>
      <c r="CR17" s="51">
        <f t="shared" si="46"/>
        <v>0</v>
      </c>
      <c r="CS17" s="51" t="str">
        <f t="shared" si="47"/>
        <v/>
      </c>
      <c r="CT17" s="51">
        <v>13.869542857142861</v>
      </c>
      <c r="CU17" s="230" t="s">
        <v>277</v>
      </c>
      <c r="CV17" s="51">
        <f t="shared" si="48"/>
        <v>0</v>
      </c>
      <c r="CW17" s="51" t="str">
        <f t="shared" si="49"/>
        <v/>
      </c>
      <c r="CX17" s="51">
        <v>14.758042857142858</v>
      </c>
      <c r="CY17" s="230" t="s">
        <v>277</v>
      </c>
      <c r="CZ17" s="51">
        <f t="shared" si="115"/>
        <v>0</v>
      </c>
      <c r="DA17" s="51" t="str">
        <f t="shared" si="116"/>
        <v/>
      </c>
      <c r="DB17" s="51">
        <v>13.732042857142858</v>
      </c>
      <c r="DC17" s="230" t="s">
        <v>277</v>
      </c>
      <c r="DD17" s="51">
        <f t="shared" si="52"/>
        <v>0</v>
      </c>
      <c r="DE17" s="51" t="str">
        <f t="shared" si="53"/>
        <v/>
      </c>
      <c r="DF17" s="51">
        <v>15.356542857142859</v>
      </c>
      <c r="DG17" s="230" t="s">
        <v>277</v>
      </c>
      <c r="DH17" s="51">
        <f t="shared" si="54"/>
        <v>0</v>
      </c>
      <c r="DI17" s="51" t="str">
        <f t="shared" si="55"/>
        <v/>
      </c>
      <c r="DJ17" s="51">
        <v>18.520042857142855</v>
      </c>
      <c r="DK17" s="51" t="s">
        <v>277</v>
      </c>
      <c r="DL17" s="51">
        <f t="shared" si="56"/>
        <v>0</v>
      </c>
      <c r="DM17" s="51" t="str">
        <f t="shared" si="57"/>
        <v/>
      </c>
      <c r="DN17" s="51">
        <v>15.100042857142858</v>
      </c>
      <c r="DO17" s="51" t="s">
        <v>277</v>
      </c>
      <c r="DP17" s="51">
        <f t="shared" si="58"/>
        <v>0</v>
      </c>
      <c r="DQ17" s="51" t="str">
        <f t="shared" si="59"/>
        <v/>
      </c>
      <c r="DR17" s="51">
        <v>15.100042857142858</v>
      </c>
      <c r="DS17" s="51" t="s">
        <v>277</v>
      </c>
      <c r="DT17" s="51">
        <f t="shared" si="60"/>
        <v>0</v>
      </c>
      <c r="DU17" s="51" t="str">
        <f t="shared" si="61"/>
        <v/>
      </c>
      <c r="DV17" s="51">
        <v>14.758042857142858</v>
      </c>
      <c r="DW17" s="230" t="s">
        <v>277</v>
      </c>
      <c r="DX17" s="51">
        <f t="shared" si="62"/>
        <v>0</v>
      </c>
      <c r="DY17" s="51" t="str">
        <f t="shared" si="63"/>
        <v/>
      </c>
      <c r="DZ17" s="51">
        <v>19.446142857142856</v>
      </c>
      <c r="EA17" s="51" t="s">
        <v>277</v>
      </c>
      <c r="EB17" s="51">
        <f t="shared" si="64"/>
        <v>0</v>
      </c>
      <c r="EC17" s="51" t="str">
        <f t="shared" si="65"/>
        <v/>
      </c>
      <c r="ED17" s="51">
        <v>18.024142857142856</v>
      </c>
      <c r="EE17" s="51" t="s">
        <v>277</v>
      </c>
      <c r="EF17" s="51">
        <f t="shared" si="66"/>
        <v>0</v>
      </c>
      <c r="EG17" s="51" t="str">
        <f t="shared" si="67"/>
        <v/>
      </c>
      <c r="EH17" s="51">
        <v>14.176642857142857</v>
      </c>
      <c r="EI17" s="230" t="s">
        <v>277</v>
      </c>
      <c r="EJ17" s="250">
        <f t="shared" si="68"/>
        <v>0</v>
      </c>
      <c r="EK17" s="51" t="str">
        <f t="shared" si="69"/>
        <v/>
      </c>
      <c r="EL17" s="51">
        <v>17.682142857142857</v>
      </c>
      <c r="EM17" s="250" t="s">
        <v>277</v>
      </c>
      <c r="EN17" s="230">
        <f t="shared" si="70"/>
        <v>0</v>
      </c>
      <c r="EO17" s="51" t="str">
        <f t="shared" si="71"/>
        <v/>
      </c>
      <c r="EP17" s="51">
        <v>17.144214285714288</v>
      </c>
      <c r="EQ17" s="230" t="s">
        <v>277</v>
      </c>
      <c r="ER17" s="51">
        <f t="shared" si="72"/>
        <v>0</v>
      </c>
      <c r="ES17" s="51" t="str">
        <f t="shared" si="73"/>
        <v/>
      </c>
      <c r="ET17" s="51">
        <v>17.999214285714288</v>
      </c>
      <c r="EU17" s="230" t="s">
        <v>277</v>
      </c>
      <c r="EV17" s="51">
        <f t="shared" si="117"/>
        <v>0</v>
      </c>
      <c r="EW17" s="51" t="str">
        <f t="shared" si="75"/>
        <v/>
      </c>
      <c r="EX17" s="51">
        <v>17.913714285714285</v>
      </c>
      <c r="EY17" s="51" t="s">
        <v>277</v>
      </c>
      <c r="EZ17" s="51">
        <f t="shared" si="76"/>
        <v>0</v>
      </c>
      <c r="FA17" s="51" t="str">
        <f t="shared" si="77"/>
        <v/>
      </c>
      <c r="FB17" s="51">
        <v>17.229714285714287</v>
      </c>
      <c r="FC17" s="51" t="s">
        <v>277</v>
      </c>
      <c r="FD17" s="51">
        <f t="shared" si="78"/>
        <v>0</v>
      </c>
      <c r="FE17" s="51" t="str">
        <f t="shared" si="79"/>
        <v/>
      </c>
      <c r="FF17" s="51">
        <v>20.957514285714286</v>
      </c>
      <c r="FG17" s="51"/>
      <c r="FH17" s="51">
        <f t="shared" si="146"/>
        <v>20.957514285714286</v>
      </c>
      <c r="FI17" s="51" t="str">
        <f t="shared" si="147"/>
        <v>Debe</v>
      </c>
      <c r="FJ17" s="51">
        <v>18.768714285714285</v>
      </c>
      <c r="FK17" s="230"/>
      <c r="FL17" s="51">
        <f t="shared" si="82"/>
        <v>18.768714285714285</v>
      </c>
      <c r="FM17" s="51" t="str">
        <f t="shared" si="83"/>
        <v>Debe</v>
      </c>
      <c r="FN17" s="51">
        <v>17.028078571428573</v>
      </c>
      <c r="FO17" s="51"/>
      <c r="FP17" s="51"/>
      <c r="FQ17" s="51"/>
      <c r="FR17" s="51">
        <f t="shared" si="118"/>
        <v>39.726228571428571</v>
      </c>
      <c r="FS17" s="14">
        <f t="shared" si="119"/>
        <v>15771.312742857142</v>
      </c>
      <c r="FT17">
        <f t="shared" si="120"/>
        <v>2</v>
      </c>
      <c r="FV17" s="215">
        <f t="shared" si="84"/>
        <v>0</v>
      </c>
      <c r="FW17" s="215">
        <f t="shared" si="85"/>
        <v>0</v>
      </c>
      <c r="FX17" s="215">
        <f t="shared" si="86"/>
        <v>0</v>
      </c>
      <c r="FY17" s="215">
        <f t="shared" si="87"/>
        <v>0</v>
      </c>
      <c r="FZ17" s="215">
        <f t="shared" si="88"/>
        <v>0</v>
      </c>
      <c r="GA17" s="215">
        <f t="shared" si="89"/>
        <v>0</v>
      </c>
      <c r="GB17" s="215">
        <f t="shared" si="90"/>
        <v>0</v>
      </c>
      <c r="GC17" s="215">
        <f t="shared" si="91"/>
        <v>0</v>
      </c>
      <c r="GD17" s="215">
        <f t="shared" si="92"/>
        <v>0</v>
      </c>
      <c r="GE17" s="215">
        <f t="shared" si="93"/>
        <v>0</v>
      </c>
      <c r="GF17" s="215">
        <f t="shared" si="94"/>
        <v>0</v>
      </c>
      <c r="GG17" s="215">
        <f t="shared" si="95"/>
        <v>0</v>
      </c>
      <c r="GH17" s="215">
        <f t="shared" si="96"/>
        <v>0</v>
      </c>
      <c r="GI17" s="215">
        <f t="shared" si="97"/>
        <v>0</v>
      </c>
      <c r="GJ17" s="215">
        <f t="shared" si="98"/>
        <v>0</v>
      </c>
      <c r="GK17" s="215">
        <f t="shared" si="99"/>
        <v>0</v>
      </c>
      <c r="GL17" s="215">
        <f t="shared" si="100"/>
        <v>0</v>
      </c>
      <c r="GM17" s="215">
        <f t="shared" si="101"/>
        <v>0</v>
      </c>
      <c r="GN17" s="215">
        <f t="shared" si="102"/>
        <v>0</v>
      </c>
      <c r="GO17" s="215">
        <f t="shared" si="103"/>
        <v>0</v>
      </c>
      <c r="GP17" s="215">
        <f t="shared" si="104"/>
        <v>0</v>
      </c>
      <c r="GQ17" s="215">
        <f t="shared" si="105"/>
        <v>0</v>
      </c>
      <c r="GR17" s="215">
        <f t="shared" si="106"/>
        <v>0</v>
      </c>
      <c r="GS17" s="215">
        <f t="shared" si="121"/>
        <v>0</v>
      </c>
      <c r="GT17" s="215">
        <f t="shared" si="122"/>
        <v>0</v>
      </c>
      <c r="GU17" s="215">
        <f t="shared" si="123"/>
        <v>0</v>
      </c>
      <c r="GV17" s="215">
        <f t="shared" si="124"/>
        <v>0</v>
      </c>
      <c r="GW17" s="215">
        <f t="shared" si="125"/>
        <v>0</v>
      </c>
      <c r="GX17" s="215">
        <f t="shared" si="126"/>
        <v>0</v>
      </c>
      <c r="GY17" s="215">
        <f t="shared" si="127"/>
        <v>0</v>
      </c>
      <c r="GZ17" s="215">
        <f t="shared" si="128"/>
        <v>0</v>
      </c>
      <c r="HA17" s="215">
        <f t="shared" si="129"/>
        <v>0</v>
      </c>
      <c r="HB17" s="215">
        <f t="shared" si="130"/>
        <v>0</v>
      </c>
      <c r="HC17" s="215">
        <f t="shared" si="131"/>
        <v>0</v>
      </c>
      <c r="HD17" s="215">
        <f t="shared" si="132"/>
        <v>0</v>
      </c>
      <c r="HE17" s="215">
        <f t="shared" si="133"/>
        <v>0</v>
      </c>
      <c r="HF17" s="215">
        <f t="shared" si="134"/>
        <v>0</v>
      </c>
      <c r="HG17" s="215">
        <f t="shared" si="135"/>
        <v>0</v>
      </c>
      <c r="HH17" s="215">
        <f t="shared" si="136"/>
        <v>0</v>
      </c>
      <c r="HI17" s="215">
        <f t="shared" si="137"/>
        <v>0</v>
      </c>
      <c r="HJ17" s="215">
        <f t="shared" si="138"/>
        <v>5.2393785714285712E-2</v>
      </c>
      <c r="HK17" s="215">
        <f t="shared" si="139"/>
        <v>9.9315571428571434E-2</v>
      </c>
      <c r="HL17" s="211">
        <f t="shared" si="140"/>
        <v>0.15170935714285716</v>
      </c>
      <c r="HM17" s="51">
        <f t="shared" si="141"/>
        <v>39.877937928571427</v>
      </c>
    </row>
    <row r="18" spans="1:224">
      <c r="A18" s="49" t="s">
        <v>39</v>
      </c>
      <c r="B18" s="51">
        <v>8.6198428571428565</v>
      </c>
      <c r="C18" s="51" t="s">
        <v>277</v>
      </c>
      <c r="D18" s="51">
        <f t="shared" si="0"/>
        <v>0</v>
      </c>
      <c r="E18" s="51" t="str">
        <f t="shared" si="1"/>
        <v/>
      </c>
      <c r="F18" s="51">
        <v>10.106842857142857</v>
      </c>
      <c r="G18" s="51" t="s">
        <v>277</v>
      </c>
      <c r="H18" s="51">
        <f t="shared" si="2"/>
        <v>0</v>
      </c>
      <c r="I18" s="51" t="str">
        <f t="shared" si="3"/>
        <v/>
      </c>
      <c r="J18" s="51">
        <v>10.483042857142857</v>
      </c>
      <c r="K18" s="51" t="s">
        <v>277</v>
      </c>
      <c r="L18" s="51">
        <f t="shared" si="4"/>
        <v>0</v>
      </c>
      <c r="M18" s="51" t="str">
        <f t="shared" si="5"/>
        <v/>
      </c>
      <c r="N18" s="51">
        <v>10.141042857142857</v>
      </c>
      <c r="O18" s="51" t="s">
        <v>277</v>
      </c>
      <c r="P18" s="51">
        <f t="shared" si="6"/>
        <v>0</v>
      </c>
      <c r="Q18" s="51" t="str">
        <f t="shared" si="7"/>
        <v/>
      </c>
      <c r="R18" s="51">
        <v>10.226542857142856</v>
      </c>
      <c r="S18" s="51" t="s">
        <v>277</v>
      </c>
      <c r="T18" s="51">
        <f t="shared" si="8"/>
        <v>0</v>
      </c>
      <c r="U18" s="51" t="str">
        <f t="shared" si="9"/>
        <v/>
      </c>
      <c r="V18" s="51">
        <v>10.773742857142858</v>
      </c>
      <c r="W18" s="51" t="s">
        <v>277</v>
      </c>
      <c r="X18" s="51">
        <f t="shared" si="10"/>
        <v>0</v>
      </c>
      <c r="Y18" s="51" t="str">
        <f t="shared" si="11"/>
        <v/>
      </c>
      <c r="Z18" s="51">
        <v>10.739542857142858</v>
      </c>
      <c r="AA18" s="51" t="s">
        <v>277</v>
      </c>
      <c r="AB18" s="51">
        <f t="shared" si="12"/>
        <v>0</v>
      </c>
      <c r="AC18" s="51" t="str">
        <f t="shared" si="13"/>
        <v/>
      </c>
      <c r="AD18" s="51">
        <v>11.115742857142857</v>
      </c>
      <c r="AE18" s="51" t="s">
        <v>277</v>
      </c>
      <c r="AF18" s="51">
        <f t="shared" si="14"/>
        <v>0</v>
      </c>
      <c r="AG18" s="51" t="str">
        <f t="shared" si="15"/>
        <v/>
      </c>
      <c r="AH18" s="51">
        <v>10.944742857142858</v>
      </c>
      <c r="AI18" s="51" t="s">
        <v>277</v>
      </c>
      <c r="AJ18" s="51">
        <f t="shared" si="16"/>
        <v>0</v>
      </c>
      <c r="AK18" s="51" t="str">
        <f t="shared" si="17"/>
        <v/>
      </c>
      <c r="AL18" s="51">
        <v>12.654742857142857</v>
      </c>
      <c r="AM18" s="51" t="s">
        <v>277</v>
      </c>
      <c r="AN18" s="51">
        <f t="shared" si="18"/>
        <v>0</v>
      </c>
      <c r="AO18" s="51" t="str">
        <f t="shared" si="19"/>
        <v/>
      </c>
      <c r="AP18" s="51">
        <v>11.286742857142858</v>
      </c>
      <c r="AQ18" s="51" t="s">
        <v>277</v>
      </c>
      <c r="AR18" s="51">
        <f t="shared" si="20"/>
        <v>0</v>
      </c>
      <c r="AS18" s="51" t="str">
        <f t="shared" si="21"/>
        <v/>
      </c>
      <c r="AT18" s="51">
        <v>18.429557142857142</v>
      </c>
      <c r="AU18" s="51" t="s">
        <v>277</v>
      </c>
      <c r="AV18" s="51">
        <f t="shared" si="22"/>
        <v>0</v>
      </c>
      <c r="AW18" s="51" t="str">
        <f t="shared" si="23"/>
        <v/>
      </c>
      <c r="AX18" s="51">
        <v>17.374342857142857</v>
      </c>
      <c r="AY18" s="51" t="s">
        <v>277</v>
      </c>
      <c r="AZ18" s="51">
        <f t="shared" si="24"/>
        <v>0</v>
      </c>
      <c r="BA18" s="51" t="str">
        <f t="shared" si="25"/>
        <v/>
      </c>
      <c r="BB18" s="51">
        <v>13.697842857142858</v>
      </c>
      <c r="BC18" s="51" t="s">
        <v>277</v>
      </c>
      <c r="BD18" s="51">
        <f t="shared" si="107"/>
        <v>0</v>
      </c>
      <c r="BE18" s="51" t="str">
        <f t="shared" si="108"/>
        <v/>
      </c>
      <c r="BF18" s="51">
        <v>12.774442857142859</v>
      </c>
      <c r="BG18" s="51" t="s">
        <v>277</v>
      </c>
      <c r="BH18" s="51">
        <f t="shared" si="28"/>
        <v>0</v>
      </c>
      <c r="BI18" s="51" t="str">
        <f t="shared" si="29"/>
        <v/>
      </c>
      <c r="BJ18" s="51">
        <v>12.996742857142857</v>
      </c>
      <c r="BK18" s="51" t="s">
        <v>277</v>
      </c>
      <c r="BL18" s="51">
        <f t="shared" si="30"/>
        <v>0</v>
      </c>
      <c r="BM18" s="51" t="str">
        <f t="shared" si="31"/>
        <v/>
      </c>
      <c r="BN18" s="51">
        <v>13.082242857142857</v>
      </c>
      <c r="BO18" s="51" t="s">
        <v>277</v>
      </c>
      <c r="BP18" s="51">
        <f t="shared" si="32"/>
        <v>0</v>
      </c>
      <c r="BQ18" s="51" t="str">
        <f t="shared" si="33"/>
        <v/>
      </c>
      <c r="BR18" s="51">
        <v>15.818242857142858</v>
      </c>
      <c r="BS18" s="51" t="s">
        <v>277</v>
      </c>
      <c r="BT18" s="51">
        <f t="shared" si="34"/>
        <v>0</v>
      </c>
      <c r="BU18" s="51" t="str">
        <f t="shared" si="35"/>
        <v/>
      </c>
      <c r="BV18" s="51">
        <v>13.851742857142858</v>
      </c>
      <c r="BW18" s="51" t="s">
        <v>277</v>
      </c>
      <c r="BX18" s="51">
        <f t="shared" si="109"/>
        <v>0</v>
      </c>
      <c r="BY18" s="51" t="str">
        <f t="shared" si="110"/>
        <v/>
      </c>
      <c r="BZ18" s="51">
        <v>13.595242857142857</v>
      </c>
      <c r="CA18" s="51" t="s">
        <v>277</v>
      </c>
      <c r="CB18" s="51">
        <f t="shared" si="111"/>
        <v>0</v>
      </c>
      <c r="CC18" s="51" t="str">
        <f t="shared" si="112"/>
        <v/>
      </c>
      <c r="CD18" s="51">
        <v>12.740242857142857</v>
      </c>
      <c r="CE18" s="51" t="s">
        <v>277</v>
      </c>
      <c r="CF18" s="51">
        <f t="shared" si="40"/>
        <v>0</v>
      </c>
      <c r="CG18" s="51" t="str">
        <f t="shared" si="41"/>
        <v/>
      </c>
      <c r="CH18" s="51">
        <v>15.031642857142856</v>
      </c>
      <c r="CI18" s="51" t="s">
        <v>277</v>
      </c>
      <c r="CJ18" s="51">
        <f t="shared" si="144"/>
        <v>0</v>
      </c>
      <c r="CK18" s="51" t="str">
        <f t="shared" si="145"/>
        <v/>
      </c>
      <c r="CL18" s="51">
        <v>16.177342857142854</v>
      </c>
      <c r="CM18" s="51" t="s">
        <v>277</v>
      </c>
      <c r="CN18" s="51">
        <f t="shared" si="113"/>
        <v>0</v>
      </c>
      <c r="CO18" s="51" t="str">
        <f t="shared" si="114"/>
        <v/>
      </c>
      <c r="CP18" s="51">
        <v>16.792942857142855</v>
      </c>
      <c r="CQ18" s="51" t="s">
        <v>277</v>
      </c>
      <c r="CR18" s="51">
        <f t="shared" si="46"/>
        <v>0</v>
      </c>
      <c r="CS18" s="51" t="str">
        <f t="shared" si="47"/>
        <v/>
      </c>
      <c r="CT18" s="51">
        <v>13.869542857142861</v>
      </c>
      <c r="CU18" s="230" t="s">
        <v>277</v>
      </c>
      <c r="CV18" s="51">
        <f t="shared" si="48"/>
        <v>0</v>
      </c>
      <c r="CW18" s="51" t="str">
        <f t="shared" si="49"/>
        <v/>
      </c>
      <c r="CX18" s="51">
        <v>14.758042857142858</v>
      </c>
      <c r="CY18" s="230" t="s">
        <v>277</v>
      </c>
      <c r="CZ18" s="51">
        <f t="shared" si="115"/>
        <v>0</v>
      </c>
      <c r="DA18" s="51" t="str">
        <f t="shared" si="116"/>
        <v/>
      </c>
      <c r="DB18" s="51">
        <v>13.732042857142858</v>
      </c>
      <c r="DC18" s="230" t="s">
        <v>277</v>
      </c>
      <c r="DD18" s="51">
        <f t="shared" si="52"/>
        <v>0</v>
      </c>
      <c r="DE18" s="51" t="str">
        <f t="shared" si="53"/>
        <v/>
      </c>
      <c r="DF18" s="51">
        <v>15.356542857142859</v>
      </c>
      <c r="DG18" s="230" t="s">
        <v>277</v>
      </c>
      <c r="DH18" s="51">
        <f t="shared" si="54"/>
        <v>0</v>
      </c>
      <c r="DI18" s="51" t="str">
        <f t="shared" si="55"/>
        <v/>
      </c>
      <c r="DJ18" s="51">
        <v>18.520042857142855</v>
      </c>
      <c r="DK18" s="51" t="s">
        <v>277</v>
      </c>
      <c r="DL18" s="51">
        <f t="shared" si="56"/>
        <v>0</v>
      </c>
      <c r="DM18" s="51" t="str">
        <f t="shared" si="57"/>
        <v/>
      </c>
      <c r="DN18" s="51">
        <v>15.100042857142858</v>
      </c>
      <c r="DO18" s="51" t="s">
        <v>277</v>
      </c>
      <c r="DP18" s="51">
        <f t="shared" si="58"/>
        <v>0</v>
      </c>
      <c r="DQ18" s="51" t="str">
        <f t="shared" si="59"/>
        <v/>
      </c>
      <c r="DR18" s="51">
        <v>15.100042857142858</v>
      </c>
      <c r="DS18" s="51" t="s">
        <v>277</v>
      </c>
      <c r="DT18" s="51">
        <f t="shared" si="60"/>
        <v>0</v>
      </c>
      <c r="DU18" s="51" t="str">
        <f t="shared" si="61"/>
        <v/>
      </c>
      <c r="DV18" s="51">
        <v>14.758042857142858</v>
      </c>
      <c r="DW18" s="230" t="s">
        <v>277</v>
      </c>
      <c r="DX18" s="51">
        <f t="shared" si="62"/>
        <v>0</v>
      </c>
      <c r="DY18" s="51" t="str">
        <f t="shared" si="63"/>
        <v/>
      </c>
      <c r="DZ18" s="51">
        <v>14.946142857142856</v>
      </c>
      <c r="EA18" s="51" t="s">
        <v>277</v>
      </c>
      <c r="EB18" s="51">
        <f t="shared" si="64"/>
        <v>0</v>
      </c>
      <c r="EC18" s="51" t="str">
        <f t="shared" si="65"/>
        <v/>
      </c>
      <c r="ED18" s="51">
        <v>18.024142857142856</v>
      </c>
      <c r="EE18" s="51" t="s">
        <v>277</v>
      </c>
      <c r="EF18" s="51">
        <f t="shared" si="66"/>
        <v>0</v>
      </c>
      <c r="EG18" s="51" t="str">
        <f t="shared" si="67"/>
        <v/>
      </c>
      <c r="EH18" s="51">
        <v>14.176642857142857</v>
      </c>
      <c r="EI18" s="230" t="s">
        <v>277</v>
      </c>
      <c r="EJ18" s="250">
        <f t="shared" si="68"/>
        <v>0</v>
      </c>
      <c r="EK18" s="51" t="str">
        <f t="shared" si="69"/>
        <v/>
      </c>
      <c r="EL18" s="51">
        <v>17.682142857142857</v>
      </c>
      <c r="EM18" s="250" t="s">
        <v>277</v>
      </c>
      <c r="EN18" s="230">
        <f t="shared" si="70"/>
        <v>0</v>
      </c>
      <c r="EO18" s="51" t="str">
        <f t="shared" si="71"/>
        <v/>
      </c>
      <c r="EP18" s="51">
        <v>17.144214285714288</v>
      </c>
      <c r="EQ18" s="230" t="s">
        <v>277</v>
      </c>
      <c r="ER18" s="51">
        <f t="shared" si="72"/>
        <v>0</v>
      </c>
      <c r="ES18" s="51" t="str">
        <f t="shared" si="73"/>
        <v/>
      </c>
      <c r="ET18" s="51">
        <v>17.999214285714288</v>
      </c>
      <c r="EU18" s="230" t="s">
        <v>277</v>
      </c>
      <c r="EV18" s="51">
        <f t="shared" si="117"/>
        <v>0</v>
      </c>
      <c r="EW18" s="51" t="str">
        <f t="shared" si="75"/>
        <v/>
      </c>
      <c r="EX18" s="51">
        <v>17.913714285714285</v>
      </c>
      <c r="EY18" s="51" t="s">
        <v>277</v>
      </c>
      <c r="EZ18" s="51">
        <f t="shared" si="76"/>
        <v>0</v>
      </c>
      <c r="FA18" s="51" t="str">
        <f t="shared" si="77"/>
        <v/>
      </c>
      <c r="FB18" s="51">
        <v>17.229714285714287</v>
      </c>
      <c r="FC18" s="51" t="s">
        <v>277</v>
      </c>
      <c r="FD18" s="51">
        <f t="shared" si="78"/>
        <v>0</v>
      </c>
      <c r="FE18" s="51" t="str">
        <f t="shared" si="79"/>
        <v/>
      </c>
      <c r="FF18" s="51">
        <v>20.957514285714286</v>
      </c>
      <c r="FG18" s="51" t="s">
        <v>277</v>
      </c>
      <c r="FH18" s="51">
        <f t="shared" si="146"/>
        <v>0</v>
      </c>
      <c r="FI18" s="51" t="str">
        <f t="shared" si="147"/>
        <v/>
      </c>
      <c r="FJ18" s="51">
        <v>18.768714285714285</v>
      </c>
      <c r="FK18" s="230" t="s">
        <v>277</v>
      </c>
      <c r="FL18" s="51">
        <f t="shared" si="82"/>
        <v>0</v>
      </c>
      <c r="FM18" s="51" t="str">
        <f t="shared" si="83"/>
        <v/>
      </c>
      <c r="FN18" s="51">
        <v>17.028078571428573</v>
      </c>
      <c r="FO18" s="51"/>
      <c r="FP18" s="51"/>
      <c r="FQ18" s="51"/>
      <c r="FR18" s="51">
        <f t="shared" si="118"/>
        <v>0</v>
      </c>
      <c r="FS18" s="14">
        <f t="shared" si="119"/>
        <v>0</v>
      </c>
      <c r="FT18">
        <f t="shared" si="120"/>
        <v>0</v>
      </c>
      <c r="FV18" s="215">
        <f t="shared" si="84"/>
        <v>0</v>
      </c>
      <c r="FW18" s="215">
        <f t="shared" si="85"/>
        <v>0</v>
      </c>
      <c r="FX18" s="215">
        <f t="shared" si="86"/>
        <v>0</v>
      </c>
      <c r="FY18" s="215">
        <f t="shared" si="87"/>
        <v>0</v>
      </c>
      <c r="FZ18" s="215">
        <f t="shared" si="88"/>
        <v>0</v>
      </c>
      <c r="GA18" s="215">
        <f t="shared" si="89"/>
        <v>0</v>
      </c>
      <c r="GB18" s="215">
        <f t="shared" si="90"/>
        <v>0</v>
      </c>
      <c r="GC18" s="215">
        <f t="shared" si="91"/>
        <v>0</v>
      </c>
      <c r="GD18" s="215">
        <f t="shared" si="92"/>
        <v>0</v>
      </c>
      <c r="GE18" s="215">
        <f t="shared" si="93"/>
        <v>0</v>
      </c>
      <c r="GF18" s="215">
        <f t="shared" si="94"/>
        <v>0</v>
      </c>
      <c r="GG18" s="215">
        <f t="shared" si="95"/>
        <v>0</v>
      </c>
      <c r="GH18" s="215">
        <f t="shared" si="96"/>
        <v>0</v>
      </c>
      <c r="GI18" s="215">
        <f t="shared" si="97"/>
        <v>0</v>
      </c>
      <c r="GJ18" s="215">
        <f t="shared" si="98"/>
        <v>0</v>
      </c>
      <c r="GK18" s="215">
        <f t="shared" si="99"/>
        <v>0</v>
      </c>
      <c r="GL18" s="215">
        <f t="shared" si="100"/>
        <v>0</v>
      </c>
      <c r="GM18" s="215">
        <f t="shared" si="101"/>
        <v>0</v>
      </c>
      <c r="GN18" s="215">
        <f t="shared" si="102"/>
        <v>0</v>
      </c>
      <c r="GO18" s="215">
        <f t="shared" si="103"/>
        <v>0</v>
      </c>
      <c r="GP18" s="215">
        <f t="shared" si="104"/>
        <v>0</v>
      </c>
      <c r="GQ18" s="215">
        <f t="shared" si="105"/>
        <v>0</v>
      </c>
      <c r="GR18" s="215">
        <f t="shared" si="106"/>
        <v>0</v>
      </c>
      <c r="GS18" s="215">
        <f t="shared" si="121"/>
        <v>0</v>
      </c>
      <c r="GT18" s="215">
        <f t="shared" si="122"/>
        <v>0</v>
      </c>
      <c r="GU18" s="215">
        <f t="shared" si="123"/>
        <v>0</v>
      </c>
      <c r="GV18" s="215">
        <f t="shared" si="124"/>
        <v>0</v>
      </c>
      <c r="GW18" s="215">
        <f t="shared" si="125"/>
        <v>0</v>
      </c>
      <c r="GX18" s="215">
        <f t="shared" si="126"/>
        <v>0</v>
      </c>
      <c r="GY18" s="215">
        <f t="shared" si="127"/>
        <v>0</v>
      </c>
      <c r="GZ18" s="215">
        <f t="shared" si="128"/>
        <v>0</v>
      </c>
      <c r="HA18" s="215">
        <f t="shared" si="129"/>
        <v>0</v>
      </c>
      <c r="HB18" s="215">
        <f t="shared" si="130"/>
        <v>0</v>
      </c>
      <c r="HC18" s="215">
        <f t="shared" si="131"/>
        <v>0</v>
      </c>
      <c r="HD18" s="215">
        <f t="shared" si="132"/>
        <v>0</v>
      </c>
      <c r="HE18" s="215">
        <f t="shared" si="133"/>
        <v>0</v>
      </c>
      <c r="HF18" s="215">
        <f t="shared" si="134"/>
        <v>0</v>
      </c>
      <c r="HG18" s="215">
        <f t="shared" si="135"/>
        <v>0</v>
      </c>
      <c r="HH18" s="215">
        <f t="shared" si="136"/>
        <v>0</v>
      </c>
      <c r="HI18" s="215">
        <f t="shared" si="137"/>
        <v>0</v>
      </c>
      <c r="HJ18" s="215">
        <f t="shared" si="138"/>
        <v>0</v>
      </c>
      <c r="HK18" s="215">
        <f t="shared" si="139"/>
        <v>0</v>
      </c>
      <c r="HL18" s="211">
        <f t="shared" si="140"/>
        <v>0</v>
      </c>
      <c r="HM18" s="51">
        <f t="shared" si="141"/>
        <v>0</v>
      </c>
    </row>
    <row r="19" spans="1:224">
      <c r="A19" s="49" t="s">
        <v>40</v>
      </c>
      <c r="B19" s="51">
        <v>8.6198428571428565</v>
      </c>
      <c r="C19" s="51" t="s">
        <v>277</v>
      </c>
      <c r="D19" s="51">
        <f t="shared" si="0"/>
        <v>0</v>
      </c>
      <c r="E19" s="51" t="str">
        <f t="shared" si="1"/>
        <v/>
      </c>
      <c r="F19" s="51">
        <v>10.106842857142857</v>
      </c>
      <c r="G19" s="51" t="s">
        <v>277</v>
      </c>
      <c r="H19" s="51">
        <f t="shared" si="2"/>
        <v>0</v>
      </c>
      <c r="I19" s="51" t="str">
        <f t="shared" si="3"/>
        <v/>
      </c>
      <c r="J19" s="51">
        <v>10.483042857142857</v>
      </c>
      <c r="K19" s="51" t="s">
        <v>277</v>
      </c>
      <c r="L19" s="51">
        <f t="shared" si="4"/>
        <v>0</v>
      </c>
      <c r="M19" s="51" t="str">
        <f t="shared" si="5"/>
        <v/>
      </c>
      <c r="N19" s="51">
        <v>10.141042857142857</v>
      </c>
      <c r="O19" s="51" t="s">
        <v>277</v>
      </c>
      <c r="P19" s="51">
        <f t="shared" si="6"/>
        <v>0</v>
      </c>
      <c r="Q19" s="51" t="str">
        <f t="shared" si="7"/>
        <v/>
      </c>
      <c r="R19" s="51">
        <v>10.226542857142856</v>
      </c>
      <c r="S19" s="51" t="s">
        <v>277</v>
      </c>
      <c r="T19" s="51">
        <f t="shared" si="8"/>
        <v>0</v>
      </c>
      <c r="U19" s="51" t="str">
        <f t="shared" si="9"/>
        <v/>
      </c>
      <c r="V19" s="51">
        <v>10.773742857142858</v>
      </c>
      <c r="W19" s="51" t="s">
        <v>277</v>
      </c>
      <c r="X19" s="51">
        <f t="shared" si="10"/>
        <v>0</v>
      </c>
      <c r="Y19" s="51" t="str">
        <f t="shared" si="11"/>
        <v/>
      </c>
      <c r="Z19" s="51">
        <v>10.739542857142858</v>
      </c>
      <c r="AA19" s="51" t="s">
        <v>277</v>
      </c>
      <c r="AB19" s="51">
        <f t="shared" si="12"/>
        <v>0</v>
      </c>
      <c r="AC19" s="51" t="str">
        <f t="shared" si="13"/>
        <v/>
      </c>
      <c r="AD19" s="51">
        <v>11.115742857142857</v>
      </c>
      <c r="AE19" s="51" t="s">
        <v>277</v>
      </c>
      <c r="AF19" s="51">
        <f t="shared" si="14"/>
        <v>0</v>
      </c>
      <c r="AG19" s="51" t="str">
        <f t="shared" si="15"/>
        <v/>
      </c>
      <c r="AH19" s="51">
        <v>10.944742857142858</v>
      </c>
      <c r="AI19" s="51" t="s">
        <v>277</v>
      </c>
      <c r="AJ19" s="51">
        <f t="shared" si="16"/>
        <v>0</v>
      </c>
      <c r="AK19" s="51" t="str">
        <f t="shared" si="17"/>
        <v/>
      </c>
      <c r="AL19" s="51">
        <v>12.654742857142857</v>
      </c>
      <c r="AM19" s="51" t="s">
        <v>277</v>
      </c>
      <c r="AN19" s="51">
        <f t="shared" si="18"/>
        <v>0</v>
      </c>
      <c r="AO19" s="51" t="str">
        <f t="shared" si="19"/>
        <v/>
      </c>
      <c r="AP19" s="51">
        <v>11.286742857142858</v>
      </c>
      <c r="AQ19" s="51" t="s">
        <v>277</v>
      </c>
      <c r="AR19" s="51">
        <f t="shared" si="20"/>
        <v>0</v>
      </c>
      <c r="AS19" s="51" t="str">
        <f t="shared" si="21"/>
        <v/>
      </c>
      <c r="AT19" s="51">
        <v>18.429557142857142</v>
      </c>
      <c r="AU19" s="51" t="s">
        <v>277</v>
      </c>
      <c r="AV19" s="51">
        <f t="shared" si="22"/>
        <v>0</v>
      </c>
      <c r="AW19" s="51" t="str">
        <f t="shared" si="23"/>
        <v/>
      </c>
      <c r="AX19" s="51">
        <v>17.374342857142857</v>
      </c>
      <c r="AY19" s="51" t="s">
        <v>277</v>
      </c>
      <c r="AZ19" s="51">
        <f t="shared" si="24"/>
        <v>0</v>
      </c>
      <c r="BA19" s="51" t="str">
        <f t="shared" si="25"/>
        <v/>
      </c>
      <c r="BB19" s="51">
        <v>13.697842857142858</v>
      </c>
      <c r="BC19" s="51" t="s">
        <v>277</v>
      </c>
      <c r="BD19" s="51">
        <f t="shared" si="107"/>
        <v>0</v>
      </c>
      <c r="BE19" s="51" t="str">
        <f t="shared" si="108"/>
        <v/>
      </c>
      <c r="BF19" s="51">
        <v>12.774442857142859</v>
      </c>
      <c r="BG19" s="51" t="s">
        <v>277</v>
      </c>
      <c r="BH19" s="51">
        <f t="shared" si="28"/>
        <v>0</v>
      </c>
      <c r="BI19" s="51" t="str">
        <f t="shared" si="29"/>
        <v/>
      </c>
      <c r="BJ19" s="51">
        <v>12.996742857142857</v>
      </c>
      <c r="BK19" s="51" t="s">
        <v>277</v>
      </c>
      <c r="BL19" s="51">
        <f t="shared" si="30"/>
        <v>0</v>
      </c>
      <c r="BM19" s="51" t="str">
        <f t="shared" si="31"/>
        <v/>
      </c>
      <c r="BN19" s="51">
        <v>13.082242857142857</v>
      </c>
      <c r="BO19" s="51" t="s">
        <v>277</v>
      </c>
      <c r="BP19" s="51">
        <f t="shared" si="32"/>
        <v>0</v>
      </c>
      <c r="BQ19" s="51" t="str">
        <f t="shared" si="33"/>
        <v/>
      </c>
      <c r="BR19" s="51">
        <v>15.818242857142858</v>
      </c>
      <c r="BS19" s="51" t="s">
        <v>277</v>
      </c>
      <c r="BT19" s="51">
        <f t="shared" si="34"/>
        <v>0</v>
      </c>
      <c r="BU19" s="51" t="str">
        <f t="shared" si="35"/>
        <v/>
      </c>
      <c r="BV19" s="51">
        <v>13.851742857142858</v>
      </c>
      <c r="BW19" s="51" t="s">
        <v>277</v>
      </c>
      <c r="BX19" s="51">
        <f t="shared" si="109"/>
        <v>0</v>
      </c>
      <c r="BY19" s="51" t="str">
        <f t="shared" si="110"/>
        <v/>
      </c>
      <c r="BZ19" s="51">
        <v>13.595242857142857</v>
      </c>
      <c r="CA19" s="51" t="s">
        <v>277</v>
      </c>
      <c r="CB19" s="51">
        <f t="shared" si="111"/>
        <v>0</v>
      </c>
      <c r="CC19" s="51" t="str">
        <f t="shared" si="112"/>
        <v/>
      </c>
      <c r="CD19" s="51">
        <v>12.740242857142857</v>
      </c>
      <c r="CE19" s="51" t="s">
        <v>277</v>
      </c>
      <c r="CF19" s="51">
        <f t="shared" si="40"/>
        <v>0</v>
      </c>
      <c r="CG19" s="51" t="str">
        <f t="shared" si="41"/>
        <v/>
      </c>
      <c r="CH19" s="51">
        <v>15.031642857142856</v>
      </c>
      <c r="CI19" s="51" t="s">
        <v>277</v>
      </c>
      <c r="CJ19" s="51">
        <f t="shared" si="144"/>
        <v>0</v>
      </c>
      <c r="CK19" s="51" t="str">
        <f t="shared" si="145"/>
        <v/>
      </c>
      <c r="CL19" s="51">
        <v>16.177342857142854</v>
      </c>
      <c r="CM19" s="51" t="s">
        <v>277</v>
      </c>
      <c r="CN19" s="51">
        <f t="shared" si="113"/>
        <v>0</v>
      </c>
      <c r="CO19" s="51" t="str">
        <f t="shared" si="114"/>
        <v/>
      </c>
      <c r="CP19" s="51">
        <v>16.792942857142855</v>
      </c>
      <c r="CQ19" s="51" t="s">
        <v>277</v>
      </c>
      <c r="CR19" s="51">
        <f t="shared" si="46"/>
        <v>0</v>
      </c>
      <c r="CS19" s="51" t="str">
        <f t="shared" si="47"/>
        <v/>
      </c>
      <c r="CT19" s="51">
        <v>13.869542857142861</v>
      </c>
      <c r="CU19" s="230" t="s">
        <v>277</v>
      </c>
      <c r="CV19" s="51">
        <f t="shared" si="48"/>
        <v>0</v>
      </c>
      <c r="CW19" s="51" t="str">
        <f t="shared" si="49"/>
        <v/>
      </c>
      <c r="CX19" s="51">
        <v>14.758042857142858</v>
      </c>
      <c r="CY19" s="230" t="s">
        <v>277</v>
      </c>
      <c r="CZ19" s="51">
        <f t="shared" si="115"/>
        <v>0</v>
      </c>
      <c r="DA19" s="51" t="str">
        <f t="shared" si="116"/>
        <v/>
      </c>
      <c r="DB19" s="51">
        <v>13.732042857142858</v>
      </c>
      <c r="DC19" s="230" t="s">
        <v>277</v>
      </c>
      <c r="DD19" s="51">
        <f t="shared" si="52"/>
        <v>0</v>
      </c>
      <c r="DE19" s="51" t="str">
        <f t="shared" si="53"/>
        <v/>
      </c>
      <c r="DF19" s="51">
        <v>15.356542857142859</v>
      </c>
      <c r="DG19" s="230" t="s">
        <v>277</v>
      </c>
      <c r="DH19" s="51">
        <f t="shared" si="54"/>
        <v>0</v>
      </c>
      <c r="DI19" s="51" t="str">
        <f t="shared" si="55"/>
        <v/>
      </c>
      <c r="DJ19" s="51">
        <v>18.520042857142855</v>
      </c>
      <c r="DK19" s="51" t="s">
        <v>277</v>
      </c>
      <c r="DL19" s="51">
        <f t="shared" si="56"/>
        <v>0</v>
      </c>
      <c r="DM19" s="51" t="str">
        <f t="shared" si="57"/>
        <v/>
      </c>
      <c r="DN19" s="51">
        <v>15.100042857142858</v>
      </c>
      <c r="DO19" s="51" t="s">
        <v>277</v>
      </c>
      <c r="DP19" s="51">
        <f t="shared" si="58"/>
        <v>0</v>
      </c>
      <c r="DQ19" s="51" t="str">
        <f t="shared" si="59"/>
        <v/>
      </c>
      <c r="DR19" s="51">
        <v>15.100042857142858</v>
      </c>
      <c r="DS19" s="51" t="s">
        <v>277</v>
      </c>
      <c r="DT19" s="51">
        <f t="shared" si="60"/>
        <v>0</v>
      </c>
      <c r="DU19" s="51" t="str">
        <f t="shared" si="61"/>
        <v/>
      </c>
      <c r="DV19" s="51">
        <v>14.758042857142858</v>
      </c>
      <c r="DW19" s="230" t="s">
        <v>277</v>
      </c>
      <c r="DX19" s="51">
        <f t="shared" si="62"/>
        <v>0</v>
      </c>
      <c r="DY19" s="51" t="str">
        <f t="shared" si="63"/>
        <v/>
      </c>
      <c r="DZ19" s="51">
        <v>14.946142857142856</v>
      </c>
      <c r="EA19" s="51" t="s">
        <v>277</v>
      </c>
      <c r="EB19" s="51">
        <f t="shared" si="64"/>
        <v>0</v>
      </c>
      <c r="EC19" s="51" t="str">
        <f t="shared" si="65"/>
        <v/>
      </c>
      <c r="ED19" s="51">
        <v>18.024142857142856</v>
      </c>
      <c r="EE19" s="51" t="s">
        <v>277</v>
      </c>
      <c r="EF19" s="51">
        <f t="shared" si="66"/>
        <v>0</v>
      </c>
      <c r="EG19" s="51" t="str">
        <f t="shared" si="67"/>
        <v/>
      </c>
      <c r="EH19" s="51">
        <v>14.176642857142857</v>
      </c>
      <c r="EI19" s="230" t="s">
        <v>277</v>
      </c>
      <c r="EJ19" s="250">
        <f t="shared" si="68"/>
        <v>0</v>
      </c>
      <c r="EK19" s="51" t="str">
        <f t="shared" si="69"/>
        <v/>
      </c>
      <c r="EL19" s="51">
        <v>17.682142857142857</v>
      </c>
      <c r="EM19" s="250" t="s">
        <v>277</v>
      </c>
      <c r="EN19" s="230">
        <f t="shared" si="70"/>
        <v>0</v>
      </c>
      <c r="EO19" s="51" t="str">
        <f t="shared" si="71"/>
        <v/>
      </c>
      <c r="EP19" s="51">
        <v>17.144214285714288</v>
      </c>
      <c r="EQ19" s="230" t="s">
        <v>277</v>
      </c>
      <c r="ER19" s="51">
        <f t="shared" si="72"/>
        <v>0</v>
      </c>
      <c r="ES19" s="51" t="str">
        <f t="shared" si="73"/>
        <v/>
      </c>
      <c r="ET19" s="51">
        <v>17.999214285714288</v>
      </c>
      <c r="EU19" s="230" t="s">
        <v>277</v>
      </c>
      <c r="EV19" s="51">
        <f t="shared" si="117"/>
        <v>0</v>
      </c>
      <c r="EW19" s="51" t="str">
        <f t="shared" si="75"/>
        <v/>
      </c>
      <c r="EX19" s="51">
        <v>17.913714285714285</v>
      </c>
      <c r="EY19" s="51" t="s">
        <v>277</v>
      </c>
      <c r="EZ19" s="51">
        <f t="shared" si="76"/>
        <v>0</v>
      </c>
      <c r="FA19" s="51" t="str">
        <f t="shared" si="77"/>
        <v/>
      </c>
      <c r="FB19" s="51">
        <v>17.229714285714287</v>
      </c>
      <c r="FC19" s="51" t="s">
        <v>277</v>
      </c>
      <c r="FD19" s="51">
        <f t="shared" si="78"/>
        <v>0</v>
      </c>
      <c r="FE19" s="51" t="str">
        <f t="shared" si="79"/>
        <v/>
      </c>
      <c r="FF19" s="51">
        <v>20.957514285714286</v>
      </c>
      <c r="FG19" s="51" t="s">
        <v>277</v>
      </c>
      <c r="FH19" s="51">
        <f t="shared" si="146"/>
        <v>0</v>
      </c>
      <c r="FI19" s="51" t="str">
        <f t="shared" si="147"/>
        <v/>
      </c>
      <c r="FJ19" s="51">
        <v>18.768714285714285</v>
      </c>
      <c r="FK19" s="230" t="s">
        <v>277</v>
      </c>
      <c r="FL19" s="51">
        <f t="shared" si="82"/>
        <v>0</v>
      </c>
      <c r="FM19" s="51" t="str">
        <f t="shared" si="83"/>
        <v/>
      </c>
      <c r="FN19" s="51">
        <v>17.028078571428573</v>
      </c>
      <c r="FO19" s="51"/>
      <c r="FP19" s="51"/>
      <c r="FQ19" s="51"/>
      <c r="FR19" s="51">
        <f t="shared" si="118"/>
        <v>0</v>
      </c>
      <c r="FS19" s="14">
        <f t="shared" si="119"/>
        <v>0</v>
      </c>
      <c r="FT19">
        <f t="shared" si="120"/>
        <v>0</v>
      </c>
      <c r="FV19" s="215">
        <f t="shared" si="84"/>
        <v>0</v>
      </c>
      <c r="FW19" s="215">
        <f t="shared" si="85"/>
        <v>0</v>
      </c>
      <c r="FX19" s="215">
        <f t="shared" si="86"/>
        <v>0</v>
      </c>
      <c r="FY19" s="215">
        <f t="shared" si="87"/>
        <v>0</v>
      </c>
      <c r="FZ19" s="215">
        <f t="shared" si="88"/>
        <v>0</v>
      </c>
      <c r="GA19" s="215">
        <f t="shared" si="89"/>
        <v>0</v>
      </c>
      <c r="GB19" s="215">
        <f t="shared" si="90"/>
        <v>0</v>
      </c>
      <c r="GC19" s="215">
        <f t="shared" si="91"/>
        <v>0</v>
      </c>
      <c r="GD19" s="215">
        <f t="shared" si="92"/>
        <v>0</v>
      </c>
      <c r="GE19" s="215">
        <f t="shared" si="93"/>
        <v>0</v>
      </c>
      <c r="GF19" s="215">
        <f t="shared" si="94"/>
        <v>0</v>
      </c>
      <c r="GG19" s="215">
        <f t="shared" si="95"/>
        <v>0</v>
      </c>
      <c r="GH19" s="215">
        <f t="shared" si="96"/>
        <v>0</v>
      </c>
      <c r="GI19" s="215">
        <f t="shared" si="97"/>
        <v>0</v>
      </c>
      <c r="GJ19" s="215">
        <f t="shared" si="98"/>
        <v>0</v>
      </c>
      <c r="GK19" s="215">
        <f t="shared" si="99"/>
        <v>0</v>
      </c>
      <c r="GL19" s="215">
        <f t="shared" si="100"/>
        <v>0</v>
      </c>
      <c r="GM19" s="215">
        <f t="shared" si="101"/>
        <v>0</v>
      </c>
      <c r="GN19" s="215">
        <f t="shared" si="102"/>
        <v>0</v>
      </c>
      <c r="GO19" s="215">
        <f t="shared" si="103"/>
        <v>0</v>
      </c>
      <c r="GP19" s="215">
        <f t="shared" si="104"/>
        <v>0</v>
      </c>
      <c r="GQ19" s="215">
        <f t="shared" si="105"/>
        <v>0</v>
      </c>
      <c r="GR19" s="215">
        <f t="shared" si="106"/>
        <v>0</v>
      </c>
      <c r="GS19" s="215">
        <f t="shared" si="121"/>
        <v>0</v>
      </c>
      <c r="GT19" s="215">
        <f t="shared" si="122"/>
        <v>0</v>
      </c>
      <c r="GU19" s="215">
        <f t="shared" si="123"/>
        <v>0</v>
      </c>
      <c r="GV19" s="215">
        <f t="shared" si="124"/>
        <v>0</v>
      </c>
      <c r="GW19" s="215">
        <f t="shared" si="125"/>
        <v>0</v>
      </c>
      <c r="GX19" s="215">
        <f t="shared" si="126"/>
        <v>0</v>
      </c>
      <c r="GY19" s="215">
        <f t="shared" si="127"/>
        <v>0</v>
      </c>
      <c r="GZ19" s="215">
        <f t="shared" si="128"/>
        <v>0</v>
      </c>
      <c r="HA19" s="215">
        <f t="shared" si="129"/>
        <v>0</v>
      </c>
      <c r="HB19" s="215">
        <f t="shared" si="130"/>
        <v>0</v>
      </c>
      <c r="HC19" s="215">
        <f t="shared" si="131"/>
        <v>0</v>
      </c>
      <c r="HD19" s="215">
        <f t="shared" si="132"/>
        <v>0</v>
      </c>
      <c r="HE19" s="215">
        <f t="shared" si="133"/>
        <v>0</v>
      </c>
      <c r="HF19" s="215">
        <f t="shared" si="134"/>
        <v>0</v>
      </c>
      <c r="HG19" s="215">
        <f t="shared" si="135"/>
        <v>0</v>
      </c>
      <c r="HH19" s="215">
        <f t="shared" si="136"/>
        <v>0</v>
      </c>
      <c r="HI19" s="215">
        <f t="shared" si="137"/>
        <v>0</v>
      </c>
      <c r="HJ19" s="215">
        <f t="shared" si="138"/>
        <v>0</v>
      </c>
      <c r="HK19" s="215">
        <f t="shared" si="139"/>
        <v>0</v>
      </c>
      <c r="HL19" s="211">
        <f t="shared" si="140"/>
        <v>0</v>
      </c>
      <c r="HM19" s="51">
        <f t="shared" si="141"/>
        <v>0</v>
      </c>
    </row>
    <row r="20" spans="1:224">
      <c r="A20" s="49" t="s">
        <v>41</v>
      </c>
      <c r="B20" s="51">
        <v>8.6198428571428565</v>
      </c>
      <c r="C20" s="51" t="s">
        <v>277</v>
      </c>
      <c r="D20" s="51">
        <f t="shared" si="0"/>
        <v>0</v>
      </c>
      <c r="E20" s="51" t="str">
        <f t="shared" si="1"/>
        <v/>
      </c>
      <c r="F20" s="51">
        <v>10.106842857142857</v>
      </c>
      <c r="G20" s="51" t="s">
        <v>277</v>
      </c>
      <c r="H20" s="51">
        <f t="shared" si="2"/>
        <v>0</v>
      </c>
      <c r="I20" s="51" t="str">
        <f t="shared" si="3"/>
        <v/>
      </c>
      <c r="J20" s="51">
        <v>10.483042857142857</v>
      </c>
      <c r="K20" s="51" t="s">
        <v>277</v>
      </c>
      <c r="L20" s="51">
        <f t="shared" si="4"/>
        <v>0</v>
      </c>
      <c r="M20" s="51" t="str">
        <f t="shared" si="5"/>
        <v/>
      </c>
      <c r="N20" s="51">
        <v>10.141042857142857</v>
      </c>
      <c r="O20" s="51" t="s">
        <v>277</v>
      </c>
      <c r="P20" s="51">
        <f t="shared" si="6"/>
        <v>0</v>
      </c>
      <c r="Q20" s="51" t="str">
        <f t="shared" si="7"/>
        <v/>
      </c>
      <c r="R20" s="51">
        <v>10.226542857142856</v>
      </c>
      <c r="S20" s="51" t="s">
        <v>277</v>
      </c>
      <c r="T20" s="51">
        <f t="shared" si="8"/>
        <v>0</v>
      </c>
      <c r="U20" s="51" t="str">
        <f t="shared" si="9"/>
        <v/>
      </c>
      <c r="V20" s="51">
        <v>10.773742857142858</v>
      </c>
      <c r="W20" s="51" t="s">
        <v>277</v>
      </c>
      <c r="X20" s="51">
        <f t="shared" si="10"/>
        <v>0</v>
      </c>
      <c r="Y20" s="51" t="str">
        <f t="shared" si="11"/>
        <v/>
      </c>
      <c r="Z20" s="51">
        <v>10.739542857142858</v>
      </c>
      <c r="AA20" s="51" t="s">
        <v>277</v>
      </c>
      <c r="AB20" s="51">
        <f t="shared" si="12"/>
        <v>0</v>
      </c>
      <c r="AC20" s="51" t="str">
        <f t="shared" si="13"/>
        <v/>
      </c>
      <c r="AD20" s="51">
        <v>11.115742857142857</v>
      </c>
      <c r="AE20" s="51" t="s">
        <v>277</v>
      </c>
      <c r="AF20" s="51">
        <f t="shared" si="14"/>
        <v>0</v>
      </c>
      <c r="AG20" s="51" t="str">
        <f t="shared" si="15"/>
        <v/>
      </c>
      <c r="AH20" s="51">
        <v>10.944742857142858</v>
      </c>
      <c r="AI20" s="51" t="s">
        <v>277</v>
      </c>
      <c r="AJ20" s="51">
        <f t="shared" si="16"/>
        <v>0</v>
      </c>
      <c r="AK20" s="51" t="str">
        <f t="shared" si="17"/>
        <v/>
      </c>
      <c r="AL20" s="51">
        <v>12.654742857142857</v>
      </c>
      <c r="AM20" s="51" t="s">
        <v>277</v>
      </c>
      <c r="AN20" s="51">
        <f t="shared" si="18"/>
        <v>0</v>
      </c>
      <c r="AO20" s="51" t="str">
        <f t="shared" si="19"/>
        <v/>
      </c>
      <c r="AP20" s="51">
        <v>11.286742857142858</v>
      </c>
      <c r="AQ20" s="51" t="s">
        <v>277</v>
      </c>
      <c r="AR20" s="51">
        <f t="shared" si="20"/>
        <v>0</v>
      </c>
      <c r="AS20" s="51" t="str">
        <f t="shared" si="21"/>
        <v/>
      </c>
      <c r="AT20" s="51">
        <v>18.429557142857142</v>
      </c>
      <c r="AU20" s="51" t="s">
        <v>277</v>
      </c>
      <c r="AV20" s="51">
        <f t="shared" si="22"/>
        <v>0</v>
      </c>
      <c r="AW20" s="51" t="str">
        <f t="shared" si="23"/>
        <v/>
      </c>
      <c r="AX20" s="51">
        <v>17.374342857142857</v>
      </c>
      <c r="AY20" s="51" t="s">
        <v>277</v>
      </c>
      <c r="AZ20" s="51">
        <f t="shared" si="24"/>
        <v>0</v>
      </c>
      <c r="BA20" s="51" t="str">
        <f t="shared" si="25"/>
        <v/>
      </c>
      <c r="BB20" s="51">
        <v>13.697842857142858</v>
      </c>
      <c r="BC20" s="51" t="s">
        <v>277</v>
      </c>
      <c r="BD20" s="51">
        <f t="shared" si="107"/>
        <v>0</v>
      </c>
      <c r="BE20" s="51" t="str">
        <f t="shared" si="108"/>
        <v/>
      </c>
      <c r="BF20" s="51">
        <v>12.774442857142859</v>
      </c>
      <c r="BG20" s="51" t="s">
        <v>277</v>
      </c>
      <c r="BH20" s="51">
        <f t="shared" si="28"/>
        <v>0</v>
      </c>
      <c r="BI20" s="51" t="str">
        <f t="shared" si="29"/>
        <v/>
      </c>
      <c r="BJ20" s="51">
        <v>12.996742857142857</v>
      </c>
      <c r="BK20" s="51" t="s">
        <v>277</v>
      </c>
      <c r="BL20" s="51">
        <f t="shared" si="30"/>
        <v>0</v>
      </c>
      <c r="BM20" s="51" t="str">
        <f t="shared" si="31"/>
        <v/>
      </c>
      <c r="BN20" s="51">
        <v>13.082242857142857</v>
      </c>
      <c r="BO20" s="51" t="s">
        <v>277</v>
      </c>
      <c r="BP20" s="51">
        <f t="shared" si="32"/>
        <v>0</v>
      </c>
      <c r="BQ20" s="51" t="str">
        <f t="shared" si="33"/>
        <v/>
      </c>
      <c r="BR20" s="51">
        <v>15.818242857142858</v>
      </c>
      <c r="BS20" s="51" t="s">
        <v>277</v>
      </c>
      <c r="BT20" s="51">
        <f t="shared" si="34"/>
        <v>0</v>
      </c>
      <c r="BU20" s="51" t="str">
        <f t="shared" si="35"/>
        <v/>
      </c>
      <c r="BV20" s="51">
        <v>13.851742857142858</v>
      </c>
      <c r="BW20" s="51" t="s">
        <v>277</v>
      </c>
      <c r="BX20" s="51">
        <f t="shared" si="109"/>
        <v>0</v>
      </c>
      <c r="BY20" s="51" t="str">
        <f t="shared" si="110"/>
        <v/>
      </c>
      <c r="BZ20" s="51">
        <v>13.595242857142857</v>
      </c>
      <c r="CA20" s="51" t="s">
        <v>277</v>
      </c>
      <c r="CB20" s="51">
        <f t="shared" si="111"/>
        <v>0</v>
      </c>
      <c r="CC20" s="51" t="str">
        <f t="shared" si="112"/>
        <v/>
      </c>
      <c r="CD20" s="51">
        <v>12.740242857142857</v>
      </c>
      <c r="CE20" s="51" t="s">
        <v>277</v>
      </c>
      <c r="CF20" s="51">
        <f t="shared" si="40"/>
        <v>0</v>
      </c>
      <c r="CG20" s="51" t="str">
        <f t="shared" si="41"/>
        <v/>
      </c>
      <c r="CH20" s="51">
        <v>15.031642857142856</v>
      </c>
      <c r="CI20" s="51" t="s">
        <v>277</v>
      </c>
      <c r="CJ20" s="51">
        <f t="shared" si="144"/>
        <v>0</v>
      </c>
      <c r="CK20" s="51" t="str">
        <f t="shared" si="145"/>
        <v/>
      </c>
      <c r="CL20" s="51">
        <v>16.177342857142854</v>
      </c>
      <c r="CM20" s="51" t="s">
        <v>277</v>
      </c>
      <c r="CN20" s="51">
        <f t="shared" si="113"/>
        <v>0</v>
      </c>
      <c r="CO20" s="51" t="str">
        <f t="shared" si="114"/>
        <v/>
      </c>
      <c r="CP20" s="51">
        <v>16.792942857142855</v>
      </c>
      <c r="CQ20" s="51" t="s">
        <v>277</v>
      </c>
      <c r="CR20" s="51">
        <f t="shared" si="46"/>
        <v>0</v>
      </c>
      <c r="CS20" s="51" t="str">
        <f t="shared" si="47"/>
        <v/>
      </c>
      <c r="CT20" s="51">
        <v>13.869542857142861</v>
      </c>
      <c r="CU20" s="230" t="s">
        <v>277</v>
      </c>
      <c r="CV20" s="51">
        <f t="shared" si="48"/>
        <v>0</v>
      </c>
      <c r="CW20" s="51" t="str">
        <f t="shared" si="49"/>
        <v/>
      </c>
      <c r="CX20" s="51">
        <v>14.758042857142858</v>
      </c>
      <c r="CY20" s="230" t="s">
        <v>277</v>
      </c>
      <c r="CZ20" s="51">
        <f t="shared" si="115"/>
        <v>0</v>
      </c>
      <c r="DA20" s="51" t="str">
        <f t="shared" si="116"/>
        <v/>
      </c>
      <c r="DB20" s="51">
        <v>13.732042857142858</v>
      </c>
      <c r="DC20" s="230" t="s">
        <v>277</v>
      </c>
      <c r="DD20" s="51">
        <f t="shared" si="52"/>
        <v>0</v>
      </c>
      <c r="DE20" s="51" t="str">
        <f t="shared" si="53"/>
        <v/>
      </c>
      <c r="DF20" s="51">
        <v>15.356542857142859</v>
      </c>
      <c r="DG20" s="230" t="s">
        <v>277</v>
      </c>
      <c r="DH20" s="51">
        <f t="shared" si="54"/>
        <v>0</v>
      </c>
      <c r="DI20" s="51" t="str">
        <f t="shared" si="55"/>
        <v/>
      </c>
      <c r="DJ20" s="51">
        <v>18.520042857142855</v>
      </c>
      <c r="DK20" s="51" t="s">
        <v>277</v>
      </c>
      <c r="DL20" s="51">
        <f t="shared" si="56"/>
        <v>0</v>
      </c>
      <c r="DM20" s="51" t="str">
        <f t="shared" si="57"/>
        <v/>
      </c>
      <c r="DN20" s="51">
        <v>15.100042857142858</v>
      </c>
      <c r="DO20" s="51" t="s">
        <v>277</v>
      </c>
      <c r="DP20" s="51">
        <f t="shared" si="58"/>
        <v>0</v>
      </c>
      <c r="DQ20" s="51" t="str">
        <f t="shared" si="59"/>
        <v/>
      </c>
      <c r="DR20" s="51">
        <v>15.100042857142858</v>
      </c>
      <c r="DS20" s="51" t="s">
        <v>277</v>
      </c>
      <c r="DT20" s="51">
        <f t="shared" si="60"/>
        <v>0</v>
      </c>
      <c r="DU20" s="51" t="str">
        <f t="shared" si="61"/>
        <v/>
      </c>
      <c r="DV20" s="51">
        <v>14.758042857142858</v>
      </c>
      <c r="DW20" s="230" t="s">
        <v>277</v>
      </c>
      <c r="DX20" s="51">
        <f t="shared" si="62"/>
        <v>0</v>
      </c>
      <c r="DY20" s="51" t="str">
        <f t="shared" si="63"/>
        <v/>
      </c>
      <c r="DZ20" s="51">
        <v>14.946142857142856</v>
      </c>
      <c r="EA20" s="51" t="s">
        <v>277</v>
      </c>
      <c r="EB20" s="51">
        <f t="shared" si="64"/>
        <v>0</v>
      </c>
      <c r="EC20" s="51" t="str">
        <f t="shared" si="65"/>
        <v/>
      </c>
      <c r="ED20" s="51">
        <v>18.024142857142856</v>
      </c>
      <c r="EE20" s="51" t="s">
        <v>277</v>
      </c>
      <c r="EF20" s="51">
        <f t="shared" si="66"/>
        <v>0</v>
      </c>
      <c r="EG20" s="51" t="str">
        <f t="shared" si="67"/>
        <v/>
      </c>
      <c r="EH20" s="51">
        <v>14.176642857142857</v>
      </c>
      <c r="EI20" s="230" t="s">
        <v>277</v>
      </c>
      <c r="EJ20" s="250">
        <f t="shared" si="68"/>
        <v>0</v>
      </c>
      <c r="EK20" s="51" t="str">
        <f t="shared" si="69"/>
        <v/>
      </c>
      <c r="EL20" s="51">
        <v>17.682142857142857</v>
      </c>
      <c r="EM20" s="250" t="s">
        <v>277</v>
      </c>
      <c r="EN20" s="230">
        <f t="shared" si="70"/>
        <v>0</v>
      </c>
      <c r="EO20" s="51" t="str">
        <f t="shared" si="71"/>
        <v/>
      </c>
      <c r="EP20" s="51">
        <v>17.144214285714288</v>
      </c>
      <c r="EQ20" s="230" t="s">
        <v>277</v>
      </c>
      <c r="ER20" s="51">
        <f t="shared" si="72"/>
        <v>0</v>
      </c>
      <c r="ES20" s="51" t="str">
        <f t="shared" si="73"/>
        <v/>
      </c>
      <c r="ET20" s="51">
        <v>17.999214285714288</v>
      </c>
      <c r="EU20" s="230" t="s">
        <v>277</v>
      </c>
      <c r="EV20" s="51">
        <f t="shared" si="117"/>
        <v>0</v>
      </c>
      <c r="EW20" s="51" t="str">
        <f t="shared" si="75"/>
        <v/>
      </c>
      <c r="EX20" s="51">
        <v>17.913714285714285</v>
      </c>
      <c r="EY20" s="51" t="s">
        <v>277</v>
      </c>
      <c r="EZ20" s="51">
        <f t="shared" si="76"/>
        <v>0</v>
      </c>
      <c r="FA20" s="51" t="str">
        <f t="shared" si="77"/>
        <v/>
      </c>
      <c r="FB20" s="51">
        <v>17.229714285714287</v>
      </c>
      <c r="FC20" s="51" t="s">
        <v>277</v>
      </c>
      <c r="FD20" s="51">
        <f t="shared" si="78"/>
        <v>0</v>
      </c>
      <c r="FE20" s="51" t="str">
        <f t="shared" si="79"/>
        <v/>
      </c>
      <c r="FF20" s="51">
        <v>20.957514285714286</v>
      </c>
      <c r="FG20" s="51" t="s">
        <v>277</v>
      </c>
      <c r="FH20" s="51">
        <f t="shared" si="146"/>
        <v>0</v>
      </c>
      <c r="FI20" s="51" t="str">
        <f t="shared" si="147"/>
        <v/>
      </c>
      <c r="FJ20" s="51">
        <v>18.768714285714285</v>
      </c>
      <c r="FK20" s="230" t="s">
        <v>277</v>
      </c>
      <c r="FL20" s="51">
        <f t="shared" si="82"/>
        <v>0</v>
      </c>
      <c r="FM20" s="51" t="str">
        <f t="shared" si="83"/>
        <v/>
      </c>
      <c r="FN20" s="51">
        <v>17.028078571428573</v>
      </c>
      <c r="FO20" s="51"/>
      <c r="FP20" s="51"/>
      <c r="FQ20" s="51"/>
      <c r="FR20" s="51">
        <f t="shared" si="118"/>
        <v>0</v>
      </c>
      <c r="FS20" s="14">
        <f t="shared" si="119"/>
        <v>0</v>
      </c>
      <c r="FT20">
        <f t="shared" si="120"/>
        <v>0</v>
      </c>
      <c r="FV20" s="215">
        <f t="shared" si="84"/>
        <v>0</v>
      </c>
      <c r="FW20" s="215">
        <f t="shared" si="85"/>
        <v>0</v>
      </c>
      <c r="FX20" s="215">
        <f t="shared" si="86"/>
        <v>0</v>
      </c>
      <c r="FY20" s="215">
        <f t="shared" si="87"/>
        <v>0</v>
      </c>
      <c r="FZ20" s="215">
        <f t="shared" si="88"/>
        <v>0</v>
      </c>
      <c r="GA20" s="215">
        <f t="shared" si="89"/>
        <v>0</v>
      </c>
      <c r="GB20" s="215">
        <f t="shared" si="90"/>
        <v>0</v>
      </c>
      <c r="GC20" s="215">
        <f t="shared" si="91"/>
        <v>0</v>
      </c>
      <c r="GD20" s="215">
        <f t="shared" si="92"/>
        <v>0</v>
      </c>
      <c r="GE20" s="215">
        <f t="shared" si="93"/>
        <v>0</v>
      </c>
      <c r="GF20" s="215">
        <f t="shared" si="94"/>
        <v>0</v>
      </c>
      <c r="GG20" s="215">
        <f t="shared" si="95"/>
        <v>0</v>
      </c>
      <c r="GH20" s="215">
        <f t="shared" si="96"/>
        <v>0</v>
      </c>
      <c r="GI20" s="215">
        <f t="shared" si="97"/>
        <v>0</v>
      </c>
      <c r="GJ20" s="215">
        <f t="shared" si="98"/>
        <v>0</v>
      </c>
      <c r="GK20" s="215">
        <f t="shared" si="99"/>
        <v>0</v>
      </c>
      <c r="GL20" s="215">
        <f t="shared" si="100"/>
        <v>0</v>
      </c>
      <c r="GM20" s="215">
        <f t="shared" si="101"/>
        <v>0</v>
      </c>
      <c r="GN20" s="215">
        <f t="shared" si="102"/>
        <v>0</v>
      </c>
      <c r="GO20" s="215">
        <f t="shared" si="103"/>
        <v>0</v>
      </c>
      <c r="GP20" s="215">
        <f t="shared" si="104"/>
        <v>0</v>
      </c>
      <c r="GQ20" s="215">
        <f t="shared" si="105"/>
        <v>0</v>
      </c>
      <c r="GR20" s="215">
        <f t="shared" si="106"/>
        <v>0</v>
      </c>
      <c r="GS20" s="215">
        <f t="shared" si="121"/>
        <v>0</v>
      </c>
      <c r="GT20" s="215">
        <f t="shared" si="122"/>
        <v>0</v>
      </c>
      <c r="GU20" s="215">
        <f t="shared" si="123"/>
        <v>0</v>
      </c>
      <c r="GV20" s="215">
        <f t="shared" si="124"/>
        <v>0</v>
      </c>
      <c r="GW20" s="215">
        <f t="shared" si="125"/>
        <v>0</v>
      </c>
      <c r="GX20" s="215">
        <f t="shared" si="126"/>
        <v>0</v>
      </c>
      <c r="GY20" s="215">
        <f t="shared" si="127"/>
        <v>0</v>
      </c>
      <c r="GZ20" s="215">
        <f t="shared" si="128"/>
        <v>0</v>
      </c>
      <c r="HA20" s="215">
        <f t="shared" si="129"/>
        <v>0</v>
      </c>
      <c r="HB20" s="215">
        <f t="shared" si="130"/>
        <v>0</v>
      </c>
      <c r="HC20" s="215">
        <f t="shared" si="131"/>
        <v>0</v>
      </c>
      <c r="HD20" s="215">
        <f t="shared" si="132"/>
        <v>0</v>
      </c>
      <c r="HE20" s="215">
        <f t="shared" si="133"/>
        <v>0</v>
      </c>
      <c r="HF20" s="215">
        <f t="shared" si="134"/>
        <v>0</v>
      </c>
      <c r="HG20" s="215">
        <f t="shared" si="135"/>
        <v>0</v>
      </c>
      <c r="HH20" s="215">
        <f t="shared" si="136"/>
        <v>0</v>
      </c>
      <c r="HI20" s="215">
        <f t="shared" si="137"/>
        <v>0</v>
      </c>
      <c r="HJ20" s="215">
        <f t="shared" si="138"/>
        <v>0</v>
      </c>
      <c r="HK20" s="215">
        <f t="shared" si="139"/>
        <v>0</v>
      </c>
      <c r="HL20" s="211">
        <f t="shared" si="140"/>
        <v>0</v>
      </c>
      <c r="HM20" s="51">
        <f t="shared" si="141"/>
        <v>0</v>
      </c>
    </row>
    <row r="21" spans="1:224">
      <c r="A21" s="49" t="s">
        <v>43</v>
      </c>
      <c r="B21" s="51">
        <v>8.6198428571428565</v>
      </c>
      <c r="C21" s="51" t="s">
        <v>277</v>
      </c>
      <c r="D21" s="51">
        <f t="shared" si="0"/>
        <v>0</v>
      </c>
      <c r="E21" s="51" t="str">
        <f t="shared" si="1"/>
        <v/>
      </c>
      <c r="F21" s="51">
        <v>10.106842857142857</v>
      </c>
      <c r="G21" s="51" t="s">
        <v>277</v>
      </c>
      <c r="H21" s="51">
        <f t="shared" si="2"/>
        <v>0</v>
      </c>
      <c r="I21" s="51" t="str">
        <f t="shared" si="3"/>
        <v/>
      </c>
      <c r="J21" s="51">
        <v>10.483042857142857</v>
      </c>
      <c r="K21" s="51" t="s">
        <v>277</v>
      </c>
      <c r="L21" s="51">
        <f t="shared" si="4"/>
        <v>0</v>
      </c>
      <c r="M21" s="51" t="str">
        <f t="shared" si="5"/>
        <v/>
      </c>
      <c r="N21" s="51">
        <v>10.141042857142857</v>
      </c>
      <c r="O21" s="51" t="s">
        <v>277</v>
      </c>
      <c r="P21" s="51">
        <f t="shared" si="6"/>
        <v>0</v>
      </c>
      <c r="Q21" s="51" t="str">
        <f t="shared" si="7"/>
        <v/>
      </c>
      <c r="R21" s="51">
        <v>10.226542857142856</v>
      </c>
      <c r="S21" s="51" t="s">
        <v>277</v>
      </c>
      <c r="T21" s="51">
        <f t="shared" si="8"/>
        <v>0</v>
      </c>
      <c r="U21" s="51" t="str">
        <f t="shared" si="9"/>
        <v/>
      </c>
      <c r="V21" s="51">
        <v>10.773742857142858</v>
      </c>
      <c r="W21" s="51" t="s">
        <v>277</v>
      </c>
      <c r="X21" s="51">
        <f t="shared" si="10"/>
        <v>0</v>
      </c>
      <c r="Y21" s="51" t="str">
        <f t="shared" si="11"/>
        <v/>
      </c>
      <c r="Z21" s="51">
        <v>10.739542857142858</v>
      </c>
      <c r="AA21" s="51" t="s">
        <v>277</v>
      </c>
      <c r="AB21" s="51">
        <f t="shared" si="12"/>
        <v>0</v>
      </c>
      <c r="AC21" s="51" t="str">
        <f t="shared" si="13"/>
        <v/>
      </c>
      <c r="AD21" s="51">
        <v>11.115742857142857</v>
      </c>
      <c r="AE21" s="51" t="s">
        <v>277</v>
      </c>
      <c r="AF21" s="51">
        <f t="shared" si="14"/>
        <v>0</v>
      </c>
      <c r="AG21" s="51" t="str">
        <f t="shared" si="15"/>
        <v/>
      </c>
      <c r="AH21" s="51">
        <v>10.944742857142858</v>
      </c>
      <c r="AI21" s="51" t="s">
        <v>277</v>
      </c>
      <c r="AJ21" s="51">
        <f t="shared" si="16"/>
        <v>0</v>
      </c>
      <c r="AK21" s="51" t="str">
        <f t="shared" si="17"/>
        <v/>
      </c>
      <c r="AL21" s="51">
        <v>12.654742857142857</v>
      </c>
      <c r="AM21" s="51" t="s">
        <v>277</v>
      </c>
      <c r="AN21" s="51">
        <f t="shared" si="18"/>
        <v>0</v>
      </c>
      <c r="AO21" s="51" t="str">
        <f t="shared" si="19"/>
        <v/>
      </c>
      <c r="AP21" s="51">
        <v>11.286742857142858</v>
      </c>
      <c r="AQ21" s="51" t="s">
        <v>277</v>
      </c>
      <c r="AR21" s="51">
        <f t="shared" si="20"/>
        <v>0</v>
      </c>
      <c r="AS21" s="51" t="str">
        <f t="shared" si="21"/>
        <v/>
      </c>
      <c r="AT21" s="51">
        <v>18.429557142857142</v>
      </c>
      <c r="AU21" s="51" t="s">
        <v>277</v>
      </c>
      <c r="AV21" s="51">
        <f t="shared" si="22"/>
        <v>0</v>
      </c>
      <c r="AW21" s="51" t="str">
        <f t="shared" si="23"/>
        <v/>
      </c>
      <c r="AX21" s="51">
        <v>17.374342857142857</v>
      </c>
      <c r="AY21" s="51" t="s">
        <v>277</v>
      </c>
      <c r="AZ21" s="51">
        <f t="shared" si="24"/>
        <v>0</v>
      </c>
      <c r="BA21" s="51" t="str">
        <f t="shared" si="25"/>
        <v/>
      </c>
      <c r="BB21" s="51">
        <v>13.697842857142858</v>
      </c>
      <c r="BC21" s="51" t="s">
        <v>277</v>
      </c>
      <c r="BD21" s="51">
        <f t="shared" si="107"/>
        <v>0</v>
      </c>
      <c r="BE21" s="51" t="str">
        <f t="shared" si="108"/>
        <v/>
      </c>
      <c r="BF21" s="51">
        <v>12.774442857142859</v>
      </c>
      <c r="BG21" s="51" t="s">
        <v>277</v>
      </c>
      <c r="BH21" s="51">
        <f t="shared" si="28"/>
        <v>0</v>
      </c>
      <c r="BI21" s="51" t="str">
        <f t="shared" si="29"/>
        <v/>
      </c>
      <c r="BJ21" s="51">
        <v>12.996742857142857</v>
      </c>
      <c r="BK21" s="51" t="s">
        <v>277</v>
      </c>
      <c r="BL21" s="51">
        <f t="shared" si="30"/>
        <v>0</v>
      </c>
      <c r="BM21" s="51" t="str">
        <f t="shared" si="31"/>
        <v/>
      </c>
      <c r="BN21" s="51">
        <v>13.082242857142857</v>
      </c>
      <c r="BO21" s="51" t="s">
        <v>277</v>
      </c>
      <c r="BP21" s="51">
        <f t="shared" si="32"/>
        <v>0</v>
      </c>
      <c r="BQ21" s="51" t="str">
        <f t="shared" si="33"/>
        <v/>
      </c>
      <c r="BR21" s="51">
        <v>15.818242857142858</v>
      </c>
      <c r="BS21" s="51" t="s">
        <v>277</v>
      </c>
      <c r="BT21" s="51">
        <f t="shared" si="34"/>
        <v>0</v>
      </c>
      <c r="BU21" s="51" t="str">
        <f t="shared" si="35"/>
        <v/>
      </c>
      <c r="BV21" s="51">
        <v>13.851742857142858</v>
      </c>
      <c r="BW21" s="51" t="s">
        <v>277</v>
      </c>
      <c r="BX21" s="51">
        <f t="shared" si="109"/>
        <v>0</v>
      </c>
      <c r="BY21" s="51" t="str">
        <f t="shared" si="110"/>
        <v/>
      </c>
      <c r="BZ21" s="51">
        <v>13.595242857142857</v>
      </c>
      <c r="CA21" s="51" t="s">
        <v>277</v>
      </c>
      <c r="CB21" s="51">
        <f t="shared" si="111"/>
        <v>0</v>
      </c>
      <c r="CC21" s="51" t="str">
        <f t="shared" si="112"/>
        <v/>
      </c>
      <c r="CD21" s="51">
        <v>12.740242857142857</v>
      </c>
      <c r="CE21" s="51" t="s">
        <v>277</v>
      </c>
      <c r="CF21" s="51">
        <f t="shared" si="40"/>
        <v>0</v>
      </c>
      <c r="CG21" s="51" t="str">
        <f t="shared" si="41"/>
        <v/>
      </c>
      <c r="CH21" s="51">
        <v>15.031642857142856</v>
      </c>
      <c r="CI21" s="51" t="s">
        <v>277</v>
      </c>
      <c r="CJ21" s="51">
        <f t="shared" si="144"/>
        <v>0</v>
      </c>
      <c r="CK21" s="51" t="str">
        <f t="shared" si="145"/>
        <v/>
      </c>
      <c r="CL21" s="51">
        <v>16.177342857142854</v>
      </c>
      <c r="CM21" s="51" t="s">
        <v>277</v>
      </c>
      <c r="CN21" s="51">
        <f t="shared" si="113"/>
        <v>0</v>
      </c>
      <c r="CO21" s="51" t="str">
        <f t="shared" si="114"/>
        <v/>
      </c>
      <c r="CP21" s="51">
        <v>16.792942857142855</v>
      </c>
      <c r="CQ21" s="51" t="s">
        <v>277</v>
      </c>
      <c r="CR21" s="51">
        <f t="shared" si="46"/>
        <v>0</v>
      </c>
      <c r="CS21" s="51" t="str">
        <f t="shared" si="47"/>
        <v/>
      </c>
      <c r="CT21" s="51">
        <v>13.869542857142861</v>
      </c>
      <c r="CU21" s="230" t="s">
        <v>277</v>
      </c>
      <c r="CV21" s="51">
        <f t="shared" si="48"/>
        <v>0</v>
      </c>
      <c r="CW21" s="51" t="str">
        <f t="shared" si="49"/>
        <v/>
      </c>
      <c r="CX21" s="51">
        <v>14.758042857142858</v>
      </c>
      <c r="CY21" s="230" t="s">
        <v>277</v>
      </c>
      <c r="CZ21" s="51">
        <f t="shared" si="115"/>
        <v>0</v>
      </c>
      <c r="DA21" s="51" t="str">
        <f t="shared" si="116"/>
        <v/>
      </c>
      <c r="DB21" s="51">
        <v>13.732042857142858</v>
      </c>
      <c r="DC21" s="230" t="s">
        <v>277</v>
      </c>
      <c r="DD21" s="51">
        <f t="shared" si="52"/>
        <v>0</v>
      </c>
      <c r="DE21" s="51" t="str">
        <f t="shared" si="53"/>
        <v/>
      </c>
      <c r="DF21" s="51">
        <v>15.356542857142859</v>
      </c>
      <c r="DG21" s="230" t="s">
        <v>277</v>
      </c>
      <c r="DH21" s="51">
        <f t="shared" si="54"/>
        <v>0</v>
      </c>
      <c r="DI21" s="51" t="str">
        <f t="shared" si="55"/>
        <v/>
      </c>
      <c r="DJ21" s="51">
        <v>18.520042857142855</v>
      </c>
      <c r="DK21" s="51" t="s">
        <v>277</v>
      </c>
      <c r="DL21" s="51">
        <f t="shared" si="56"/>
        <v>0</v>
      </c>
      <c r="DM21" s="51" t="str">
        <f t="shared" si="57"/>
        <v/>
      </c>
      <c r="DN21" s="51">
        <v>15.100042857142858</v>
      </c>
      <c r="DO21" s="51" t="s">
        <v>277</v>
      </c>
      <c r="DP21" s="51">
        <f t="shared" si="58"/>
        <v>0</v>
      </c>
      <c r="DQ21" s="51" t="str">
        <f t="shared" si="59"/>
        <v/>
      </c>
      <c r="DR21" s="51">
        <v>15.100042857142858</v>
      </c>
      <c r="DS21" s="51" t="s">
        <v>277</v>
      </c>
      <c r="DT21" s="51">
        <f t="shared" si="60"/>
        <v>0</v>
      </c>
      <c r="DU21" s="51" t="str">
        <f t="shared" si="61"/>
        <v/>
      </c>
      <c r="DV21" s="51">
        <v>14.758042857142858</v>
      </c>
      <c r="DW21" s="230" t="s">
        <v>277</v>
      </c>
      <c r="DX21" s="51">
        <f t="shared" si="62"/>
        <v>0</v>
      </c>
      <c r="DY21" s="51" t="str">
        <f t="shared" si="63"/>
        <v/>
      </c>
      <c r="DZ21" s="51">
        <v>14.946142857142856</v>
      </c>
      <c r="EA21" s="51" t="s">
        <v>277</v>
      </c>
      <c r="EB21" s="51">
        <f t="shared" si="64"/>
        <v>0</v>
      </c>
      <c r="EC21" s="51" t="str">
        <f t="shared" si="65"/>
        <v/>
      </c>
      <c r="ED21" s="51">
        <v>18.024142857142856</v>
      </c>
      <c r="EE21" s="51" t="s">
        <v>277</v>
      </c>
      <c r="EF21" s="51">
        <f t="shared" si="66"/>
        <v>0</v>
      </c>
      <c r="EG21" s="51" t="str">
        <f t="shared" si="67"/>
        <v/>
      </c>
      <c r="EH21" s="51">
        <v>14.176642857142857</v>
      </c>
      <c r="EI21" s="230" t="s">
        <v>277</v>
      </c>
      <c r="EJ21" s="250">
        <f t="shared" si="68"/>
        <v>0</v>
      </c>
      <c r="EK21" s="51" t="str">
        <f t="shared" si="69"/>
        <v/>
      </c>
      <c r="EL21" s="51">
        <v>17.682142857142857</v>
      </c>
      <c r="EM21" s="250" t="s">
        <v>277</v>
      </c>
      <c r="EN21" s="230">
        <f t="shared" si="70"/>
        <v>0</v>
      </c>
      <c r="EO21" s="51" t="str">
        <f t="shared" si="71"/>
        <v/>
      </c>
      <c r="EP21" s="51">
        <v>17.144214285714288</v>
      </c>
      <c r="EQ21" s="230" t="s">
        <v>277</v>
      </c>
      <c r="ER21" s="51">
        <f t="shared" si="72"/>
        <v>0</v>
      </c>
      <c r="ES21" s="51" t="str">
        <f t="shared" si="73"/>
        <v/>
      </c>
      <c r="ET21" s="51">
        <v>17.999214285714288</v>
      </c>
      <c r="EU21" s="230" t="s">
        <v>277</v>
      </c>
      <c r="EV21" s="51">
        <f t="shared" si="117"/>
        <v>0</v>
      </c>
      <c r="EW21" s="51" t="str">
        <f t="shared" si="75"/>
        <v/>
      </c>
      <c r="EX21" s="51">
        <v>17.913714285714285</v>
      </c>
      <c r="EY21" s="51" t="s">
        <v>277</v>
      </c>
      <c r="EZ21" s="51">
        <f t="shared" si="76"/>
        <v>0</v>
      </c>
      <c r="FA21" s="51" t="str">
        <f t="shared" si="77"/>
        <v/>
      </c>
      <c r="FB21" s="51">
        <v>17.229714285714287</v>
      </c>
      <c r="FC21" s="51" t="s">
        <v>277</v>
      </c>
      <c r="FD21" s="51">
        <f t="shared" si="78"/>
        <v>0</v>
      </c>
      <c r="FE21" s="51" t="str">
        <f t="shared" si="79"/>
        <v/>
      </c>
      <c r="FF21" s="51">
        <v>20.957514285714286</v>
      </c>
      <c r="FG21" s="51" t="s">
        <v>277</v>
      </c>
      <c r="FH21" s="51">
        <f t="shared" si="146"/>
        <v>0</v>
      </c>
      <c r="FI21" s="51" t="str">
        <f t="shared" si="147"/>
        <v/>
      </c>
      <c r="FJ21" s="51">
        <v>18.768714285714285</v>
      </c>
      <c r="FK21" s="230" t="s">
        <v>277</v>
      </c>
      <c r="FL21" s="51">
        <f t="shared" si="82"/>
        <v>0</v>
      </c>
      <c r="FM21" s="51" t="str">
        <f t="shared" si="83"/>
        <v/>
      </c>
      <c r="FN21" s="51">
        <v>17.028078571428573</v>
      </c>
      <c r="FO21" s="51"/>
      <c r="FP21" s="51"/>
      <c r="FQ21" s="51"/>
      <c r="FR21" s="51">
        <f t="shared" si="118"/>
        <v>0</v>
      </c>
      <c r="FS21" s="14">
        <f t="shared" si="119"/>
        <v>0</v>
      </c>
      <c r="FT21">
        <f t="shared" si="120"/>
        <v>0</v>
      </c>
      <c r="FV21" s="215">
        <f t="shared" si="84"/>
        <v>0</v>
      </c>
      <c r="FW21" s="215">
        <f t="shared" si="85"/>
        <v>0</v>
      </c>
      <c r="FX21" s="215">
        <f t="shared" si="86"/>
        <v>0</v>
      </c>
      <c r="FY21" s="215">
        <f t="shared" si="87"/>
        <v>0</v>
      </c>
      <c r="FZ21" s="215">
        <f t="shared" si="88"/>
        <v>0</v>
      </c>
      <c r="GA21" s="215">
        <f t="shared" si="89"/>
        <v>0</v>
      </c>
      <c r="GB21" s="215">
        <f t="shared" si="90"/>
        <v>0</v>
      </c>
      <c r="GC21" s="215">
        <f t="shared" si="91"/>
        <v>0</v>
      </c>
      <c r="GD21" s="215">
        <f t="shared" si="92"/>
        <v>0</v>
      </c>
      <c r="GE21" s="215">
        <f t="shared" si="93"/>
        <v>0</v>
      </c>
      <c r="GF21" s="215">
        <f t="shared" si="94"/>
        <v>0</v>
      </c>
      <c r="GG21" s="215">
        <f t="shared" si="95"/>
        <v>0</v>
      </c>
      <c r="GH21" s="215">
        <f t="shared" si="96"/>
        <v>0</v>
      </c>
      <c r="GI21" s="215">
        <f t="shared" si="97"/>
        <v>0</v>
      </c>
      <c r="GJ21" s="215">
        <f t="shared" si="98"/>
        <v>0</v>
      </c>
      <c r="GK21" s="215">
        <f t="shared" si="99"/>
        <v>0</v>
      </c>
      <c r="GL21" s="215">
        <f t="shared" si="100"/>
        <v>0</v>
      </c>
      <c r="GM21" s="215">
        <f t="shared" si="101"/>
        <v>0</v>
      </c>
      <c r="GN21" s="215">
        <f t="shared" si="102"/>
        <v>0</v>
      </c>
      <c r="GO21" s="215">
        <f t="shared" si="103"/>
        <v>0</v>
      </c>
      <c r="GP21" s="215">
        <f t="shared" si="104"/>
        <v>0</v>
      </c>
      <c r="GQ21" s="215">
        <f t="shared" si="105"/>
        <v>0</v>
      </c>
      <c r="GR21" s="215">
        <f t="shared" si="106"/>
        <v>0</v>
      </c>
      <c r="GS21" s="215">
        <f t="shared" si="121"/>
        <v>0</v>
      </c>
      <c r="GT21" s="215">
        <f t="shared" si="122"/>
        <v>0</v>
      </c>
      <c r="GU21" s="215">
        <f t="shared" si="123"/>
        <v>0</v>
      </c>
      <c r="GV21" s="215">
        <f t="shared" si="124"/>
        <v>0</v>
      </c>
      <c r="GW21" s="215">
        <f t="shared" si="125"/>
        <v>0</v>
      </c>
      <c r="GX21" s="215">
        <f t="shared" si="126"/>
        <v>0</v>
      </c>
      <c r="GY21" s="215">
        <f t="shared" si="127"/>
        <v>0</v>
      </c>
      <c r="GZ21" s="215">
        <f t="shared" si="128"/>
        <v>0</v>
      </c>
      <c r="HA21" s="215">
        <f t="shared" si="129"/>
        <v>0</v>
      </c>
      <c r="HB21" s="215">
        <f t="shared" si="130"/>
        <v>0</v>
      </c>
      <c r="HC21" s="215">
        <f t="shared" si="131"/>
        <v>0</v>
      </c>
      <c r="HD21" s="215">
        <f t="shared" si="132"/>
        <v>0</v>
      </c>
      <c r="HE21" s="215">
        <f t="shared" si="133"/>
        <v>0</v>
      </c>
      <c r="HF21" s="215">
        <f t="shared" si="134"/>
        <v>0</v>
      </c>
      <c r="HG21" s="215">
        <f t="shared" si="135"/>
        <v>0</v>
      </c>
      <c r="HH21" s="215">
        <f t="shared" si="136"/>
        <v>0</v>
      </c>
      <c r="HI21" s="215">
        <f t="shared" si="137"/>
        <v>0</v>
      </c>
      <c r="HJ21" s="215">
        <f t="shared" si="138"/>
        <v>0</v>
      </c>
      <c r="HK21" s="215">
        <f t="shared" si="139"/>
        <v>0</v>
      </c>
      <c r="HL21" s="211">
        <f t="shared" si="140"/>
        <v>0</v>
      </c>
      <c r="HM21" s="51">
        <f t="shared" si="141"/>
        <v>0</v>
      </c>
    </row>
    <row r="22" spans="1:224">
      <c r="A22" s="49" t="s">
        <v>44</v>
      </c>
      <c r="B22" s="51">
        <v>8.6198428571428565</v>
      </c>
      <c r="C22" s="51" t="s">
        <v>277</v>
      </c>
      <c r="D22" s="51">
        <f t="shared" si="0"/>
        <v>0</v>
      </c>
      <c r="E22" s="51" t="str">
        <f t="shared" si="1"/>
        <v/>
      </c>
      <c r="F22" s="51">
        <v>10.106842857142857</v>
      </c>
      <c r="G22" s="51" t="s">
        <v>277</v>
      </c>
      <c r="H22" s="51">
        <f t="shared" si="2"/>
        <v>0</v>
      </c>
      <c r="I22" s="51" t="str">
        <f t="shared" si="3"/>
        <v/>
      </c>
      <c r="J22" s="51">
        <v>10.483042857142857</v>
      </c>
      <c r="K22" s="51" t="s">
        <v>277</v>
      </c>
      <c r="L22" s="51">
        <f t="shared" si="4"/>
        <v>0</v>
      </c>
      <c r="M22" s="51" t="str">
        <f t="shared" si="5"/>
        <v/>
      </c>
      <c r="N22" s="51">
        <v>10.141042857142857</v>
      </c>
      <c r="O22" s="51" t="s">
        <v>277</v>
      </c>
      <c r="P22" s="51">
        <f t="shared" si="6"/>
        <v>0</v>
      </c>
      <c r="Q22" s="51" t="str">
        <f t="shared" si="7"/>
        <v/>
      </c>
      <c r="R22" s="51">
        <v>10.226542857142856</v>
      </c>
      <c r="S22" s="51" t="s">
        <v>277</v>
      </c>
      <c r="T22" s="51">
        <f t="shared" si="8"/>
        <v>0</v>
      </c>
      <c r="U22" s="51" t="str">
        <f t="shared" si="9"/>
        <v/>
      </c>
      <c r="V22" s="51">
        <v>10.773742857142858</v>
      </c>
      <c r="W22" s="51" t="s">
        <v>277</v>
      </c>
      <c r="X22" s="51">
        <f t="shared" si="10"/>
        <v>0</v>
      </c>
      <c r="Y22" s="51" t="str">
        <f t="shared" si="11"/>
        <v/>
      </c>
      <c r="Z22" s="51">
        <v>10.739542857142858</v>
      </c>
      <c r="AA22" s="51" t="s">
        <v>277</v>
      </c>
      <c r="AB22" s="51">
        <f t="shared" si="12"/>
        <v>0</v>
      </c>
      <c r="AC22" s="51" t="str">
        <f t="shared" si="13"/>
        <v/>
      </c>
      <c r="AD22" s="51">
        <v>11.115742857142857</v>
      </c>
      <c r="AE22" s="51" t="s">
        <v>277</v>
      </c>
      <c r="AF22" s="51">
        <f t="shared" si="14"/>
        <v>0</v>
      </c>
      <c r="AG22" s="51" t="str">
        <f t="shared" si="15"/>
        <v/>
      </c>
      <c r="AH22" s="51">
        <v>10.944742857142858</v>
      </c>
      <c r="AI22" s="51" t="s">
        <v>277</v>
      </c>
      <c r="AJ22" s="51">
        <f t="shared" si="16"/>
        <v>0</v>
      </c>
      <c r="AK22" s="51" t="str">
        <f t="shared" si="17"/>
        <v/>
      </c>
      <c r="AL22" s="51">
        <v>12.654742857142857</v>
      </c>
      <c r="AM22" s="51" t="s">
        <v>277</v>
      </c>
      <c r="AN22" s="51">
        <f t="shared" si="18"/>
        <v>0</v>
      </c>
      <c r="AO22" s="51" t="str">
        <f t="shared" si="19"/>
        <v/>
      </c>
      <c r="AP22" s="51">
        <v>11.286742857142858</v>
      </c>
      <c r="AQ22" s="51" t="s">
        <v>277</v>
      </c>
      <c r="AR22" s="51">
        <f t="shared" si="20"/>
        <v>0</v>
      </c>
      <c r="AS22" s="51" t="str">
        <f t="shared" si="21"/>
        <v/>
      </c>
      <c r="AT22" s="51">
        <v>18.429557142857142</v>
      </c>
      <c r="AU22" s="51" t="s">
        <v>277</v>
      </c>
      <c r="AV22" s="51">
        <f t="shared" si="22"/>
        <v>0</v>
      </c>
      <c r="AW22" s="51" t="str">
        <f t="shared" si="23"/>
        <v/>
      </c>
      <c r="AX22" s="51">
        <v>17.374342857142857</v>
      </c>
      <c r="AY22" s="51" t="s">
        <v>277</v>
      </c>
      <c r="AZ22" s="51">
        <f t="shared" si="24"/>
        <v>0</v>
      </c>
      <c r="BA22" s="51" t="str">
        <f t="shared" si="25"/>
        <v/>
      </c>
      <c r="BB22" s="51">
        <v>13.697842857142858</v>
      </c>
      <c r="BC22" s="51" t="s">
        <v>277</v>
      </c>
      <c r="BD22" s="51">
        <f t="shared" si="107"/>
        <v>0</v>
      </c>
      <c r="BE22" s="51" t="str">
        <f t="shared" si="108"/>
        <v/>
      </c>
      <c r="BF22" s="51">
        <v>12.774442857142859</v>
      </c>
      <c r="BG22" s="51" t="s">
        <v>277</v>
      </c>
      <c r="BH22" s="51">
        <f t="shared" si="28"/>
        <v>0</v>
      </c>
      <c r="BI22" s="51" t="str">
        <f t="shared" si="29"/>
        <v/>
      </c>
      <c r="BJ22" s="51">
        <v>12.996742857142857</v>
      </c>
      <c r="BK22" s="51" t="s">
        <v>277</v>
      </c>
      <c r="BL22" s="51">
        <f t="shared" si="30"/>
        <v>0</v>
      </c>
      <c r="BM22" s="51" t="str">
        <f t="shared" si="31"/>
        <v/>
      </c>
      <c r="BN22" s="51">
        <v>13.082242857142857</v>
      </c>
      <c r="BO22" s="51" t="s">
        <v>277</v>
      </c>
      <c r="BP22" s="51">
        <f t="shared" si="32"/>
        <v>0</v>
      </c>
      <c r="BQ22" s="51" t="str">
        <f t="shared" si="33"/>
        <v/>
      </c>
      <c r="BR22" s="51">
        <v>15.818242857142858</v>
      </c>
      <c r="BS22" s="51" t="s">
        <v>277</v>
      </c>
      <c r="BT22" s="51">
        <f t="shared" si="34"/>
        <v>0</v>
      </c>
      <c r="BU22" s="51" t="str">
        <f t="shared" si="35"/>
        <v/>
      </c>
      <c r="BV22" s="51">
        <v>13.851742857142858</v>
      </c>
      <c r="BW22" s="51" t="s">
        <v>277</v>
      </c>
      <c r="BX22" s="51">
        <f t="shared" si="109"/>
        <v>0</v>
      </c>
      <c r="BY22" s="51" t="str">
        <f t="shared" si="110"/>
        <v/>
      </c>
      <c r="BZ22" s="51">
        <v>13.595242857142857</v>
      </c>
      <c r="CA22" s="51" t="s">
        <v>277</v>
      </c>
      <c r="CB22" s="51">
        <f t="shared" si="111"/>
        <v>0</v>
      </c>
      <c r="CC22" s="51" t="str">
        <f t="shared" si="112"/>
        <v/>
      </c>
      <c r="CD22" s="51">
        <v>12.740242857142857</v>
      </c>
      <c r="CE22" s="51" t="s">
        <v>277</v>
      </c>
      <c r="CF22" s="51">
        <f t="shared" si="40"/>
        <v>0</v>
      </c>
      <c r="CG22" s="51" t="str">
        <f t="shared" si="41"/>
        <v/>
      </c>
      <c r="CH22" s="51">
        <v>15.031642857142856</v>
      </c>
      <c r="CI22" s="51" t="s">
        <v>277</v>
      </c>
      <c r="CJ22" s="51">
        <f t="shared" si="144"/>
        <v>0</v>
      </c>
      <c r="CK22" s="51" t="str">
        <f t="shared" si="145"/>
        <v/>
      </c>
      <c r="CL22" s="51">
        <v>16.177342857142854</v>
      </c>
      <c r="CM22" s="51" t="s">
        <v>277</v>
      </c>
      <c r="CN22" s="51">
        <f t="shared" si="113"/>
        <v>0</v>
      </c>
      <c r="CO22" s="51" t="str">
        <f t="shared" si="114"/>
        <v/>
      </c>
      <c r="CP22" s="51">
        <v>16.792942857142855</v>
      </c>
      <c r="CQ22" s="51" t="s">
        <v>277</v>
      </c>
      <c r="CR22" s="51">
        <f t="shared" si="46"/>
        <v>0</v>
      </c>
      <c r="CS22" s="51" t="str">
        <f t="shared" si="47"/>
        <v/>
      </c>
      <c r="CT22" s="51">
        <v>13.869542857142861</v>
      </c>
      <c r="CU22" s="230" t="s">
        <v>277</v>
      </c>
      <c r="CV22" s="51">
        <f t="shared" si="48"/>
        <v>0</v>
      </c>
      <c r="CW22" s="51" t="str">
        <f t="shared" si="49"/>
        <v/>
      </c>
      <c r="CX22" s="51">
        <v>14.758042857142858</v>
      </c>
      <c r="CY22" s="230" t="s">
        <v>277</v>
      </c>
      <c r="CZ22" s="51">
        <f t="shared" si="115"/>
        <v>0</v>
      </c>
      <c r="DA22" s="51" t="str">
        <f t="shared" si="116"/>
        <v/>
      </c>
      <c r="DB22" s="51">
        <v>13.732042857142858</v>
      </c>
      <c r="DC22" s="230" t="s">
        <v>277</v>
      </c>
      <c r="DD22" s="51">
        <f t="shared" si="52"/>
        <v>0</v>
      </c>
      <c r="DE22" s="51" t="str">
        <f t="shared" si="53"/>
        <v/>
      </c>
      <c r="DF22" s="51">
        <v>15.356542857142859</v>
      </c>
      <c r="DG22" s="230" t="s">
        <v>277</v>
      </c>
      <c r="DH22" s="51">
        <f t="shared" si="54"/>
        <v>0</v>
      </c>
      <c r="DI22" s="51" t="str">
        <f t="shared" si="55"/>
        <v/>
      </c>
      <c r="DJ22" s="51">
        <v>18.520042857142855</v>
      </c>
      <c r="DK22" s="51" t="s">
        <v>277</v>
      </c>
      <c r="DL22" s="51">
        <f t="shared" si="56"/>
        <v>0</v>
      </c>
      <c r="DM22" s="51" t="str">
        <f t="shared" si="57"/>
        <v/>
      </c>
      <c r="DN22" s="51">
        <v>15.100042857142858</v>
      </c>
      <c r="DO22" s="51" t="s">
        <v>277</v>
      </c>
      <c r="DP22" s="51">
        <f t="shared" si="58"/>
        <v>0</v>
      </c>
      <c r="DQ22" s="51" t="str">
        <f t="shared" si="59"/>
        <v/>
      </c>
      <c r="DR22" s="51">
        <v>15.100042857142858</v>
      </c>
      <c r="DS22" s="51" t="s">
        <v>277</v>
      </c>
      <c r="DT22" s="51">
        <f t="shared" si="60"/>
        <v>0</v>
      </c>
      <c r="DU22" s="51" t="str">
        <f t="shared" si="61"/>
        <v/>
      </c>
      <c r="DV22" s="51">
        <v>14.758042857142858</v>
      </c>
      <c r="DW22" s="230" t="s">
        <v>277</v>
      </c>
      <c r="DX22" s="51">
        <f t="shared" si="62"/>
        <v>0</v>
      </c>
      <c r="DY22" s="51" t="str">
        <f t="shared" si="63"/>
        <v/>
      </c>
      <c r="DZ22" s="51">
        <v>14.946142857142856</v>
      </c>
      <c r="EA22" s="51" t="s">
        <v>277</v>
      </c>
      <c r="EB22" s="51">
        <f t="shared" si="64"/>
        <v>0</v>
      </c>
      <c r="EC22" s="51" t="str">
        <f t="shared" si="65"/>
        <v/>
      </c>
      <c r="ED22" s="51">
        <v>18.024142857142856</v>
      </c>
      <c r="EE22" s="51" t="s">
        <v>277</v>
      </c>
      <c r="EF22" s="51">
        <f t="shared" si="66"/>
        <v>0</v>
      </c>
      <c r="EG22" s="51" t="str">
        <f t="shared" si="67"/>
        <v/>
      </c>
      <c r="EH22" s="51">
        <v>14.176642857142857</v>
      </c>
      <c r="EI22" s="230" t="s">
        <v>277</v>
      </c>
      <c r="EJ22" s="250">
        <f t="shared" si="68"/>
        <v>0</v>
      </c>
      <c r="EK22" s="51" t="str">
        <f t="shared" si="69"/>
        <v/>
      </c>
      <c r="EL22" s="51">
        <v>17.682142857142857</v>
      </c>
      <c r="EM22" s="250" t="s">
        <v>277</v>
      </c>
      <c r="EN22" s="230">
        <f t="shared" si="70"/>
        <v>0</v>
      </c>
      <c r="EO22" s="51" t="str">
        <f t="shared" si="71"/>
        <v/>
      </c>
      <c r="EP22" s="51">
        <v>17.144214285714288</v>
      </c>
      <c r="EQ22" s="230" t="s">
        <v>277</v>
      </c>
      <c r="ER22" s="51">
        <f t="shared" si="72"/>
        <v>0</v>
      </c>
      <c r="ES22" s="51" t="str">
        <f t="shared" si="73"/>
        <v/>
      </c>
      <c r="ET22" s="51">
        <v>17.999214285714288</v>
      </c>
      <c r="EU22" s="230" t="s">
        <v>277</v>
      </c>
      <c r="EV22" s="51">
        <f t="shared" si="117"/>
        <v>0</v>
      </c>
      <c r="EW22" s="51" t="str">
        <f t="shared" si="75"/>
        <v/>
      </c>
      <c r="EX22" s="51">
        <v>17.913714285714285</v>
      </c>
      <c r="EY22" s="51" t="s">
        <v>277</v>
      </c>
      <c r="EZ22" s="51">
        <f t="shared" si="76"/>
        <v>0</v>
      </c>
      <c r="FA22" s="51" t="str">
        <f t="shared" si="77"/>
        <v/>
      </c>
      <c r="FB22" s="51">
        <v>17.229714285714287</v>
      </c>
      <c r="FC22" s="51" t="s">
        <v>277</v>
      </c>
      <c r="FD22" s="51">
        <f t="shared" si="78"/>
        <v>0</v>
      </c>
      <c r="FE22" s="51" t="str">
        <f t="shared" si="79"/>
        <v/>
      </c>
      <c r="FF22" s="51">
        <v>20.957514285714286</v>
      </c>
      <c r="FG22" s="51" t="s">
        <v>277</v>
      </c>
      <c r="FH22" s="51">
        <f t="shared" si="146"/>
        <v>0</v>
      </c>
      <c r="FI22" s="51" t="str">
        <f t="shared" si="147"/>
        <v/>
      </c>
      <c r="FJ22" s="51">
        <v>18.768714285714285</v>
      </c>
      <c r="FK22" s="230" t="s">
        <v>277</v>
      </c>
      <c r="FL22" s="51">
        <f t="shared" si="82"/>
        <v>0</v>
      </c>
      <c r="FM22" s="51" t="str">
        <f t="shared" si="83"/>
        <v/>
      </c>
      <c r="FN22" s="51">
        <v>17.028078571428573</v>
      </c>
      <c r="FO22" s="51"/>
      <c r="FP22" s="51"/>
      <c r="FQ22" s="51"/>
      <c r="FR22" s="51">
        <f t="shared" si="118"/>
        <v>0</v>
      </c>
      <c r="FS22" s="14">
        <f t="shared" si="119"/>
        <v>0</v>
      </c>
      <c r="FT22">
        <f t="shared" si="120"/>
        <v>0</v>
      </c>
      <c r="FV22" s="215">
        <f t="shared" si="84"/>
        <v>0</v>
      </c>
      <c r="FW22" s="215">
        <f t="shared" si="85"/>
        <v>0</v>
      </c>
      <c r="FX22" s="215">
        <f t="shared" si="86"/>
        <v>0</v>
      </c>
      <c r="FY22" s="215">
        <f t="shared" si="87"/>
        <v>0</v>
      </c>
      <c r="FZ22" s="215">
        <f t="shared" si="88"/>
        <v>0</v>
      </c>
      <c r="GA22" s="215">
        <f t="shared" si="89"/>
        <v>0</v>
      </c>
      <c r="GB22" s="215">
        <f t="shared" si="90"/>
        <v>0</v>
      </c>
      <c r="GC22" s="215">
        <f t="shared" si="91"/>
        <v>0</v>
      </c>
      <c r="GD22" s="215">
        <f t="shared" si="92"/>
        <v>0</v>
      </c>
      <c r="GE22" s="215">
        <f t="shared" si="93"/>
        <v>0</v>
      </c>
      <c r="GF22" s="215">
        <f t="shared" si="94"/>
        <v>0</v>
      </c>
      <c r="GG22" s="215">
        <f t="shared" si="95"/>
        <v>0</v>
      </c>
      <c r="GH22" s="215">
        <f t="shared" si="96"/>
        <v>0</v>
      </c>
      <c r="GI22" s="215">
        <f t="shared" si="97"/>
        <v>0</v>
      </c>
      <c r="GJ22" s="215">
        <f t="shared" si="98"/>
        <v>0</v>
      </c>
      <c r="GK22" s="215">
        <f t="shared" si="99"/>
        <v>0</v>
      </c>
      <c r="GL22" s="215">
        <f t="shared" si="100"/>
        <v>0</v>
      </c>
      <c r="GM22" s="215">
        <f t="shared" si="101"/>
        <v>0</v>
      </c>
      <c r="GN22" s="215">
        <f t="shared" si="102"/>
        <v>0</v>
      </c>
      <c r="GO22" s="215">
        <f t="shared" si="103"/>
        <v>0</v>
      </c>
      <c r="GP22" s="215">
        <f t="shared" si="104"/>
        <v>0</v>
      </c>
      <c r="GQ22" s="215">
        <f t="shared" si="105"/>
        <v>0</v>
      </c>
      <c r="GR22" s="215">
        <f t="shared" si="106"/>
        <v>0</v>
      </c>
      <c r="GS22" s="215">
        <f t="shared" si="121"/>
        <v>0</v>
      </c>
      <c r="GT22" s="215">
        <f t="shared" si="122"/>
        <v>0</v>
      </c>
      <c r="GU22" s="215">
        <f t="shared" si="123"/>
        <v>0</v>
      </c>
      <c r="GV22" s="215">
        <f t="shared" si="124"/>
        <v>0</v>
      </c>
      <c r="GW22" s="215">
        <f t="shared" si="125"/>
        <v>0</v>
      </c>
      <c r="GX22" s="215">
        <f t="shared" si="126"/>
        <v>0</v>
      </c>
      <c r="GY22" s="215">
        <f t="shared" si="127"/>
        <v>0</v>
      </c>
      <c r="GZ22" s="215">
        <f t="shared" si="128"/>
        <v>0</v>
      </c>
      <c r="HA22" s="215">
        <f t="shared" si="129"/>
        <v>0</v>
      </c>
      <c r="HB22" s="215">
        <f t="shared" si="130"/>
        <v>0</v>
      </c>
      <c r="HC22" s="215">
        <f t="shared" si="131"/>
        <v>0</v>
      </c>
      <c r="HD22" s="215">
        <f t="shared" si="132"/>
        <v>0</v>
      </c>
      <c r="HE22" s="215">
        <f t="shared" si="133"/>
        <v>0</v>
      </c>
      <c r="HF22" s="215">
        <f t="shared" si="134"/>
        <v>0</v>
      </c>
      <c r="HG22" s="215">
        <f t="shared" si="135"/>
        <v>0</v>
      </c>
      <c r="HH22" s="215">
        <f t="shared" si="136"/>
        <v>0</v>
      </c>
      <c r="HI22" s="215">
        <f t="shared" si="137"/>
        <v>0</v>
      </c>
      <c r="HJ22" s="215">
        <f t="shared" si="138"/>
        <v>0</v>
      </c>
      <c r="HK22" s="215">
        <f t="shared" si="139"/>
        <v>0</v>
      </c>
      <c r="HL22" s="211">
        <f t="shared" si="140"/>
        <v>0</v>
      </c>
      <c r="HM22" s="51">
        <f t="shared" si="141"/>
        <v>0</v>
      </c>
    </row>
    <row r="23" spans="1:224">
      <c r="A23" s="49" t="s">
        <v>45</v>
      </c>
      <c r="B23" s="51">
        <v>8.6198428571428565</v>
      </c>
      <c r="C23" s="51" t="s">
        <v>277</v>
      </c>
      <c r="D23" s="51">
        <f t="shared" si="0"/>
        <v>0</v>
      </c>
      <c r="E23" s="51" t="str">
        <f t="shared" si="1"/>
        <v/>
      </c>
      <c r="F23" s="51">
        <v>10.106842857142857</v>
      </c>
      <c r="G23" s="51" t="s">
        <v>277</v>
      </c>
      <c r="H23" s="51">
        <f t="shared" si="2"/>
        <v>0</v>
      </c>
      <c r="I23" s="51" t="str">
        <f t="shared" si="3"/>
        <v/>
      </c>
      <c r="J23" s="51">
        <v>10.483042857142857</v>
      </c>
      <c r="K23" s="51" t="s">
        <v>277</v>
      </c>
      <c r="L23" s="51">
        <f t="shared" si="4"/>
        <v>0</v>
      </c>
      <c r="M23" s="51" t="str">
        <f t="shared" si="5"/>
        <v/>
      </c>
      <c r="N23" s="51">
        <v>10.141042857142857</v>
      </c>
      <c r="O23" s="51" t="s">
        <v>277</v>
      </c>
      <c r="P23" s="51">
        <f t="shared" si="6"/>
        <v>0</v>
      </c>
      <c r="Q23" s="51" t="str">
        <f t="shared" si="7"/>
        <v/>
      </c>
      <c r="R23" s="51">
        <v>10.226542857142856</v>
      </c>
      <c r="S23" s="51" t="s">
        <v>277</v>
      </c>
      <c r="T23" s="51">
        <f t="shared" si="8"/>
        <v>0</v>
      </c>
      <c r="U23" s="51" t="str">
        <f t="shared" si="9"/>
        <v/>
      </c>
      <c r="V23" s="51">
        <v>10.773742857142858</v>
      </c>
      <c r="W23" s="51" t="s">
        <v>277</v>
      </c>
      <c r="X23" s="51">
        <f t="shared" si="10"/>
        <v>0</v>
      </c>
      <c r="Y23" s="51" t="str">
        <f t="shared" si="11"/>
        <v/>
      </c>
      <c r="Z23" s="51">
        <v>10.739542857142858</v>
      </c>
      <c r="AA23" s="51" t="s">
        <v>277</v>
      </c>
      <c r="AB23" s="51">
        <f t="shared" si="12"/>
        <v>0</v>
      </c>
      <c r="AC23" s="51" t="str">
        <f t="shared" si="13"/>
        <v/>
      </c>
      <c r="AD23" s="51">
        <v>11.115742857142857</v>
      </c>
      <c r="AE23" s="51" t="s">
        <v>277</v>
      </c>
      <c r="AF23" s="51">
        <f t="shared" si="14"/>
        <v>0</v>
      </c>
      <c r="AG23" s="51" t="str">
        <f t="shared" si="15"/>
        <v/>
      </c>
      <c r="AH23" s="51">
        <v>10.944742857142858</v>
      </c>
      <c r="AI23" s="51" t="s">
        <v>277</v>
      </c>
      <c r="AJ23" s="51">
        <f t="shared" si="16"/>
        <v>0</v>
      </c>
      <c r="AK23" s="51" t="str">
        <f t="shared" si="17"/>
        <v/>
      </c>
      <c r="AL23" s="51">
        <v>12.654742857142857</v>
      </c>
      <c r="AM23" s="51" t="s">
        <v>277</v>
      </c>
      <c r="AN23" s="51">
        <f t="shared" si="18"/>
        <v>0</v>
      </c>
      <c r="AO23" s="51" t="str">
        <f t="shared" si="19"/>
        <v/>
      </c>
      <c r="AP23" s="51">
        <v>11.286742857142858</v>
      </c>
      <c r="AQ23" s="51" t="s">
        <v>277</v>
      </c>
      <c r="AR23" s="51">
        <f t="shared" si="20"/>
        <v>0</v>
      </c>
      <c r="AS23" s="51" t="str">
        <f t="shared" si="21"/>
        <v/>
      </c>
      <c r="AT23" s="51">
        <v>18.429557142857142</v>
      </c>
      <c r="AU23" s="51" t="s">
        <v>277</v>
      </c>
      <c r="AV23" s="51">
        <f t="shared" si="22"/>
        <v>0</v>
      </c>
      <c r="AW23" s="51" t="str">
        <f t="shared" si="23"/>
        <v/>
      </c>
      <c r="AX23" s="51">
        <v>17.374342857142857</v>
      </c>
      <c r="AY23" s="51" t="s">
        <v>277</v>
      </c>
      <c r="AZ23" s="51">
        <f t="shared" si="24"/>
        <v>0</v>
      </c>
      <c r="BA23" s="51" t="str">
        <f t="shared" si="25"/>
        <v/>
      </c>
      <c r="BB23" s="51">
        <v>13.697842857142858</v>
      </c>
      <c r="BC23" s="51" t="s">
        <v>277</v>
      </c>
      <c r="BD23" s="51">
        <f t="shared" si="107"/>
        <v>0</v>
      </c>
      <c r="BE23" s="51" t="str">
        <f t="shared" si="108"/>
        <v/>
      </c>
      <c r="BF23" s="51">
        <v>12.774442857142859</v>
      </c>
      <c r="BG23" s="51" t="s">
        <v>277</v>
      </c>
      <c r="BH23" s="51">
        <f t="shared" si="28"/>
        <v>0</v>
      </c>
      <c r="BI23" s="51" t="str">
        <f t="shared" si="29"/>
        <v/>
      </c>
      <c r="BJ23" s="51">
        <v>12.996742857142857</v>
      </c>
      <c r="BK23" s="51" t="s">
        <v>277</v>
      </c>
      <c r="BL23" s="51">
        <f t="shared" si="30"/>
        <v>0</v>
      </c>
      <c r="BM23" s="51" t="str">
        <f t="shared" si="31"/>
        <v/>
      </c>
      <c r="BN23" s="51">
        <v>13.082242857142857</v>
      </c>
      <c r="BO23" s="51" t="s">
        <v>277</v>
      </c>
      <c r="BP23" s="51">
        <f t="shared" si="32"/>
        <v>0</v>
      </c>
      <c r="BQ23" s="51" t="str">
        <f t="shared" si="33"/>
        <v/>
      </c>
      <c r="BR23" s="51">
        <v>15.818242857142858</v>
      </c>
      <c r="BS23" s="51" t="s">
        <v>277</v>
      </c>
      <c r="BT23" s="51">
        <f t="shared" si="34"/>
        <v>0</v>
      </c>
      <c r="BU23" s="51" t="str">
        <f t="shared" si="35"/>
        <v/>
      </c>
      <c r="BV23" s="51">
        <v>13.851742857142858</v>
      </c>
      <c r="BW23" s="51" t="s">
        <v>277</v>
      </c>
      <c r="BX23" s="51">
        <f t="shared" si="109"/>
        <v>0</v>
      </c>
      <c r="BY23" s="51" t="str">
        <f t="shared" si="110"/>
        <v/>
      </c>
      <c r="BZ23" s="51">
        <v>13.595242857142857</v>
      </c>
      <c r="CA23" s="51" t="s">
        <v>277</v>
      </c>
      <c r="CB23" s="51">
        <f t="shared" si="111"/>
        <v>0</v>
      </c>
      <c r="CC23" s="51" t="str">
        <f t="shared" si="112"/>
        <v/>
      </c>
      <c r="CD23" s="51">
        <v>12.740242857142857</v>
      </c>
      <c r="CE23" s="51" t="s">
        <v>277</v>
      </c>
      <c r="CF23" s="51">
        <f t="shared" si="40"/>
        <v>0</v>
      </c>
      <c r="CG23" s="51" t="str">
        <f t="shared" si="41"/>
        <v/>
      </c>
      <c r="CH23" s="51">
        <v>15.031642857142856</v>
      </c>
      <c r="CI23" s="51" t="s">
        <v>277</v>
      </c>
      <c r="CJ23" s="51">
        <f t="shared" si="144"/>
        <v>0</v>
      </c>
      <c r="CK23" s="51" t="str">
        <f t="shared" si="145"/>
        <v/>
      </c>
      <c r="CL23" s="51">
        <v>16.177342857142854</v>
      </c>
      <c r="CM23" s="51" t="s">
        <v>277</v>
      </c>
      <c r="CN23" s="51">
        <f t="shared" si="113"/>
        <v>0</v>
      </c>
      <c r="CO23" s="51" t="str">
        <f t="shared" si="114"/>
        <v/>
      </c>
      <c r="CP23" s="51">
        <v>16.792942857142855</v>
      </c>
      <c r="CQ23" s="51" t="s">
        <v>277</v>
      </c>
      <c r="CR23" s="51">
        <f t="shared" si="46"/>
        <v>0</v>
      </c>
      <c r="CS23" s="51" t="str">
        <f t="shared" si="47"/>
        <v/>
      </c>
      <c r="CT23" s="51">
        <v>13.869542857142861</v>
      </c>
      <c r="CU23" s="230" t="s">
        <v>277</v>
      </c>
      <c r="CV23" s="51">
        <f t="shared" si="48"/>
        <v>0</v>
      </c>
      <c r="CW23" s="51" t="str">
        <f t="shared" si="49"/>
        <v/>
      </c>
      <c r="CX23" s="51">
        <v>14.758042857142858</v>
      </c>
      <c r="CY23" s="230" t="s">
        <v>277</v>
      </c>
      <c r="CZ23" s="51">
        <f t="shared" si="115"/>
        <v>0</v>
      </c>
      <c r="DA23" s="51" t="str">
        <f t="shared" si="116"/>
        <v/>
      </c>
      <c r="DB23" s="51">
        <v>13.732042857142858</v>
      </c>
      <c r="DC23" s="230" t="s">
        <v>277</v>
      </c>
      <c r="DD23" s="51">
        <f t="shared" si="52"/>
        <v>0</v>
      </c>
      <c r="DE23" s="51" t="str">
        <f t="shared" si="53"/>
        <v/>
      </c>
      <c r="DF23" s="51">
        <v>15.356542857142859</v>
      </c>
      <c r="DG23" s="230" t="s">
        <v>277</v>
      </c>
      <c r="DH23" s="51">
        <f t="shared" si="54"/>
        <v>0</v>
      </c>
      <c r="DI23" s="51" t="str">
        <f t="shared" si="55"/>
        <v/>
      </c>
      <c r="DJ23" s="51">
        <v>18.520042857142855</v>
      </c>
      <c r="DK23" s="51" t="s">
        <v>277</v>
      </c>
      <c r="DL23" s="51">
        <f t="shared" si="56"/>
        <v>0</v>
      </c>
      <c r="DM23" s="51" t="str">
        <f t="shared" si="57"/>
        <v/>
      </c>
      <c r="DN23" s="51">
        <v>15.100042857142858</v>
      </c>
      <c r="DO23" s="51" t="s">
        <v>277</v>
      </c>
      <c r="DP23" s="51">
        <f t="shared" si="58"/>
        <v>0</v>
      </c>
      <c r="DQ23" s="51" t="str">
        <f t="shared" si="59"/>
        <v/>
      </c>
      <c r="DR23" s="51">
        <v>15.100042857142858</v>
      </c>
      <c r="DS23" s="51" t="s">
        <v>277</v>
      </c>
      <c r="DT23" s="51">
        <f t="shared" si="60"/>
        <v>0</v>
      </c>
      <c r="DU23" s="51" t="str">
        <f t="shared" si="61"/>
        <v/>
      </c>
      <c r="DV23" s="51">
        <v>14.758042857142858</v>
      </c>
      <c r="DW23" s="230" t="s">
        <v>277</v>
      </c>
      <c r="DX23" s="51">
        <f t="shared" si="62"/>
        <v>0</v>
      </c>
      <c r="DY23" s="51" t="str">
        <f t="shared" si="63"/>
        <v/>
      </c>
      <c r="DZ23" s="51">
        <v>14.946142857142856</v>
      </c>
      <c r="EA23" s="51" t="s">
        <v>277</v>
      </c>
      <c r="EB23" s="51">
        <f t="shared" si="64"/>
        <v>0</v>
      </c>
      <c r="EC23" s="51" t="str">
        <f t="shared" si="65"/>
        <v/>
      </c>
      <c r="ED23" s="51">
        <v>18.024142857142856</v>
      </c>
      <c r="EE23" s="51" t="s">
        <v>277</v>
      </c>
      <c r="EF23" s="51">
        <f t="shared" si="66"/>
        <v>0</v>
      </c>
      <c r="EG23" s="51" t="str">
        <f t="shared" si="67"/>
        <v/>
      </c>
      <c r="EH23" s="51">
        <v>14.176642857142857</v>
      </c>
      <c r="EI23" s="230" t="s">
        <v>277</v>
      </c>
      <c r="EJ23" s="250">
        <f t="shared" si="68"/>
        <v>0</v>
      </c>
      <c r="EK23" s="51" t="str">
        <f t="shared" si="69"/>
        <v/>
      </c>
      <c r="EL23" s="51">
        <v>17.682142857142857</v>
      </c>
      <c r="EM23" s="250" t="s">
        <v>277</v>
      </c>
      <c r="EN23" s="230">
        <f t="shared" si="70"/>
        <v>0</v>
      </c>
      <c r="EO23" s="51" t="str">
        <f t="shared" si="71"/>
        <v/>
      </c>
      <c r="EP23" s="51">
        <v>17.144214285714288</v>
      </c>
      <c r="EQ23" s="230" t="s">
        <v>277</v>
      </c>
      <c r="ER23" s="51">
        <f t="shared" si="72"/>
        <v>0</v>
      </c>
      <c r="ES23" s="51" t="str">
        <f t="shared" si="73"/>
        <v/>
      </c>
      <c r="ET23" s="51">
        <v>17.999214285714288</v>
      </c>
      <c r="EU23" s="230" t="s">
        <v>277</v>
      </c>
      <c r="EV23" s="51">
        <f t="shared" si="117"/>
        <v>0</v>
      </c>
      <c r="EW23" s="51" t="str">
        <f t="shared" si="75"/>
        <v/>
      </c>
      <c r="EX23" s="51">
        <v>17.913714285714285</v>
      </c>
      <c r="EY23" s="51" t="s">
        <v>277</v>
      </c>
      <c r="EZ23" s="51">
        <f t="shared" si="76"/>
        <v>0</v>
      </c>
      <c r="FA23" s="51" t="str">
        <f t="shared" si="77"/>
        <v/>
      </c>
      <c r="FB23" s="51">
        <v>17.229714285714287</v>
      </c>
      <c r="FC23" s="51" t="s">
        <v>277</v>
      </c>
      <c r="FD23" s="51">
        <f t="shared" si="78"/>
        <v>0</v>
      </c>
      <c r="FE23" s="51" t="str">
        <f t="shared" si="79"/>
        <v/>
      </c>
      <c r="FF23" s="51">
        <v>20.957514285714286</v>
      </c>
      <c r="FG23" s="51" t="s">
        <v>277</v>
      </c>
      <c r="FH23" s="51">
        <f t="shared" si="146"/>
        <v>0</v>
      </c>
      <c r="FI23" s="51" t="str">
        <f t="shared" si="147"/>
        <v/>
      </c>
      <c r="FJ23" s="51">
        <v>18.768714285714285</v>
      </c>
      <c r="FK23" s="230" t="s">
        <v>277</v>
      </c>
      <c r="FL23" s="51">
        <f t="shared" si="82"/>
        <v>0</v>
      </c>
      <c r="FM23" s="51" t="str">
        <f t="shared" si="83"/>
        <v/>
      </c>
      <c r="FN23" s="51">
        <v>17.028078571428573</v>
      </c>
      <c r="FO23" s="51"/>
      <c r="FP23" s="51"/>
      <c r="FQ23" s="51"/>
      <c r="FR23" s="51">
        <f t="shared" si="118"/>
        <v>0</v>
      </c>
      <c r="FS23" s="14">
        <f t="shared" si="119"/>
        <v>0</v>
      </c>
      <c r="FT23">
        <f t="shared" si="120"/>
        <v>0</v>
      </c>
      <c r="FV23" s="215">
        <f t="shared" si="84"/>
        <v>0</v>
      </c>
      <c r="FW23" s="215">
        <f t="shared" si="85"/>
        <v>0</v>
      </c>
      <c r="FX23" s="215">
        <f t="shared" si="86"/>
        <v>0</v>
      </c>
      <c r="FY23" s="215">
        <f t="shared" si="87"/>
        <v>0</v>
      </c>
      <c r="FZ23" s="215">
        <f t="shared" si="88"/>
        <v>0</v>
      </c>
      <c r="GA23" s="215">
        <f t="shared" si="89"/>
        <v>0</v>
      </c>
      <c r="GB23" s="215">
        <f t="shared" si="90"/>
        <v>0</v>
      </c>
      <c r="GC23" s="215">
        <f t="shared" si="91"/>
        <v>0</v>
      </c>
      <c r="GD23" s="215">
        <f t="shared" si="92"/>
        <v>0</v>
      </c>
      <c r="GE23" s="215">
        <f t="shared" si="93"/>
        <v>0</v>
      </c>
      <c r="GF23" s="215">
        <f t="shared" si="94"/>
        <v>0</v>
      </c>
      <c r="GG23" s="215">
        <f t="shared" si="95"/>
        <v>0</v>
      </c>
      <c r="GH23" s="215">
        <f t="shared" si="96"/>
        <v>0</v>
      </c>
      <c r="GI23" s="215">
        <f t="shared" si="97"/>
        <v>0</v>
      </c>
      <c r="GJ23" s="215">
        <f t="shared" si="98"/>
        <v>0</v>
      </c>
      <c r="GK23" s="215">
        <f t="shared" si="99"/>
        <v>0</v>
      </c>
      <c r="GL23" s="215">
        <f t="shared" si="100"/>
        <v>0</v>
      </c>
      <c r="GM23" s="215">
        <f t="shared" si="101"/>
        <v>0</v>
      </c>
      <c r="GN23" s="215">
        <f t="shared" si="102"/>
        <v>0</v>
      </c>
      <c r="GO23" s="215">
        <f t="shared" si="103"/>
        <v>0</v>
      </c>
      <c r="GP23" s="215">
        <f t="shared" si="104"/>
        <v>0</v>
      </c>
      <c r="GQ23" s="215">
        <f t="shared" si="105"/>
        <v>0</v>
      </c>
      <c r="GR23" s="215">
        <f t="shared" si="106"/>
        <v>0</v>
      </c>
      <c r="GS23" s="215">
        <f t="shared" si="121"/>
        <v>0</v>
      </c>
      <c r="GT23" s="215">
        <f t="shared" si="122"/>
        <v>0</v>
      </c>
      <c r="GU23" s="215">
        <f t="shared" si="123"/>
        <v>0</v>
      </c>
      <c r="GV23" s="215">
        <f t="shared" si="124"/>
        <v>0</v>
      </c>
      <c r="GW23" s="215">
        <f t="shared" si="125"/>
        <v>0</v>
      </c>
      <c r="GX23" s="215">
        <f t="shared" si="126"/>
        <v>0</v>
      </c>
      <c r="GY23" s="215">
        <f t="shared" si="127"/>
        <v>0</v>
      </c>
      <c r="GZ23" s="215">
        <f t="shared" si="128"/>
        <v>0</v>
      </c>
      <c r="HA23" s="215">
        <f t="shared" si="129"/>
        <v>0</v>
      </c>
      <c r="HB23" s="215">
        <f t="shared" si="130"/>
        <v>0</v>
      </c>
      <c r="HC23" s="215">
        <f t="shared" si="131"/>
        <v>0</v>
      </c>
      <c r="HD23" s="215">
        <f t="shared" si="132"/>
        <v>0</v>
      </c>
      <c r="HE23" s="215">
        <f t="shared" si="133"/>
        <v>0</v>
      </c>
      <c r="HF23" s="215">
        <f t="shared" si="134"/>
        <v>0</v>
      </c>
      <c r="HG23" s="215">
        <f t="shared" si="135"/>
        <v>0</v>
      </c>
      <c r="HH23" s="215">
        <f t="shared" si="136"/>
        <v>0</v>
      </c>
      <c r="HI23" s="215">
        <f t="shared" si="137"/>
        <v>0</v>
      </c>
      <c r="HJ23" s="215">
        <f t="shared" si="138"/>
        <v>0</v>
      </c>
      <c r="HK23" s="215">
        <f t="shared" si="139"/>
        <v>0</v>
      </c>
      <c r="HL23" s="211">
        <f t="shared" si="140"/>
        <v>0</v>
      </c>
      <c r="HM23" s="51">
        <f t="shared" si="141"/>
        <v>0</v>
      </c>
    </row>
    <row r="24" spans="1:224">
      <c r="A24" s="49" t="s">
        <v>47</v>
      </c>
      <c r="B24" s="51">
        <v>13.270442857142857</v>
      </c>
      <c r="C24" s="51" t="s">
        <v>277</v>
      </c>
      <c r="D24" s="51">
        <f t="shared" si="0"/>
        <v>0</v>
      </c>
      <c r="E24" s="51" t="str">
        <f t="shared" si="1"/>
        <v/>
      </c>
      <c r="F24" s="51">
        <v>14.343442857142858</v>
      </c>
      <c r="G24" s="51" t="s">
        <v>277</v>
      </c>
      <c r="H24" s="51">
        <f t="shared" si="2"/>
        <v>0</v>
      </c>
      <c r="I24" s="51" t="str">
        <f t="shared" si="3"/>
        <v/>
      </c>
      <c r="J24" s="51">
        <v>15.023242857142858</v>
      </c>
      <c r="K24" s="51" t="s">
        <v>277</v>
      </c>
      <c r="L24" s="51">
        <f t="shared" si="4"/>
        <v>0</v>
      </c>
      <c r="M24" s="51" t="str">
        <f t="shared" si="5"/>
        <v/>
      </c>
      <c r="N24" s="51">
        <v>14.405242857142857</v>
      </c>
      <c r="O24" s="51" t="s">
        <v>277</v>
      </c>
      <c r="P24" s="51">
        <f t="shared" si="6"/>
        <v>0</v>
      </c>
      <c r="Q24" s="51" t="str">
        <f t="shared" si="7"/>
        <v/>
      </c>
      <c r="R24" s="51">
        <v>14.559742857142858</v>
      </c>
      <c r="S24" s="51" t="s">
        <v>277</v>
      </c>
      <c r="T24" s="51">
        <f t="shared" si="8"/>
        <v>0</v>
      </c>
      <c r="U24" s="51" t="str">
        <f t="shared" si="9"/>
        <v/>
      </c>
      <c r="V24" s="51">
        <v>15.548542857142857</v>
      </c>
      <c r="W24" s="51" t="s">
        <v>277</v>
      </c>
      <c r="X24" s="51">
        <f t="shared" si="10"/>
        <v>0</v>
      </c>
      <c r="Y24" s="51" t="str">
        <f t="shared" si="11"/>
        <v/>
      </c>
      <c r="Z24" s="51">
        <v>15.486742857142859</v>
      </c>
      <c r="AA24" s="51" t="s">
        <v>277</v>
      </c>
      <c r="AB24" s="51">
        <f t="shared" si="12"/>
        <v>0</v>
      </c>
      <c r="AC24" s="51" t="str">
        <f t="shared" si="13"/>
        <v/>
      </c>
      <c r="AD24" s="51">
        <v>16.166542857142858</v>
      </c>
      <c r="AE24" s="51" t="s">
        <v>277</v>
      </c>
      <c r="AF24" s="51">
        <f t="shared" si="14"/>
        <v>0</v>
      </c>
      <c r="AG24" s="51" t="str">
        <f t="shared" si="15"/>
        <v/>
      </c>
      <c r="AH24" s="51">
        <v>15.857542857142857</v>
      </c>
      <c r="AI24" s="51" t="s">
        <v>277</v>
      </c>
      <c r="AJ24" s="51">
        <f t="shared" si="16"/>
        <v>0</v>
      </c>
      <c r="AK24" s="51" t="str">
        <f t="shared" si="17"/>
        <v/>
      </c>
      <c r="AL24" s="51">
        <v>18.947542857142857</v>
      </c>
      <c r="AM24" s="51" t="s">
        <v>277</v>
      </c>
      <c r="AN24" s="51">
        <f t="shared" si="18"/>
        <v>0</v>
      </c>
      <c r="AO24" s="51" t="str">
        <f t="shared" si="19"/>
        <v/>
      </c>
      <c r="AP24" s="51">
        <v>16.475542857142855</v>
      </c>
      <c r="AQ24" s="51" t="s">
        <v>277</v>
      </c>
      <c r="AR24" s="51">
        <f t="shared" si="20"/>
        <v>0</v>
      </c>
      <c r="AS24" s="51" t="str">
        <f t="shared" si="21"/>
        <v/>
      </c>
      <c r="AT24" s="51">
        <v>29.152157142857135</v>
      </c>
      <c r="AU24" s="51" t="s">
        <v>277</v>
      </c>
      <c r="AV24" s="51">
        <f t="shared" si="22"/>
        <v>0</v>
      </c>
      <c r="AW24" s="51" t="str">
        <f t="shared" si="23"/>
        <v/>
      </c>
      <c r="AX24" s="51">
        <v>27.475942857142854</v>
      </c>
      <c r="AY24" s="51" t="s">
        <v>277</v>
      </c>
      <c r="AZ24" s="51">
        <f t="shared" si="24"/>
        <v>0</v>
      </c>
      <c r="BA24" s="51" t="str">
        <f t="shared" si="25"/>
        <v/>
      </c>
      <c r="BB24" s="51">
        <v>20.832442857142855</v>
      </c>
      <c r="BC24" s="51" t="s">
        <v>277</v>
      </c>
      <c r="BD24" s="51">
        <f t="shared" si="107"/>
        <v>0</v>
      </c>
      <c r="BE24" s="51" t="str">
        <f t="shared" si="108"/>
        <v/>
      </c>
      <c r="BF24" s="51">
        <v>19.163842857142853</v>
      </c>
      <c r="BG24" s="51" t="s">
        <v>277</v>
      </c>
      <c r="BH24" s="51">
        <f t="shared" si="28"/>
        <v>0</v>
      </c>
      <c r="BI24" s="51" t="str">
        <f t="shared" si="29"/>
        <v/>
      </c>
      <c r="BJ24" s="51">
        <v>19.565542857142855</v>
      </c>
      <c r="BK24" s="51" t="s">
        <v>277</v>
      </c>
      <c r="BL24" s="51">
        <f t="shared" si="30"/>
        <v>0</v>
      </c>
      <c r="BM24" s="51" t="str">
        <f t="shared" si="31"/>
        <v/>
      </c>
      <c r="BN24" s="51">
        <v>19.720042857142854</v>
      </c>
      <c r="BO24" s="51" t="s">
        <v>277</v>
      </c>
      <c r="BP24" s="51">
        <f t="shared" si="32"/>
        <v>0</v>
      </c>
      <c r="BQ24" s="51" t="str">
        <f t="shared" si="33"/>
        <v/>
      </c>
      <c r="BR24" s="51">
        <v>24.664042857142853</v>
      </c>
      <c r="BS24" s="51" t="s">
        <v>277</v>
      </c>
      <c r="BT24" s="51">
        <f t="shared" si="34"/>
        <v>0</v>
      </c>
      <c r="BU24" s="51" t="str">
        <f t="shared" si="35"/>
        <v/>
      </c>
      <c r="BV24" s="51">
        <v>21.110542857142853</v>
      </c>
      <c r="BW24" s="51" t="s">
        <v>277</v>
      </c>
      <c r="BX24" s="51">
        <f t="shared" si="109"/>
        <v>0</v>
      </c>
      <c r="BY24" s="51" t="str">
        <f t="shared" si="110"/>
        <v/>
      </c>
      <c r="BZ24" s="51">
        <v>20.647042857142853</v>
      </c>
      <c r="CA24" s="51" t="s">
        <v>277</v>
      </c>
      <c r="CB24" s="51">
        <f t="shared" si="111"/>
        <v>0</v>
      </c>
      <c r="CC24" s="51" t="str">
        <f t="shared" si="112"/>
        <v/>
      </c>
      <c r="CD24" s="51">
        <v>19.102042857142855</v>
      </c>
      <c r="CE24" s="51" t="s">
        <v>277</v>
      </c>
      <c r="CF24" s="51">
        <f t="shared" si="40"/>
        <v>0</v>
      </c>
      <c r="CG24" s="51" t="str">
        <f t="shared" si="41"/>
        <v/>
      </c>
      <c r="CH24" s="51">
        <v>23.242642857142851</v>
      </c>
      <c r="CI24" s="51" t="s">
        <v>277</v>
      </c>
      <c r="CJ24" s="51">
        <f t="shared" si="144"/>
        <v>0</v>
      </c>
      <c r="CK24" s="51" t="str">
        <f t="shared" si="145"/>
        <v/>
      </c>
      <c r="CL24" s="51">
        <v>25.312942857142854</v>
      </c>
      <c r="CM24" s="51" t="s">
        <v>277</v>
      </c>
      <c r="CN24" s="51">
        <f t="shared" si="113"/>
        <v>0</v>
      </c>
      <c r="CO24" s="51" t="str">
        <f t="shared" si="114"/>
        <v/>
      </c>
      <c r="CP24" s="51">
        <v>26.425342857142855</v>
      </c>
      <c r="CQ24" s="51" t="s">
        <v>277</v>
      </c>
      <c r="CR24" s="51">
        <f t="shared" si="46"/>
        <v>0</v>
      </c>
      <c r="CS24" s="51" t="str">
        <f t="shared" si="47"/>
        <v/>
      </c>
      <c r="CT24" s="51">
        <v>22.756742857142854</v>
      </c>
      <c r="CU24" s="230" t="s">
        <v>277</v>
      </c>
      <c r="CV24" s="51">
        <f t="shared" si="48"/>
        <v>0</v>
      </c>
      <c r="CW24" s="51" t="str">
        <f t="shared" si="49"/>
        <v/>
      </c>
      <c r="CX24" s="51">
        <v>22.748242857142856</v>
      </c>
      <c r="CY24" s="230" t="s">
        <v>277</v>
      </c>
      <c r="CZ24" s="51">
        <f t="shared" si="115"/>
        <v>0</v>
      </c>
      <c r="DA24" s="51" t="str">
        <f t="shared" si="116"/>
        <v/>
      </c>
      <c r="DB24" s="51">
        <v>20.894242857142856</v>
      </c>
      <c r="DC24" s="230" t="s">
        <v>277</v>
      </c>
      <c r="DD24" s="51">
        <f t="shared" si="52"/>
        <v>0</v>
      </c>
      <c r="DE24" s="51" t="str">
        <f t="shared" si="53"/>
        <v/>
      </c>
      <c r="DF24" s="51">
        <v>23.829742857142854</v>
      </c>
      <c r="DG24" s="230" t="s">
        <v>277</v>
      </c>
      <c r="DH24" s="51">
        <f t="shared" si="54"/>
        <v>0</v>
      </c>
      <c r="DI24" s="51" t="str">
        <f t="shared" si="55"/>
        <v/>
      </c>
      <c r="DJ24" s="51">
        <v>29.546242857142854</v>
      </c>
      <c r="DK24" s="51" t="s">
        <v>277</v>
      </c>
      <c r="DL24" s="51">
        <f t="shared" si="56"/>
        <v>0</v>
      </c>
      <c r="DM24" s="51" t="str">
        <f t="shared" si="57"/>
        <v/>
      </c>
      <c r="DN24" s="51">
        <v>23.366242857142854</v>
      </c>
      <c r="DO24" s="51" t="s">
        <v>277</v>
      </c>
      <c r="DP24" s="51">
        <f t="shared" si="58"/>
        <v>0</v>
      </c>
      <c r="DQ24" s="51" t="str">
        <f t="shared" si="59"/>
        <v/>
      </c>
      <c r="DR24" s="51">
        <v>23.366242857142851</v>
      </c>
      <c r="DS24" s="51" t="s">
        <v>277</v>
      </c>
      <c r="DT24" s="51">
        <f t="shared" si="60"/>
        <v>0</v>
      </c>
      <c r="DU24" s="51" t="str">
        <f t="shared" si="61"/>
        <v/>
      </c>
      <c r="DV24" s="51">
        <v>22.748242857142852</v>
      </c>
      <c r="DW24" s="230" t="s">
        <v>277</v>
      </c>
      <c r="DX24" s="51">
        <f t="shared" si="62"/>
        <v>0</v>
      </c>
      <c r="DY24" s="51" t="str">
        <f t="shared" si="63"/>
        <v/>
      </c>
      <c r="DZ24" s="51">
        <v>23.088142857142856</v>
      </c>
      <c r="EA24" s="51" t="s">
        <v>277</v>
      </c>
      <c r="EB24" s="51">
        <f t="shared" si="64"/>
        <v>0</v>
      </c>
      <c r="EC24" s="51" t="str">
        <f t="shared" si="65"/>
        <v/>
      </c>
      <c r="ED24" s="51">
        <v>28.650142857142853</v>
      </c>
      <c r="EE24" s="51" t="s">
        <v>277</v>
      </c>
      <c r="EF24" s="51">
        <f t="shared" si="66"/>
        <v>0</v>
      </c>
      <c r="EG24" s="51" t="str">
        <f t="shared" si="67"/>
        <v/>
      </c>
      <c r="EH24" s="51">
        <v>21.697642857142856</v>
      </c>
      <c r="EI24" s="230" t="s">
        <v>277</v>
      </c>
      <c r="EJ24" s="250">
        <f t="shared" si="68"/>
        <v>0</v>
      </c>
      <c r="EK24" s="51" t="str">
        <f t="shared" si="69"/>
        <v/>
      </c>
      <c r="EL24" s="51">
        <v>28.032142857142858</v>
      </c>
      <c r="EM24" s="250" t="s">
        <v>277</v>
      </c>
      <c r="EN24" s="230">
        <f t="shared" si="70"/>
        <v>0</v>
      </c>
      <c r="EO24" s="51" t="str">
        <f t="shared" si="71"/>
        <v/>
      </c>
      <c r="EP24" s="51">
        <v>25.907214285714282</v>
      </c>
      <c r="EQ24" s="230" t="s">
        <v>277</v>
      </c>
      <c r="ER24" s="51">
        <f t="shared" si="72"/>
        <v>0</v>
      </c>
      <c r="ES24" s="51" t="str">
        <f t="shared" si="73"/>
        <v/>
      </c>
      <c r="ET24" s="51">
        <v>27.452214285714284</v>
      </c>
      <c r="EU24" s="230" t="s">
        <v>277</v>
      </c>
      <c r="EV24" s="51">
        <f t="shared" si="117"/>
        <v>0</v>
      </c>
      <c r="EW24" s="51" t="str">
        <f t="shared" si="75"/>
        <v/>
      </c>
      <c r="EX24" s="51">
        <v>27.297714285714282</v>
      </c>
      <c r="EY24" s="51" t="s">
        <v>277</v>
      </c>
      <c r="EZ24" s="51">
        <f t="shared" si="76"/>
        <v>0</v>
      </c>
      <c r="FA24" s="51" t="str">
        <f t="shared" si="77"/>
        <v/>
      </c>
      <c r="FB24" s="51">
        <v>26.061714285714285</v>
      </c>
      <c r="FC24" s="51" t="s">
        <v>277</v>
      </c>
      <c r="FD24" s="51">
        <f t="shared" si="78"/>
        <v>0</v>
      </c>
      <c r="FE24" s="51" t="str">
        <f t="shared" si="79"/>
        <v/>
      </c>
      <c r="FF24" s="51">
        <v>32.797914285714285</v>
      </c>
      <c r="FG24" s="51" t="s">
        <v>277</v>
      </c>
      <c r="FH24" s="51">
        <f t="shared" si="146"/>
        <v>0</v>
      </c>
      <c r="FI24" s="51" t="str">
        <f t="shared" si="147"/>
        <v/>
      </c>
      <c r="FJ24" s="51">
        <v>28.84271428571428</v>
      </c>
      <c r="FK24" s="230" t="s">
        <v>277</v>
      </c>
      <c r="FL24" s="51">
        <f t="shared" si="82"/>
        <v>0</v>
      </c>
      <c r="FM24" s="51" t="str">
        <f t="shared" si="83"/>
        <v/>
      </c>
      <c r="FN24" s="51">
        <v>25.466778571428563</v>
      </c>
      <c r="FO24" s="51"/>
      <c r="FP24" s="51"/>
      <c r="FQ24" s="51"/>
      <c r="FR24" s="51">
        <f t="shared" si="118"/>
        <v>0</v>
      </c>
      <c r="FS24" s="14">
        <f t="shared" si="119"/>
        <v>0</v>
      </c>
      <c r="FT24">
        <f t="shared" si="120"/>
        <v>0</v>
      </c>
      <c r="FV24" s="215">
        <f t="shared" si="84"/>
        <v>0</v>
      </c>
      <c r="FW24" s="215">
        <f t="shared" si="85"/>
        <v>0</v>
      </c>
      <c r="FX24" s="215">
        <f t="shared" si="86"/>
        <v>0</v>
      </c>
      <c r="FY24" s="215">
        <f t="shared" si="87"/>
        <v>0</v>
      </c>
      <c r="FZ24" s="215">
        <f t="shared" si="88"/>
        <v>0</v>
      </c>
      <c r="GA24" s="215">
        <f t="shared" si="89"/>
        <v>0</v>
      </c>
      <c r="GB24" s="215">
        <f t="shared" si="90"/>
        <v>0</v>
      </c>
      <c r="GC24" s="215">
        <f t="shared" si="91"/>
        <v>0</v>
      </c>
      <c r="GD24" s="215">
        <f t="shared" si="92"/>
        <v>0</v>
      </c>
      <c r="GE24" s="215">
        <f t="shared" si="93"/>
        <v>0</v>
      </c>
      <c r="GF24" s="215">
        <f t="shared" si="94"/>
        <v>0</v>
      </c>
      <c r="GG24" s="215">
        <f t="shared" si="95"/>
        <v>0</v>
      </c>
      <c r="GH24" s="215">
        <f t="shared" si="96"/>
        <v>0</v>
      </c>
      <c r="GI24" s="215">
        <f t="shared" si="97"/>
        <v>0</v>
      </c>
      <c r="GJ24" s="215">
        <f t="shared" si="98"/>
        <v>0</v>
      </c>
      <c r="GK24" s="215">
        <f t="shared" si="99"/>
        <v>0</v>
      </c>
      <c r="GL24" s="215">
        <f t="shared" si="100"/>
        <v>0</v>
      </c>
      <c r="GM24" s="215">
        <f t="shared" si="101"/>
        <v>0</v>
      </c>
      <c r="GN24" s="215">
        <f t="shared" si="102"/>
        <v>0</v>
      </c>
      <c r="GO24" s="215">
        <f t="shared" si="103"/>
        <v>0</v>
      </c>
      <c r="GP24" s="215">
        <f t="shared" si="104"/>
        <v>0</v>
      </c>
      <c r="GQ24" s="215">
        <f t="shared" si="105"/>
        <v>0</v>
      </c>
      <c r="GR24" s="215">
        <f t="shared" si="106"/>
        <v>0</v>
      </c>
      <c r="GS24" s="215">
        <f t="shared" si="121"/>
        <v>0</v>
      </c>
      <c r="GT24" s="215">
        <f t="shared" si="122"/>
        <v>0</v>
      </c>
      <c r="GU24" s="215">
        <f t="shared" si="123"/>
        <v>0</v>
      </c>
      <c r="GV24" s="215">
        <f t="shared" si="124"/>
        <v>0</v>
      </c>
      <c r="GW24" s="215">
        <f t="shared" si="125"/>
        <v>0</v>
      </c>
      <c r="GX24" s="215">
        <f t="shared" si="126"/>
        <v>0</v>
      </c>
      <c r="GY24" s="215">
        <f t="shared" si="127"/>
        <v>0</v>
      </c>
      <c r="GZ24" s="215">
        <f t="shared" si="128"/>
        <v>0</v>
      </c>
      <c r="HA24" s="215">
        <f t="shared" si="129"/>
        <v>0</v>
      </c>
      <c r="HB24" s="215">
        <f t="shared" si="130"/>
        <v>0</v>
      </c>
      <c r="HC24" s="215">
        <f t="shared" si="131"/>
        <v>0</v>
      </c>
      <c r="HD24" s="215">
        <f t="shared" si="132"/>
        <v>0</v>
      </c>
      <c r="HE24" s="215">
        <f t="shared" si="133"/>
        <v>0</v>
      </c>
      <c r="HF24" s="215">
        <f t="shared" si="134"/>
        <v>0</v>
      </c>
      <c r="HG24" s="215">
        <f t="shared" si="135"/>
        <v>0</v>
      </c>
      <c r="HH24" s="215">
        <f t="shared" si="136"/>
        <v>0</v>
      </c>
      <c r="HI24" s="215">
        <f t="shared" si="137"/>
        <v>0</v>
      </c>
      <c r="HJ24" s="215">
        <f t="shared" si="138"/>
        <v>0</v>
      </c>
      <c r="HK24" s="215">
        <f t="shared" si="139"/>
        <v>0</v>
      </c>
      <c r="HL24" s="211">
        <f t="shared" si="140"/>
        <v>0</v>
      </c>
      <c r="HM24" s="51">
        <f t="shared" si="141"/>
        <v>0</v>
      </c>
    </row>
    <row r="25" spans="1:224">
      <c r="A25" s="49" t="s">
        <v>49</v>
      </c>
      <c r="B25" s="51">
        <v>13.270442857142857</v>
      </c>
      <c r="C25" s="51" t="s">
        <v>277</v>
      </c>
      <c r="D25" s="51">
        <f t="shared" si="0"/>
        <v>0</v>
      </c>
      <c r="E25" s="51" t="str">
        <f t="shared" si="1"/>
        <v/>
      </c>
      <c r="F25" s="51">
        <v>14.343442857142858</v>
      </c>
      <c r="G25" s="51" t="s">
        <v>277</v>
      </c>
      <c r="H25" s="51">
        <f t="shared" si="2"/>
        <v>0</v>
      </c>
      <c r="I25" s="51" t="str">
        <f t="shared" si="3"/>
        <v/>
      </c>
      <c r="J25" s="51">
        <v>15.023242857142858</v>
      </c>
      <c r="K25" s="51" t="s">
        <v>277</v>
      </c>
      <c r="L25" s="51">
        <f t="shared" si="4"/>
        <v>0</v>
      </c>
      <c r="M25" s="51" t="str">
        <f t="shared" si="5"/>
        <v/>
      </c>
      <c r="N25" s="51">
        <v>14.405242857142857</v>
      </c>
      <c r="O25" s="51" t="s">
        <v>277</v>
      </c>
      <c r="P25" s="51">
        <f t="shared" si="6"/>
        <v>0</v>
      </c>
      <c r="Q25" s="51" t="str">
        <f t="shared" si="7"/>
        <v/>
      </c>
      <c r="R25" s="51">
        <v>14.559742857142858</v>
      </c>
      <c r="S25" s="51" t="s">
        <v>277</v>
      </c>
      <c r="T25" s="51">
        <f t="shared" si="8"/>
        <v>0</v>
      </c>
      <c r="U25" s="51" t="str">
        <f t="shared" si="9"/>
        <v/>
      </c>
      <c r="V25" s="51">
        <v>15.548542857142857</v>
      </c>
      <c r="W25" s="51" t="s">
        <v>277</v>
      </c>
      <c r="X25" s="51">
        <f t="shared" si="10"/>
        <v>0</v>
      </c>
      <c r="Y25" s="51" t="str">
        <f t="shared" si="11"/>
        <v/>
      </c>
      <c r="Z25" s="51">
        <v>15.486742857142859</v>
      </c>
      <c r="AA25" s="51" t="s">
        <v>277</v>
      </c>
      <c r="AB25" s="51">
        <f t="shared" si="12"/>
        <v>0</v>
      </c>
      <c r="AC25" s="51" t="str">
        <f t="shared" si="13"/>
        <v/>
      </c>
      <c r="AD25" s="51">
        <v>16.166542857142858</v>
      </c>
      <c r="AE25" s="51" t="s">
        <v>277</v>
      </c>
      <c r="AF25" s="51">
        <f t="shared" si="14"/>
        <v>0</v>
      </c>
      <c r="AG25" s="51" t="str">
        <f t="shared" si="15"/>
        <v/>
      </c>
      <c r="AH25" s="51">
        <v>15.857542857142857</v>
      </c>
      <c r="AI25" s="51" t="s">
        <v>277</v>
      </c>
      <c r="AJ25" s="51">
        <f t="shared" si="16"/>
        <v>0</v>
      </c>
      <c r="AK25" s="51" t="str">
        <f t="shared" si="17"/>
        <v/>
      </c>
      <c r="AL25" s="51">
        <v>18.947542857142857</v>
      </c>
      <c r="AM25" s="51" t="s">
        <v>277</v>
      </c>
      <c r="AN25" s="51">
        <f t="shared" si="18"/>
        <v>0</v>
      </c>
      <c r="AO25" s="51" t="str">
        <f t="shared" si="19"/>
        <v/>
      </c>
      <c r="AP25" s="51">
        <v>16.475542857142855</v>
      </c>
      <c r="AQ25" s="51" t="s">
        <v>277</v>
      </c>
      <c r="AR25" s="51">
        <f t="shared" si="20"/>
        <v>0</v>
      </c>
      <c r="AS25" s="51" t="str">
        <f t="shared" si="21"/>
        <v/>
      </c>
      <c r="AT25" s="51">
        <v>29.152157142857135</v>
      </c>
      <c r="AU25" s="51" t="s">
        <v>277</v>
      </c>
      <c r="AV25" s="51">
        <f t="shared" si="22"/>
        <v>0</v>
      </c>
      <c r="AW25" s="51" t="str">
        <f t="shared" si="23"/>
        <v/>
      </c>
      <c r="AX25" s="51">
        <v>27.475942857142854</v>
      </c>
      <c r="AY25" s="51" t="s">
        <v>277</v>
      </c>
      <c r="AZ25" s="51">
        <f t="shared" si="24"/>
        <v>0</v>
      </c>
      <c r="BA25" s="51" t="str">
        <f t="shared" si="25"/>
        <v/>
      </c>
      <c r="BB25" s="51">
        <v>20.832442857142855</v>
      </c>
      <c r="BC25" s="51" t="s">
        <v>277</v>
      </c>
      <c r="BD25" s="51">
        <f t="shared" si="107"/>
        <v>0</v>
      </c>
      <c r="BE25" s="51" t="str">
        <f t="shared" si="108"/>
        <v/>
      </c>
      <c r="BF25" s="51">
        <v>19.163842857142853</v>
      </c>
      <c r="BG25" s="51" t="s">
        <v>277</v>
      </c>
      <c r="BH25" s="51">
        <f t="shared" si="28"/>
        <v>0</v>
      </c>
      <c r="BI25" s="51" t="str">
        <f t="shared" si="29"/>
        <v/>
      </c>
      <c r="BJ25" s="51">
        <v>19.565542857142855</v>
      </c>
      <c r="BK25" s="51" t="s">
        <v>277</v>
      </c>
      <c r="BL25" s="51">
        <f t="shared" si="30"/>
        <v>0</v>
      </c>
      <c r="BM25" s="51" t="str">
        <f t="shared" si="31"/>
        <v/>
      </c>
      <c r="BN25" s="51">
        <v>19.720042857142854</v>
      </c>
      <c r="BO25" s="51" t="s">
        <v>277</v>
      </c>
      <c r="BP25" s="51">
        <f t="shared" si="32"/>
        <v>0</v>
      </c>
      <c r="BQ25" s="51" t="str">
        <f t="shared" si="33"/>
        <v/>
      </c>
      <c r="BR25" s="51">
        <v>24.664042857142853</v>
      </c>
      <c r="BS25" s="51" t="s">
        <v>277</v>
      </c>
      <c r="BT25" s="51">
        <f t="shared" si="34"/>
        <v>0</v>
      </c>
      <c r="BU25" s="51" t="str">
        <f t="shared" si="35"/>
        <v/>
      </c>
      <c r="BV25" s="51">
        <v>21.110542857142853</v>
      </c>
      <c r="BW25" s="51" t="s">
        <v>277</v>
      </c>
      <c r="BX25" s="51">
        <f t="shared" si="109"/>
        <v>0</v>
      </c>
      <c r="BY25" s="51" t="str">
        <f t="shared" si="110"/>
        <v/>
      </c>
      <c r="BZ25" s="51">
        <v>20.647042857142853</v>
      </c>
      <c r="CA25" s="51" t="s">
        <v>277</v>
      </c>
      <c r="CB25" s="51">
        <f t="shared" si="111"/>
        <v>0</v>
      </c>
      <c r="CC25" s="51" t="str">
        <f t="shared" si="112"/>
        <v/>
      </c>
      <c r="CD25" s="51">
        <v>19.102042857142855</v>
      </c>
      <c r="CE25" s="51" t="s">
        <v>277</v>
      </c>
      <c r="CF25" s="51">
        <f t="shared" si="40"/>
        <v>0</v>
      </c>
      <c r="CG25" s="51" t="str">
        <f t="shared" si="41"/>
        <v/>
      </c>
      <c r="CH25" s="51">
        <v>23.242642857142851</v>
      </c>
      <c r="CI25" s="51" t="s">
        <v>277</v>
      </c>
      <c r="CJ25" s="51">
        <f t="shared" si="144"/>
        <v>0</v>
      </c>
      <c r="CK25" s="51" t="str">
        <f t="shared" si="145"/>
        <v/>
      </c>
      <c r="CL25" s="51">
        <v>25.312942857142854</v>
      </c>
      <c r="CM25" s="51" t="s">
        <v>277</v>
      </c>
      <c r="CN25" s="51">
        <f t="shared" si="113"/>
        <v>0</v>
      </c>
      <c r="CO25" s="51" t="str">
        <f t="shared" si="114"/>
        <v/>
      </c>
      <c r="CP25" s="51">
        <v>26.425342857142855</v>
      </c>
      <c r="CQ25" s="51" t="s">
        <v>277</v>
      </c>
      <c r="CR25" s="51">
        <f t="shared" si="46"/>
        <v>0</v>
      </c>
      <c r="CS25" s="51" t="str">
        <f t="shared" si="47"/>
        <v/>
      </c>
      <c r="CT25" s="51">
        <v>22.756742857142854</v>
      </c>
      <c r="CU25" s="230" t="s">
        <v>277</v>
      </c>
      <c r="CV25" s="51">
        <f t="shared" si="48"/>
        <v>0</v>
      </c>
      <c r="CW25" s="51" t="str">
        <f t="shared" si="49"/>
        <v/>
      </c>
      <c r="CX25" s="51">
        <v>22.748242857142856</v>
      </c>
      <c r="CY25" s="230" t="s">
        <v>277</v>
      </c>
      <c r="CZ25" s="51">
        <f t="shared" si="115"/>
        <v>0</v>
      </c>
      <c r="DA25" s="51" t="str">
        <f t="shared" si="116"/>
        <v/>
      </c>
      <c r="DB25" s="51">
        <v>20.894242857142856</v>
      </c>
      <c r="DC25" s="230" t="s">
        <v>277</v>
      </c>
      <c r="DD25" s="51">
        <f t="shared" si="52"/>
        <v>0</v>
      </c>
      <c r="DE25" s="51" t="str">
        <f t="shared" si="53"/>
        <v/>
      </c>
      <c r="DF25" s="51">
        <v>23.829742857142854</v>
      </c>
      <c r="DG25" s="230" t="s">
        <v>277</v>
      </c>
      <c r="DH25" s="51">
        <f t="shared" si="54"/>
        <v>0</v>
      </c>
      <c r="DI25" s="51" t="str">
        <f t="shared" si="55"/>
        <v/>
      </c>
      <c r="DJ25" s="51">
        <v>29.546242857142854</v>
      </c>
      <c r="DK25" s="51" t="s">
        <v>277</v>
      </c>
      <c r="DL25" s="51">
        <f t="shared" si="56"/>
        <v>0</v>
      </c>
      <c r="DM25" s="51" t="str">
        <f t="shared" si="57"/>
        <v/>
      </c>
      <c r="DN25" s="51">
        <v>23.366242857142854</v>
      </c>
      <c r="DO25" s="51" t="s">
        <v>277</v>
      </c>
      <c r="DP25" s="51">
        <f t="shared" si="58"/>
        <v>0</v>
      </c>
      <c r="DQ25" s="51" t="str">
        <f t="shared" si="59"/>
        <v/>
      </c>
      <c r="DR25" s="51">
        <v>23.366242857142851</v>
      </c>
      <c r="DS25" s="51" t="s">
        <v>277</v>
      </c>
      <c r="DT25" s="51">
        <f t="shared" si="60"/>
        <v>0</v>
      </c>
      <c r="DU25" s="51" t="str">
        <f t="shared" si="61"/>
        <v/>
      </c>
      <c r="DV25" s="51">
        <v>22.748242857142852</v>
      </c>
      <c r="DW25" s="230" t="s">
        <v>277</v>
      </c>
      <c r="DX25" s="51">
        <f t="shared" si="62"/>
        <v>0</v>
      </c>
      <c r="DY25" s="51" t="str">
        <f t="shared" si="63"/>
        <v/>
      </c>
      <c r="DZ25" s="51">
        <v>23.088142857142856</v>
      </c>
      <c r="EA25" s="51" t="s">
        <v>277</v>
      </c>
      <c r="EB25" s="51">
        <f t="shared" si="64"/>
        <v>0</v>
      </c>
      <c r="EC25" s="51" t="str">
        <f t="shared" si="65"/>
        <v/>
      </c>
      <c r="ED25" s="51">
        <v>28.650142857142853</v>
      </c>
      <c r="EE25" s="51" t="s">
        <v>277</v>
      </c>
      <c r="EF25" s="51">
        <f t="shared" si="66"/>
        <v>0</v>
      </c>
      <c r="EG25" s="51" t="str">
        <f t="shared" si="67"/>
        <v/>
      </c>
      <c r="EH25" s="51">
        <v>21.697642857142856</v>
      </c>
      <c r="EI25" s="230" t="s">
        <v>277</v>
      </c>
      <c r="EJ25" s="250">
        <f t="shared" si="68"/>
        <v>0</v>
      </c>
      <c r="EK25" s="51" t="str">
        <f t="shared" si="69"/>
        <v/>
      </c>
      <c r="EL25" s="51">
        <v>28.032142857142858</v>
      </c>
      <c r="EM25" s="250" t="s">
        <v>277</v>
      </c>
      <c r="EN25" s="230">
        <f t="shared" si="70"/>
        <v>0</v>
      </c>
      <c r="EO25" s="51" t="str">
        <f t="shared" si="71"/>
        <v/>
      </c>
      <c r="EP25" s="51">
        <v>25.907214285714282</v>
      </c>
      <c r="EQ25" s="230" t="s">
        <v>277</v>
      </c>
      <c r="ER25" s="51">
        <f t="shared" si="72"/>
        <v>0</v>
      </c>
      <c r="ES25" s="51" t="str">
        <f t="shared" si="73"/>
        <v/>
      </c>
      <c r="ET25" s="51">
        <v>27.452214285714284</v>
      </c>
      <c r="EU25" s="230" t="s">
        <v>277</v>
      </c>
      <c r="EV25" s="51">
        <f t="shared" si="117"/>
        <v>0</v>
      </c>
      <c r="EW25" s="51" t="str">
        <f t="shared" si="75"/>
        <v/>
      </c>
      <c r="EX25" s="51">
        <v>27.297714285714282</v>
      </c>
      <c r="EY25" s="51" t="s">
        <v>277</v>
      </c>
      <c r="EZ25" s="51">
        <f t="shared" si="76"/>
        <v>0</v>
      </c>
      <c r="FA25" s="51" t="str">
        <f t="shared" si="77"/>
        <v/>
      </c>
      <c r="FB25" s="51">
        <v>26.061714285714285</v>
      </c>
      <c r="FC25" s="51" t="s">
        <v>277</v>
      </c>
      <c r="FD25" s="51">
        <f t="shared" si="78"/>
        <v>0</v>
      </c>
      <c r="FE25" s="51" t="str">
        <f t="shared" si="79"/>
        <v/>
      </c>
      <c r="FF25" s="51">
        <v>32.797914285714285</v>
      </c>
      <c r="FG25" s="51" t="s">
        <v>277</v>
      </c>
      <c r="FH25" s="51">
        <f t="shared" si="146"/>
        <v>0</v>
      </c>
      <c r="FI25" s="51" t="str">
        <f t="shared" si="147"/>
        <v/>
      </c>
      <c r="FJ25" s="51">
        <v>28.84271428571428</v>
      </c>
      <c r="FK25" s="230" t="s">
        <v>277</v>
      </c>
      <c r="FL25" s="51">
        <f t="shared" si="82"/>
        <v>0</v>
      </c>
      <c r="FM25" s="51" t="str">
        <f t="shared" si="83"/>
        <v/>
      </c>
      <c r="FN25" s="51">
        <v>25.466778571428563</v>
      </c>
      <c r="FO25" s="51"/>
      <c r="FP25" s="51"/>
      <c r="FQ25" s="51"/>
      <c r="FR25" s="51">
        <f t="shared" si="118"/>
        <v>0</v>
      </c>
      <c r="FS25" s="14">
        <f t="shared" si="119"/>
        <v>0</v>
      </c>
      <c r="FT25">
        <f t="shared" si="120"/>
        <v>0</v>
      </c>
      <c r="FV25" s="215">
        <f t="shared" si="84"/>
        <v>0</v>
      </c>
      <c r="FW25" s="215">
        <f t="shared" si="85"/>
        <v>0</v>
      </c>
      <c r="FX25" s="215">
        <f t="shared" si="86"/>
        <v>0</v>
      </c>
      <c r="FY25" s="215">
        <f t="shared" si="87"/>
        <v>0</v>
      </c>
      <c r="FZ25" s="215">
        <f t="shared" si="88"/>
        <v>0</v>
      </c>
      <c r="GA25" s="215">
        <f t="shared" si="89"/>
        <v>0</v>
      </c>
      <c r="GB25" s="215">
        <f t="shared" si="90"/>
        <v>0</v>
      </c>
      <c r="GC25" s="215">
        <f t="shared" si="91"/>
        <v>0</v>
      </c>
      <c r="GD25" s="215">
        <f t="shared" si="92"/>
        <v>0</v>
      </c>
      <c r="GE25" s="215">
        <f t="shared" si="93"/>
        <v>0</v>
      </c>
      <c r="GF25" s="215">
        <f t="shared" si="94"/>
        <v>0</v>
      </c>
      <c r="GG25" s="215">
        <f t="shared" si="95"/>
        <v>0</v>
      </c>
      <c r="GH25" s="215">
        <f t="shared" si="96"/>
        <v>0</v>
      </c>
      <c r="GI25" s="215">
        <f t="shared" si="97"/>
        <v>0</v>
      </c>
      <c r="GJ25" s="215">
        <f t="shared" si="98"/>
        <v>0</v>
      </c>
      <c r="GK25" s="215">
        <f t="shared" si="99"/>
        <v>0</v>
      </c>
      <c r="GL25" s="215">
        <f t="shared" si="100"/>
        <v>0</v>
      </c>
      <c r="GM25" s="215">
        <f t="shared" si="101"/>
        <v>0</v>
      </c>
      <c r="GN25" s="215">
        <f t="shared" si="102"/>
        <v>0</v>
      </c>
      <c r="GO25" s="215">
        <f t="shared" si="103"/>
        <v>0</v>
      </c>
      <c r="GP25" s="215">
        <f t="shared" si="104"/>
        <v>0</v>
      </c>
      <c r="GQ25" s="215">
        <f t="shared" si="105"/>
        <v>0</v>
      </c>
      <c r="GR25" s="215">
        <f t="shared" si="106"/>
        <v>0</v>
      </c>
      <c r="GS25" s="215">
        <f t="shared" si="121"/>
        <v>0</v>
      </c>
      <c r="GT25" s="215">
        <f t="shared" si="122"/>
        <v>0</v>
      </c>
      <c r="GU25" s="215">
        <f t="shared" si="123"/>
        <v>0</v>
      </c>
      <c r="GV25" s="215">
        <f t="shared" si="124"/>
        <v>0</v>
      </c>
      <c r="GW25" s="215">
        <f t="shared" si="125"/>
        <v>0</v>
      </c>
      <c r="GX25" s="215">
        <f t="shared" si="126"/>
        <v>0</v>
      </c>
      <c r="GY25" s="215">
        <f t="shared" si="127"/>
        <v>0</v>
      </c>
      <c r="GZ25" s="215">
        <f t="shared" si="128"/>
        <v>0</v>
      </c>
      <c r="HA25" s="215">
        <f t="shared" si="129"/>
        <v>0</v>
      </c>
      <c r="HB25" s="215">
        <f t="shared" si="130"/>
        <v>0</v>
      </c>
      <c r="HC25" s="215">
        <f t="shared" si="131"/>
        <v>0</v>
      </c>
      <c r="HD25" s="215">
        <f t="shared" si="132"/>
        <v>0</v>
      </c>
      <c r="HE25" s="215">
        <f t="shared" si="133"/>
        <v>0</v>
      </c>
      <c r="HF25" s="215">
        <f t="shared" si="134"/>
        <v>0</v>
      </c>
      <c r="HG25" s="215">
        <f t="shared" si="135"/>
        <v>0</v>
      </c>
      <c r="HH25" s="215">
        <f t="shared" si="136"/>
        <v>0</v>
      </c>
      <c r="HI25" s="215">
        <f t="shared" si="137"/>
        <v>0</v>
      </c>
      <c r="HJ25" s="215">
        <f t="shared" si="138"/>
        <v>0</v>
      </c>
      <c r="HK25" s="215">
        <f t="shared" si="139"/>
        <v>0</v>
      </c>
      <c r="HL25" s="211">
        <f t="shared" si="140"/>
        <v>0</v>
      </c>
      <c r="HM25" s="51">
        <f t="shared" si="141"/>
        <v>0</v>
      </c>
    </row>
    <row r="26" spans="1:224">
      <c r="A26" s="49" t="s">
        <v>264</v>
      </c>
      <c r="B26" s="51">
        <v>13.37154285714286</v>
      </c>
      <c r="C26" s="51" t="s">
        <v>277</v>
      </c>
      <c r="D26" s="51">
        <f t="shared" si="0"/>
        <v>0</v>
      </c>
      <c r="E26" s="51" t="str">
        <f t="shared" si="1"/>
        <v/>
      </c>
      <c r="F26" s="51">
        <v>19.43554285714286</v>
      </c>
      <c r="G26" s="51" t="s">
        <v>277</v>
      </c>
      <c r="H26" s="51">
        <f t="shared" si="2"/>
        <v>0</v>
      </c>
      <c r="I26" s="51" t="str">
        <f t="shared" si="3"/>
        <v/>
      </c>
      <c r="J26" s="51">
        <v>15.121942857142859</v>
      </c>
      <c r="K26" s="51" t="s">
        <v>277</v>
      </c>
      <c r="L26" s="51">
        <f t="shared" si="4"/>
        <v>0</v>
      </c>
      <c r="M26" s="51" t="str">
        <f t="shared" si="5"/>
        <v/>
      </c>
      <c r="N26" s="51">
        <v>14.497942857142858</v>
      </c>
      <c r="O26" s="51" t="s">
        <v>277</v>
      </c>
      <c r="P26" s="51">
        <f t="shared" si="6"/>
        <v>0</v>
      </c>
      <c r="Q26" s="51" t="str">
        <f t="shared" si="7"/>
        <v/>
      </c>
      <c r="R26" s="51">
        <v>14.653942857142859</v>
      </c>
      <c r="S26" s="51" t="s">
        <v>277</v>
      </c>
      <c r="T26" s="51">
        <f t="shared" si="8"/>
        <v>0</v>
      </c>
      <c r="U26" s="51" t="str">
        <f t="shared" si="9"/>
        <v/>
      </c>
      <c r="V26" s="51">
        <v>15.652342857142859</v>
      </c>
      <c r="W26" s="51" t="s">
        <v>277</v>
      </c>
      <c r="X26" s="51">
        <f t="shared" si="10"/>
        <v>0</v>
      </c>
      <c r="Y26" s="51" t="str">
        <f t="shared" si="11"/>
        <v/>
      </c>
      <c r="Z26" s="51">
        <v>15.589942857142859</v>
      </c>
      <c r="AA26" s="51" t="s">
        <v>277</v>
      </c>
      <c r="AB26" s="51">
        <f t="shared" si="12"/>
        <v>0</v>
      </c>
      <c r="AC26" s="51" t="str">
        <f t="shared" si="13"/>
        <v/>
      </c>
      <c r="AD26" s="51">
        <v>16.276342857142858</v>
      </c>
      <c r="AE26" s="51" t="s">
        <v>277</v>
      </c>
      <c r="AF26" s="51">
        <f t="shared" si="14"/>
        <v>0</v>
      </c>
      <c r="AG26" s="51" t="str">
        <f t="shared" si="15"/>
        <v/>
      </c>
      <c r="AH26" s="51">
        <v>15.96434285714286</v>
      </c>
      <c r="AI26" s="51" t="s">
        <v>277</v>
      </c>
      <c r="AJ26" s="51">
        <f t="shared" si="16"/>
        <v>0</v>
      </c>
      <c r="AK26" s="51" t="str">
        <f t="shared" si="17"/>
        <v/>
      </c>
      <c r="AL26" s="51">
        <v>19.084342857142861</v>
      </c>
      <c r="AM26" s="51" t="s">
        <v>277</v>
      </c>
      <c r="AN26" s="51">
        <f t="shared" si="18"/>
        <v>0</v>
      </c>
      <c r="AO26" s="51" t="str">
        <f t="shared" si="19"/>
        <v/>
      </c>
      <c r="AP26" s="51">
        <v>16.588342857142859</v>
      </c>
      <c r="AQ26" s="51" t="s">
        <v>277</v>
      </c>
      <c r="AR26" s="51">
        <f t="shared" si="20"/>
        <v>0</v>
      </c>
      <c r="AS26" s="51" t="str">
        <f t="shared" si="21"/>
        <v/>
      </c>
      <c r="AT26" s="51">
        <v>29.385257142857142</v>
      </c>
      <c r="AU26" s="51" t="s">
        <v>277</v>
      </c>
      <c r="AV26" s="51">
        <f t="shared" si="22"/>
        <v>0</v>
      </c>
      <c r="AW26" s="51" t="str">
        <f t="shared" si="23"/>
        <v/>
      </c>
      <c r="AX26" s="51">
        <v>27.695542857142858</v>
      </c>
      <c r="AY26" s="51" t="s">
        <v>277</v>
      </c>
      <c r="AZ26" s="51">
        <f t="shared" si="24"/>
        <v>0</v>
      </c>
      <c r="BA26" s="51" t="str">
        <f t="shared" si="25"/>
        <v/>
      </c>
      <c r="BB26" s="51">
        <f>20.9875428571429-7.25</f>
        <v>13.737542857142898</v>
      </c>
      <c r="BC26" s="51" t="s">
        <v>277</v>
      </c>
      <c r="BD26" s="51">
        <f t="shared" si="107"/>
        <v>0</v>
      </c>
      <c r="BE26" s="51" t="str">
        <f t="shared" si="108"/>
        <v/>
      </c>
      <c r="BF26" s="51">
        <v>19.302742857142857</v>
      </c>
      <c r="BG26" s="51" t="s">
        <v>277</v>
      </c>
      <c r="BH26" s="51">
        <f t="shared" si="28"/>
        <v>0</v>
      </c>
      <c r="BI26" s="51" t="str">
        <f t="shared" si="29"/>
        <v/>
      </c>
      <c r="BJ26" s="51">
        <v>19.708342857142856</v>
      </c>
      <c r="BK26" s="51" t="s">
        <v>277</v>
      </c>
      <c r="BL26" s="51">
        <f t="shared" si="30"/>
        <v>0</v>
      </c>
      <c r="BM26" s="51" t="str">
        <f t="shared" si="31"/>
        <v/>
      </c>
      <c r="BN26" s="51">
        <v>22.864342857142859</v>
      </c>
      <c r="BO26" s="51" t="s">
        <v>277</v>
      </c>
      <c r="BP26" s="51">
        <f t="shared" si="32"/>
        <v>0</v>
      </c>
      <c r="BQ26" s="51" t="str">
        <f t="shared" si="33"/>
        <v/>
      </c>
      <c r="BR26" s="51">
        <v>24.85634285714286</v>
      </c>
      <c r="BS26" s="51" t="s">
        <v>277</v>
      </c>
      <c r="BT26" s="51">
        <f t="shared" si="34"/>
        <v>0</v>
      </c>
      <c r="BU26" s="51" t="str">
        <f t="shared" si="35"/>
        <v/>
      </c>
      <c r="BV26" s="51">
        <v>21.268342857142859</v>
      </c>
      <c r="BW26" s="51" t="s">
        <v>277</v>
      </c>
      <c r="BX26" s="51">
        <f t="shared" si="109"/>
        <v>0</v>
      </c>
      <c r="BY26" s="51" t="str">
        <f t="shared" si="110"/>
        <v/>
      </c>
      <c r="BZ26" s="51">
        <v>20.800342857142855</v>
      </c>
      <c r="CA26" s="51" t="s">
        <v>277</v>
      </c>
      <c r="CB26" s="51">
        <f t="shared" si="111"/>
        <v>0</v>
      </c>
      <c r="CC26" s="51" t="str">
        <f t="shared" si="112"/>
        <v/>
      </c>
      <c r="CD26" s="51">
        <v>19.240342857142856</v>
      </c>
      <c r="CE26" s="51" t="s">
        <v>277</v>
      </c>
      <c r="CF26" s="51">
        <f t="shared" si="40"/>
        <v>0</v>
      </c>
      <c r="CG26" s="51" t="str">
        <f t="shared" si="41"/>
        <v/>
      </c>
      <c r="CH26" s="51">
        <v>23.421142857142861</v>
      </c>
      <c r="CI26" s="51" t="s">
        <v>277</v>
      </c>
      <c r="CJ26" s="51">
        <f t="shared" si="144"/>
        <v>0</v>
      </c>
      <c r="CK26" s="51" t="str">
        <f t="shared" si="145"/>
        <v/>
      </c>
      <c r="CL26" s="51">
        <v>42.511542857142857</v>
      </c>
      <c r="CM26" s="51" t="s">
        <v>277</v>
      </c>
      <c r="CN26" s="51">
        <f t="shared" si="113"/>
        <v>0</v>
      </c>
      <c r="CO26" s="51" t="str">
        <f t="shared" si="114"/>
        <v/>
      </c>
      <c r="CP26" s="51">
        <v>26.634742857142861</v>
      </c>
      <c r="CQ26" s="51" t="s">
        <v>277</v>
      </c>
      <c r="CR26" s="51">
        <f t="shared" si="46"/>
        <v>0</v>
      </c>
      <c r="CS26" s="51" t="str">
        <f t="shared" si="47"/>
        <v/>
      </c>
      <c r="CT26" s="51">
        <v>22.949942857142858</v>
      </c>
      <c r="CU26" s="230"/>
      <c r="CV26" s="51">
        <f t="shared" si="48"/>
        <v>22.949942857142858</v>
      </c>
      <c r="CW26" s="51" t="str">
        <f t="shared" si="49"/>
        <v>Debe</v>
      </c>
      <c r="CX26" s="51">
        <v>22.921942857142859</v>
      </c>
      <c r="CY26" s="230"/>
      <c r="CZ26" s="51">
        <f t="shared" si="115"/>
        <v>22.921942857142859</v>
      </c>
      <c r="DA26" s="51" t="str">
        <f t="shared" si="116"/>
        <v>Debe</v>
      </c>
      <c r="DB26" s="51">
        <v>21.04994285714286</v>
      </c>
      <c r="DC26" s="230"/>
      <c r="DD26" s="51">
        <f t="shared" si="52"/>
        <v>21.04994285714286</v>
      </c>
      <c r="DE26" s="51" t="str">
        <f t="shared" si="53"/>
        <v>Debe</v>
      </c>
      <c r="DF26" s="51">
        <v>24.013942857142858</v>
      </c>
      <c r="DG26" s="230"/>
      <c r="DH26" s="51">
        <f t="shared" si="54"/>
        <v>24.013942857142858</v>
      </c>
      <c r="DI26" s="51" t="str">
        <f t="shared" si="55"/>
        <v>Debe</v>
      </c>
      <c r="DJ26" s="51">
        <v>29.78594285714286</v>
      </c>
      <c r="DK26" s="51"/>
      <c r="DL26" s="51">
        <f t="shared" si="56"/>
        <v>29.78594285714286</v>
      </c>
      <c r="DM26" s="51" t="str">
        <f t="shared" si="57"/>
        <v>Debe</v>
      </c>
      <c r="DN26" s="51">
        <v>23.545942857142858</v>
      </c>
      <c r="DO26" s="51"/>
      <c r="DP26" s="51">
        <f t="shared" si="58"/>
        <v>23.545942857142858</v>
      </c>
      <c r="DQ26" s="51" t="str">
        <f t="shared" si="59"/>
        <v>Debe</v>
      </c>
      <c r="DR26" s="51">
        <v>23.545942857142855</v>
      </c>
      <c r="DS26" s="51"/>
      <c r="DT26" s="51">
        <f t="shared" si="60"/>
        <v>23.545942857142855</v>
      </c>
      <c r="DU26" s="51" t="str">
        <f t="shared" si="61"/>
        <v>Debe</v>
      </c>
      <c r="DV26" s="51">
        <v>22.921942857142856</v>
      </c>
      <c r="DW26" s="230"/>
      <c r="DX26" s="51">
        <f t="shared" si="62"/>
        <v>22.921942857142856</v>
      </c>
      <c r="DY26" s="51" t="str">
        <f t="shared" si="63"/>
        <v>Debe</v>
      </c>
      <c r="DZ26" s="51">
        <v>27.765142857142859</v>
      </c>
      <c r="EA26" s="51"/>
      <c r="EB26" s="51">
        <f t="shared" si="64"/>
        <v>27.765142857142859</v>
      </c>
      <c r="EC26" s="51" t="str">
        <f t="shared" si="65"/>
        <v>Debe</v>
      </c>
      <c r="ED26" s="51">
        <v>28.881142857142859</v>
      </c>
      <c r="EE26" s="51"/>
      <c r="EF26" s="51">
        <f t="shared" si="66"/>
        <v>28.881142857142859</v>
      </c>
      <c r="EG26" s="51" t="str">
        <f t="shared" si="67"/>
        <v>Debe</v>
      </c>
      <c r="EH26" s="51">
        <v>21.861142857142859</v>
      </c>
      <c r="EI26" s="230"/>
      <c r="EJ26" s="250">
        <f t="shared" si="68"/>
        <v>21.861142857142859</v>
      </c>
      <c r="EK26" s="51" t="str">
        <f t="shared" si="69"/>
        <v>Debe</v>
      </c>
      <c r="EL26" s="51">
        <v>28.25714285714286</v>
      </c>
      <c r="EM26" s="250"/>
      <c r="EN26" s="230">
        <f t="shared" si="70"/>
        <v>28.25714285714286</v>
      </c>
      <c r="EO26" s="51" t="str">
        <f t="shared" si="71"/>
        <v>Debe</v>
      </c>
      <c r="EP26" s="51">
        <v>26.097714285714286</v>
      </c>
      <c r="EQ26" s="230"/>
      <c r="ER26" s="51">
        <f t="shared" si="72"/>
        <v>26.097714285714286</v>
      </c>
      <c r="ES26" s="51" t="str">
        <f t="shared" si="73"/>
        <v>Debe</v>
      </c>
      <c r="ET26" s="51">
        <v>27.657714285714285</v>
      </c>
      <c r="EU26" s="230"/>
      <c r="EV26" s="51">
        <f t="shared" si="117"/>
        <v>27.657714285714285</v>
      </c>
      <c r="EW26" s="51" t="str">
        <f t="shared" si="75"/>
        <v>Debe</v>
      </c>
      <c r="EX26" s="51">
        <v>27.501714285714289</v>
      </c>
      <c r="EY26" s="51"/>
      <c r="EZ26" s="51">
        <f t="shared" si="76"/>
        <v>27.501714285714289</v>
      </c>
      <c r="FA26" s="51" t="str">
        <f t="shared" si="77"/>
        <v>Debe</v>
      </c>
      <c r="FB26" s="51">
        <v>31.253714285714285</v>
      </c>
      <c r="FC26" s="51"/>
      <c r="FD26" s="51">
        <f t="shared" si="78"/>
        <v>31.253714285714285</v>
      </c>
      <c r="FE26" s="51" t="str">
        <f t="shared" si="79"/>
        <v>Debe</v>
      </c>
      <c r="FF26" s="51">
        <v>33.055314285714289</v>
      </c>
      <c r="FG26" s="51"/>
      <c r="FH26" s="51">
        <f t="shared" si="146"/>
        <v>33.055314285714289</v>
      </c>
      <c r="FI26" s="51" t="str">
        <f t="shared" si="147"/>
        <v>Debe</v>
      </c>
      <c r="FJ26" s="51">
        <v>29.061714285714285</v>
      </c>
      <c r="FK26" s="230"/>
      <c r="FL26" s="51">
        <f t="shared" si="82"/>
        <v>29.061714285714285</v>
      </c>
      <c r="FM26" s="51" t="str">
        <f t="shared" si="83"/>
        <v>Debe</v>
      </c>
      <c r="FN26" s="51">
        <v>25.65022857142857</v>
      </c>
      <c r="FO26" s="51"/>
      <c r="FP26" s="51"/>
      <c r="FQ26" s="51"/>
      <c r="FR26" s="51">
        <f t="shared" si="118"/>
        <v>472.12800000000004</v>
      </c>
      <c r="FS26" s="14">
        <f t="shared" si="119"/>
        <v>187434.81600000002</v>
      </c>
      <c r="FT26">
        <f t="shared" si="120"/>
        <v>18</v>
      </c>
      <c r="FV26" s="215">
        <f t="shared" si="84"/>
        <v>0</v>
      </c>
      <c r="FW26" s="215">
        <f t="shared" si="85"/>
        <v>0</v>
      </c>
      <c r="FX26" s="215">
        <f t="shared" si="86"/>
        <v>0</v>
      </c>
      <c r="FY26" s="215">
        <f t="shared" si="87"/>
        <v>0</v>
      </c>
      <c r="FZ26" s="215">
        <f t="shared" si="88"/>
        <v>0</v>
      </c>
      <c r="GA26" s="215">
        <f t="shared" si="89"/>
        <v>0</v>
      </c>
      <c r="GB26" s="215">
        <f t="shared" si="90"/>
        <v>0</v>
      </c>
      <c r="GC26" s="215">
        <f t="shared" si="91"/>
        <v>0</v>
      </c>
      <c r="GD26" s="215">
        <f t="shared" si="92"/>
        <v>0</v>
      </c>
      <c r="GE26" s="215">
        <f t="shared" si="93"/>
        <v>0</v>
      </c>
      <c r="GF26" s="215">
        <f t="shared" si="94"/>
        <v>0</v>
      </c>
      <c r="GG26" s="215">
        <f t="shared" si="95"/>
        <v>0</v>
      </c>
      <c r="GH26" s="215">
        <f t="shared" si="96"/>
        <v>0</v>
      </c>
      <c r="GI26" s="215">
        <f t="shared" si="97"/>
        <v>0</v>
      </c>
      <c r="GJ26" s="215">
        <f t="shared" si="98"/>
        <v>0</v>
      </c>
      <c r="GK26" s="215">
        <f t="shared" si="99"/>
        <v>0</v>
      </c>
      <c r="GL26" s="215">
        <f t="shared" si="100"/>
        <v>0</v>
      </c>
      <c r="GM26" s="215">
        <f t="shared" si="101"/>
        <v>0</v>
      </c>
      <c r="GN26" s="215">
        <f t="shared" si="102"/>
        <v>0</v>
      </c>
      <c r="GO26" s="215">
        <f t="shared" si="103"/>
        <v>0</v>
      </c>
      <c r="GP26" s="215">
        <f t="shared" si="104"/>
        <v>0</v>
      </c>
      <c r="GQ26" s="215">
        <f t="shared" si="105"/>
        <v>0</v>
      </c>
      <c r="GR26" s="215">
        <f t="shared" si="106"/>
        <v>0</v>
      </c>
      <c r="GS26" s="215">
        <f t="shared" si="121"/>
        <v>0</v>
      </c>
      <c r="GT26" s="215">
        <f t="shared" si="122"/>
        <v>5.7374857142857144E-2</v>
      </c>
      <c r="GU26" s="215">
        <f t="shared" si="123"/>
        <v>0.1146797142857143</v>
      </c>
      <c r="GV26" s="215">
        <f t="shared" si="124"/>
        <v>0.16730457142857144</v>
      </c>
      <c r="GW26" s="215">
        <f t="shared" si="125"/>
        <v>0.22733942857142858</v>
      </c>
      <c r="GX26" s="215">
        <f t="shared" si="126"/>
        <v>0.30180428571428569</v>
      </c>
      <c r="GY26" s="215">
        <f t="shared" si="127"/>
        <v>0.36066914285714285</v>
      </c>
      <c r="GZ26" s="215">
        <f t="shared" si="128"/>
        <v>0.41953399999999996</v>
      </c>
      <c r="HA26" s="215">
        <f t="shared" si="129"/>
        <v>0.47683885714285706</v>
      </c>
      <c r="HB26" s="215">
        <f t="shared" si="130"/>
        <v>0.54625171428571417</v>
      </c>
      <c r="HC26" s="215">
        <f t="shared" si="131"/>
        <v>0.61845457142857141</v>
      </c>
      <c r="HD26" s="215">
        <f t="shared" si="132"/>
        <v>0.67310742857142858</v>
      </c>
      <c r="HE26" s="215">
        <f t="shared" si="133"/>
        <v>0.7437502857142857</v>
      </c>
      <c r="HF26" s="215">
        <f t="shared" si="134"/>
        <v>0.80899457142857145</v>
      </c>
      <c r="HG26" s="215">
        <f t="shared" si="135"/>
        <v>0.87813885714285722</v>
      </c>
      <c r="HH26" s="215">
        <f t="shared" si="136"/>
        <v>0.94689314285714288</v>
      </c>
      <c r="HI26" s="215">
        <f t="shared" si="137"/>
        <v>1.0250274285714287</v>
      </c>
      <c r="HJ26" s="215">
        <f t="shared" si="138"/>
        <v>1.1076657142857145</v>
      </c>
      <c r="HK26" s="215">
        <f t="shared" si="139"/>
        <v>1.18032</v>
      </c>
      <c r="HL26" s="211">
        <f t="shared" si="140"/>
        <v>10.654148571428571</v>
      </c>
      <c r="HM26" s="51">
        <f t="shared" si="141"/>
        <v>482.78214857142859</v>
      </c>
    </row>
    <row r="27" spans="1:224">
      <c r="A27" s="49" t="s">
        <v>266</v>
      </c>
      <c r="B27" s="51">
        <v>16.606742857142859</v>
      </c>
      <c r="C27" s="51" t="s">
        <v>277</v>
      </c>
      <c r="D27" s="51">
        <f t="shared" si="0"/>
        <v>0</v>
      </c>
      <c r="E27" s="51" t="str">
        <f t="shared" si="1"/>
        <v/>
      </c>
      <c r="F27" s="51">
        <v>22.382742857142858</v>
      </c>
      <c r="G27" s="51" t="s">
        <v>277</v>
      </c>
      <c r="H27" s="51">
        <f t="shared" si="2"/>
        <v>0</v>
      </c>
      <c r="I27" s="51" t="str">
        <f t="shared" si="3"/>
        <v/>
      </c>
      <c r="J27" s="51">
        <v>18.280342857142859</v>
      </c>
      <c r="K27" s="51" t="s">
        <v>277</v>
      </c>
      <c r="L27" s="51">
        <f t="shared" si="4"/>
        <v>0</v>
      </c>
      <c r="M27" s="51" t="str">
        <f t="shared" si="5"/>
        <v/>
      </c>
      <c r="N27" s="51">
        <v>17.46434285714286</v>
      </c>
      <c r="O27" s="51" t="s">
        <v>277</v>
      </c>
      <c r="P27" s="51">
        <f t="shared" si="6"/>
        <v>0</v>
      </c>
      <c r="Q27" s="51" t="str">
        <f t="shared" si="7"/>
        <v/>
      </c>
      <c r="R27" s="51">
        <v>17.668342857142861</v>
      </c>
      <c r="S27" s="51" t="s">
        <v>277</v>
      </c>
      <c r="T27" s="51">
        <f t="shared" si="8"/>
        <v>0</v>
      </c>
      <c r="U27" s="51" t="str">
        <f t="shared" si="9"/>
        <v/>
      </c>
      <c r="V27" s="51">
        <v>18.973942857142859</v>
      </c>
      <c r="W27" s="51" t="s">
        <v>277</v>
      </c>
      <c r="X27" s="51">
        <f t="shared" si="10"/>
        <v>0</v>
      </c>
      <c r="Y27" s="51" t="str">
        <f t="shared" si="11"/>
        <v/>
      </c>
      <c r="Z27" s="51">
        <v>18.892342857142861</v>
      </c>
      <c r="AA27" s="51" t="s">
        <v>277</v>
      </c>
      <c r="AB27" s="51">
        <f t="shared" si="12"/>
        <v>0</v>
      </c>
      <c r="AC27" s="51" t="str">
        <f t="shared" si="13"/>
        <v/>
      </c>
      <c r="AD27" s="51">
        <v>19.789942857142858</v>
      </c>
      <c r="AE27" s="51" t="s">
        <v>277</v>
      </c>
      <c r="AF27" s="51">
        <f t="shared" si="14"/>
        <v>0</v>
      </c>
      <c r="AG27" s="51" t="str">
        <f t="shared" si="15"/>
        <v/>
      </c>
      <c r="AH27" s="51">
        <v>19.38194285714286</v>
      </c>
      <c r="AI27" s="51" t="s">
        <v>277</v>
      </c>
      <c r="AJ27" s="51">
        <f t="shared" si="16"/>
        <v>0</v>
      </c>
      <c r="AK27" s="51" t="str">
        <f t="shared" si="17"/>
        <v/>
      </c>
      <c r="AL27" s="51">
        <v>23.461942857142862</v>
      </c>
      <c r="AM27" s="51" t="s">
        <v>277</v>
      </c>
      <c r="AN27" s="51">
        <f t="shared" si="18"/>
        <v>0</v>
      </c>
      <c r="AO27" s="51" t="str">
        <f t="shared" si="19"/>
        <v/>
      </c>
      <c r="AP27" s="51">
        <v>20.197942857142859</v>
      </c>
      <c r="AQ27" s="51" t="s">
        <v>277</v>
      </c>
      <c r="AR27" s="51">
        <f t="shared" si="20"/>
        <v>0</v>
      </c>
      <c r="AS27" s="51" t="str">
        <f t="shared" si="21"/>
        <v/>
      </c>
      <c r="AT27" s="51">
        <v>36.844457142857145</v>
      </c>
      <c r="AU27" s="51" t="s">
        <v>277</v>
      </c>
      <c r="AV27" s="51">
        <f t="shared" si="22"/>
        <v>0</v>
      </c>
      <c r="AW27" s="51" t="str">
        <f t="shared" si="23"/>
        <v/>
      </c>
      <c r="AX27" s="51">
        <v>34.722742857142855</v>
      </c>
      <c r="AY27" s="51" t="s">
        <v>277</v>
      </c>
      <c r="AZ27" s="51">
        <f t="shared" si="24"/>
        <v>0</v>
      </c>
      <c r="BA27" s="51" t="str">
        <f t="shared" si="25"/>
        <v/>
      </c>
      <c r="BB27" s="51">
        <v>25.950742857142863</v>
      </c>
      <c r="BC27" s="51" t="s">
        <v>277</v>
      </c>
      <c r="BD27" s="51">
        <f t="shared" si="107"/>
        <v>0</v>
      </c>
      <c r="BE27" s="51" t="str">
        <f t="shared" si="108"/>
        <v/>
      </c>
      <c r="BF27" s="51">
        <v>23.747542857142861</v>
      </c>
      <c r="BG27" s="51" t="s">
        <v>277</v>
      </c>
      <c r="BH27" s="51">
        <f t="shared" si="28"/>
        <v>0</v>
      </c>
      <c r="BI27" s="51" t="str">
        <f t="shared" si="29"/>
        <v/>
      </c>
      <c r="BJ27" s="51">
        <v>24.277942857142861</v>
      </c>
      <c r="BK27" s="51" t="s">
        <v>277</v>
      </c>
      <c r="BL27" s="51">
        <f t="shared" si="30"/>
        <v>0</v>
      </c>
      <c r="BM27" s="51" t="str">
        <f t="shared" si="31"/>
        <v/>
      </c>
      <c r="BN27" s="51">
        <v>24.481942857142862</v>
      </c>
      <c r="BO27" s="51" t="s">
        <v>277</v>
      </c>
      <c r="BP27" s="51">
        <f t="shared" si="32"/>
        <v>0</v>
      </c>
      <c r="BQ27" s="51" t="str">
        <f t="shared" si="33"/>
        <v/>
      </c>
      <c r="BR27" s="51">
        <v>31.009942857142857</v>
      </c>
      <c r="BS27" s="51" t="s">
        <v>277</v>
      </c>
      <c r="BT27" s="51">
        <f t="shared" si="34"/>
        <v>0</v>
      </c>
      <c r="BU27" s="51" t="str">
        <f t="shared" si="35"/>
        <v/>
      </c>
      <c r="BV27" s="51">
        <v>26.317942857142857</v>
      </c>
      <c r="BW27" s="51" t="s">
        <v>277</v>
      </c>
      <c r="BX27" s="51">
        <f t="shared" si="109"/>
        <v>0</v>
      </c>
      <c r="BY27" s="51" t="str">
        <f t="shared" si="110"/>
        <v/>
      </c>
      <c r="BZ27" s="51">
        <v>25.705942857142858</v>
      </c>
      <c r="CA27" s="51" t="s">
        <v>277</v>
      </c>
      <c r="CB27" s="51">
        <f t="shared" si="111"/>
        <v>0</v>
      </c>
      <c r="CC27" s="51" t="str">
        <f t="shared" si="112"/>
        <v/>
      </c>
      <c r="CD27" s="51">
        <v>23.665942857142863</v>
      </c>
      <c r="CE27" s="51" t="s">
        <v>277</v>
      </c>
      <c r="CF27" s="51">
        <f t="shared" si="40"/>
        <v>0</v>
      </c>
      <c r="CG27" s="51" t="str">
        <f t="shared" si="41"/>
        <v/>
      </c>
      <c r="CH27" s="51">
        <v>29.133142857142857</v>
      </c>
      <c r="CI27" s="51" t="s">
        <v>277</v>
      </c>
      <c r="CJ27" s="51">
        <f t="shared" si="144"/>
        <v>0</v>
      </c>
      <c r="CK27" s="51" t="str">
        <f t="shared" si="145"/>
        <v/>
      </c>
      <c r="CL27" s="51">
        <v>31.866742857142857</v>
      </c>
      <c r="CM27" s="51" t="s">
        <v>277</v>
      </c>
      <c r="CN27" s="51">
        <f t="shared" si="113"/>
        <v>0</v>
      </c>
      <c r="CO27" s="51" t="str">
        <f t="shared" si="114"/>
        <v/>
      </c>
      <c r="CP27" s="51">
        <v>33.335542857142855</v>
      </c>
      <c r="CQ27" s="51" t="s">
        <v>277</v>
      </c>
      <c r="CR27" s="51">
        <f t="shared" si="46"/>
        <v>0</v>
      </c>
      <c r="CS27" s="51" t="str">
        <f t="shared" si="47"/>
        <v/>
      </c>
      <c r="CT27" s="51">
        <v>29.132342857142863</v>
      </c>
      <c r="CU27" s="230" t="s">
        <v>277</v>
      </c>
      <c r="CV27" s="51">
        <f t="shared" si="48"/>
        <v>0</v>
      </c>
      <c r="CW27" s="51" t="str">
        <f t="shared" si="49"/>
        <v/>
      </c>
      <c r="CX27" s="51">
        <v>28.480342857142862</v>
      </c>
      <c r="CY27" s="230" t="s">
        <v>277</v>
      </c>
      <c r="CZ27" s="51">
        <f t="shared" si="115"/>
        <v>0</v>
      </c>
      <c r="DA27" s="51" t="str">
        <f t="shared" si="116"/>
        <v/>
      </c>
      <c r="DB27" s="51">
        <v>26.032342857142861</v>
      </c>
      <c r="DC27" s="230" t="s">
        <v>277</v>
      </c>
      <c r="DD27" s="51">
        <f t="shared" si="52"/>
        <v>0</v>
      </c>
      <c r="DE27" s="51" t="str">
        <f t="shared" si="53"/>
        <v/>
      </c>
      <c r="DF27" s="51">
        <v>29.908342857142859</v>
      </c>
      <c r="DG27" s="230" t="s">
        <v>277</v>
      </c>
      <c r="DH27" s="51">
        <f t="shared" si="54"/>
        <v>0</v>
      </c>
      <c r="DI27" s="51" t="str">
        <f t="shared" si="55"/>
        <v/>
      </c>
      <c r="DJ27" s="51">
        <v>37.45634285714285</v>
      </c>
      <c r="DK27" s="51" t="s">
        <v>277</v>
      </c>
      <c r="DL27" s="51">
        <f t="shared" si="56"/>
        <v>0</v>
      </c>
      <c r="DM27" s="51" t="str">
        <f t="shared" si="57"/>
        <v/>
      </c>
      <c r="DN27" s="51">
        <v>29.296342857142864</v>
      </c>
      <c r="DO27" s="51" t="s">
        <v>277</v>
      </c>
      <c r="DP27" s="51">
        <f t="shared" si="58"/>
        <v>0</v>
      </c>
      <c r="DQ27" s="51" t="str">
        <f t="shared" si="59"/>
        <v/>
      </c>
      <c r="DR27" s="51">
        <v>29.296342857142861</v>
      </c>
      <c r="DS27" s="51" t="s">
        <v>277</v>
      </c>
      <c r="DT27" s="51">
        <f t="shared" si="60"/>
        <v>0</v>
      </c>
      <c r="DU27" s="51" t="str">
        <f t="shared" si="61"/>
        <v/>
      </c>
      <c r="DV27" s="51">
        <v>28.480342857142862</v>
      </c>
      <c r="DW27" s="230" t="s">
        <v>277</v>
      </c>
      <c r="DX27" s="51">
        <f t="shared" si="62"/>
        <v>0</v>
      </c>
      <c r="DY27" s="51" t="str">
        <f t="shared" si="63"/>
        <v/>
      </c>
      <c r="DZ27" s="51">
        <v>28.929142857142864</v>
      </c>
      <c r="EA27" s="51" t="s">
        <v>277</v>
      </c>
      <c r="EB27" s="51">
        <f t="shared" si="64"/>
        <v>0</v>
      </c>
      <c r="EC27" s="51" t="str">
        <f t="shared" si="65"/>
        <v/>
      </c>
      <c r="ED27" s="51">
        <v>36.273142857142865</v>
      </c>
      <c r="EE27" s="51" t="s">
        <v>277</v>
      </c>
      <c r="EF27" s="51">
        <f t="shared" si="66"/>
        <v>0</v>
      </c>
      <c r="EG27" s="51" t="str">
        <f t="shared" si="67"/>
        <v/>
      </c>
      <c r="EH27" s="51">
        <v>27.093142857142865</v>
      </c>
      <c r="EI27" s="230" t="s">
        <v>277</v>
      </c>
      <c r="EJ27" s="250">
        <f t="shared" si="68"/>
        <v>0</v>
      </c>
      <c r="EK27" s="51" t="str">
        <f t="shared" si="69"/>
        <v/>
      </c>
      <c r="EL27" s="51">
        <v>35.457142857142863</v>
      </c>
      <c r="EM27" s="250" t="s">
        <v>277</v>
      </c>
      <c r="EN27" s="230">
        <f t="shared" si="70"/>
        <v>0</v>
      </c>
      <c r="EO27" s="51" t="str">
        <f t="shared" si="71"/>
        <v/>
      </c>
      <c r="EP27" s="51">
        <v>32.193714285714286</v>
      </c>
      <c r="EQ27" s="230" t="s">
        <v>277</v>
      </c>
      <c r="ER27" s="51">
        <f t="shared" si="72"/>
        <v>0</v>
      </c>
      <c r="ES27" s="51" t="str">
        <f t="shared" si="73"/>
        <v/>
      </c>
      <c r="ET27" s="51">
        <v>34.233714285714285</v>
      </c>
      <c r="EU27" s="230" t="s">
        <v>277</v>
      </c>
      <c r="EV27" s="51">
        <f t="shared" si="117"/>
        <v>0</v>
      </c>
      <c r="EW27" s="51" t="str">
        <f t="shared" si="75"/>
        <v/>
      </c>
      <c r="EX27" s="51">
        <v>34.029714285714292</v>
      </c>
      <c r="EY27" s="51" t="s">
        <v>277</v>
      </c>
      <c r="EZ27" s="51">
        <f t="shared" si="76"/>
        <v>0</v>
      </c>
      <c r="FA27" s="51" t="str">
        <f t="shared" si="77"/>
        <v/>
      </c>
      <c r="FB27" s="51">
        <v>32.397714285714287</v>
      </c>
      <c r="FC27" s="51" t="s">
        <v>277</v>
      </c>
      <c r="FD27" s="51">
        <f t="shared" si="78"/>
        <v>0</v>
      </c>
      <c r="FE27" s="51" t="str">
        <f t="shared" si="79"/>
        <v/>
      </c>
      <c r="FF27" s="51">
        <v>41.292114285714291</v>
      </c>
      <c r="FG27" s="51" t="s">
        <v>277</v>
      </c>
      <c r="FH27" s="51">
        <f t="shared" si="146"/>
        <v>0</v>
      </c>
      <c r="FI27" s="51" t="str">
        <f t="shared" si="147"/>
        <v/>
      </c>
      <c r="FJ27" s="51">
        <v>36.069714285714291</v>
      </c>
      <c r="FK27" s="230" t="s">
        <v>277</v>
      </c>
      <c r="FL27" s="51">
        <f t="shared" si="82"/>
        <v>0</v>
      </c>
      <c r="FM27" s="51" t="str">
        <f t="shared" si="83"/>
        <v/>
      </c>
      <c r="FN27" s="51">
        <v>31.520628571428574</v>
      </c>
      <c r="FO27" s="51"/>
      <c r="FP27" s="51"/>
      <c r="FQ27" s="51"/>
      <c r="FR27" s="51">
        <f t="shared" si="118"/>
        <v>0</v>
      </c>
      <c r="FS27" s="14">
        <f t="shared" si="119"/>
        <v>0</v>
      </c>
      <c r="FT27">
        <f t="shared" si="120"/>
        <v>0</v>
      </c>
      <c r="FV27" s="215">
        <f t="shared" si="84"/>
        <v>0</v>
      </c>
      <c r="FW27" s="215">
        <f t="shared" si="85"/>
        <v>0</v>
      </c>
      <c r="FX27" s="215">
        <f t="shared" si="86"/>
        <v>0</v>
      </c>
      <c r="FY27" s="215">
        <f t="shared" si="87"/>
        <v>0</v>
      </c>
      <c r="FZ27" s="215">
        <f t="shared" si="88"/>
        <v>0</v>
      </c>
      <c r="GA27" s="215">
        <f t="shared" si="89"/>
        <v>0</v>
      </c>
      <c r="GB27" s="215">
        <f t="shared" si="90"/>
        <v>0</v>
      </c>
      <c r="GC27" s="215">
        <f t="shared" si="91"/>
        <v>0</v>
      </c>
      <c r="GD27" s="215">
        <f t="shared" si="92"/>
        <v>0</v>
      </c>
      <c r="GE27" s="215">
        <f t="shared" si="93"/>
        <v>0</v>
      </c>
      <c r="GF27" s="215">
        <f t="shared" si="94"/>
        <v>0</v>
      </c>
      <c r="GG27" s="215">
        <f t="shared" si="95"/>
        <v>0</v>
      </c>
      <c r="GH27" s="215">
        <f t="shared" si="96"/>
        <v>0</v>
      </c>
      <c r="GI27" s="215">
        <f t="shared" si="97"/>
        <v>0</v>
      </c>
      <c r="GJ27" s="215">
        <f t="shared" si="98"/>
        <v>0</v>
      </c>
      <c r="GK27" s="215">
        <f t="shared" si="99"/>
        <v>0</v>
      </c>
      <c r="GL27" s="215">
        <f t="shared" si="100"/>
        <v>0</v>
      </c>
      <c r="GM27" s="215">
        <f t="shared" si="101"/>
        <v>0</v>
      </c>
      <c r="GN27" s="215">
        <f t="shared" si="102"/>
        <v>0</v>
      </c>
      <c r="GO27" s="215">
        <f t="shared" si="103"/>
        <v>0</v>
      </c>
      <c r="GP27" s="215">
        <f t="shared" si="104"/>
        <v>0</v>
      </c>
      <c r="GQ27" s="215">
        <f t="shared" si="105"/>
        <v>0</v>
      </c>
      <c r="GR27" s="215">
        <f t="shared" si="106"/>
        <v>0</v>
      </c>
      <c r="GS27" s="215">
        <f t="shared" si="121"/>
        <v>0</v>
      </c>
      <c r="GT27" s="215">
        <f t="shared" si="122"/>
        <v>0</v>
      </c>
      <c r="GU27" s="215">
        <f t="shared" si="123"/>
        <v>0</v>
      </c>
      <c r="GV27" s="215">
        <f t="shared" si="124"/>
        <v>0</v>
      </c>
      <c r="GW27" s="215">
        <f t="shared" si="125"/>
        <v>0</v>
      </c>
      <c r="GX27" s="215">
        <f t="shared" si="126"/>
        <v>0</v>
      </c>
      <c r="GY27" s="215">
        <f t="shared" si="127"/>
        <v>0</v>
      </c>
      <c r="GZ27" s="215">
        <f t="shared" si="128"/>
        <v>0</v>
      </c>
      <c r="HA27" s="215">
        <f t="shared" si="129"/>
        <v>0</v>
      </c>
      <c r="HB27" s="215">
        <f>(AR27+AV27+AZ27+BD27+BH27+BL27+BP27+BT27+BX27+CB27+CF27+CJ27+CN27+CR27+CV27+CZ27+DD27+DH27+DL27+DP27+DT27+DX27+EB27)*$FS$1</f>
        <v>0</v>
      </c>
      <c r="HC27" s="215">
        <f t="shared" si="131"/>
        <v>0</v>
      </c>
      <c r="HD27" s="215">
        <f t="shared" si="132"/>
        <v>0</v>
      </c>
      <c r="HE27" s="215">
        <f t="shared" si="133"/>
        <v>0</v>
      </c>
      <c r="HF27" s="215">
        <f t="shared" si="134"/>
        <v>0</v>
      </c>
      <c r="HG27" s="215">
        <f t="shared" si="135"/>
        <v>0</v>
      </c>
      <c r="HH27" s="215">
        <f t="shared" si="136"/>
        <v>0</v>
      </c>
      <c r="HI27" s="215">
        <f t="shared" si="137"/>
        <v>0</v>
      </c>
      <c r="HJ27" s="215">
        <f t="shared" si="138"/>
        <v>0</v>
      </c>
      <c r="HK27" s="215">
        <f t="shared" si="139"/>
        <v>0</v>
      </c>
      <c r="HL27" s="211">
        <f t="shared" si="140"/>
        <v>0</v>
      </c>
      <c r="HM27" s="51">
        <f t="shared" si="141"/>
        <v>0</v>
      </c>
    </row>
    <row r="28" spans="1:224">
      <c r="A28" s="49" t="s">
        <v>268</v>
      </c>
      <c r="B28" s="51">
        <v>11.613642857142857</v>
      </c>
      <c r="C28" s="51" t="s">
        <v>277</v>
      </c>
      <c r="D28" s="51">
        <f t="shared" si="0"/>
        <v>0</v>
      </c>
      <c r="E28" s="51" t="str">
        <f t="shared" si="1"/>
        <v/>
      </c>
      <c r="F28" s="51">
        <v>17.878642857142857</v>
      </c>
      <c r="G28" s="51" t="s">
        <v>277</v>
      </c>
      <c r="H28" s="51">
        <f t="shared" si="2"/>
        <v>0</v>
      </c>
      <c r="I28" s="51" t="str">
        <f t="shared" si="3"/>
        <v/>
      </c>
      <c r="J28" s="51">
        <v>13.417642857142857</v>
      </c>
      <c r="K28" s="51" t="s">
        <v>277</v>
      </c>
      <c r="L28" s="51">
        <f t="shared" si="4"/>
        <v>0</v>
      </c>
      <c r="M28" s="51" t="str">
        <f t="shared" si="5"/>
        <v/>
      </c>
      <c r="N28" s="51">
        <v>12.927642857142857</v>
      </c>
      <c r="O28" s="51" t="s">
        <v>277</v>
      </c>
      <c r="P28" s="51">
        <f t="shared" si="6"/>
        <v>0</v>
      </c>
      <c r="Q28" s="51" t="str">
        <f t="shared" si="7"/>
        <v/>
      </c>
      <c r="R28" s="51">
        <v>13.050142857142857</v>
      </c>
      <c r="S28" s="51" t="s">
        <v>277</v>
      </c>
      <c r="T28" s="51">
        <f t="shared" si="8"/>
        <v>0</v>
      </c>
      <c r="U28" s="51" t="str">
        <f t="shared" si="9"/>
        <v/>
      </c>
      <c r="V28" s="51">
        <v>13.834142857142858</v>
      </c>
      <c r="W28" s="51" t="s">
        <v>277</v>
      </c>
      <c r="X28" s="51">
        <f t="shared" si="10"/>
        <v>0</v>
      </c>
      <c r="Y28" s="51" t="str">
        <f t="shared" si="11"/>
        <v/>
      </c>
      <c r="Z28" s="51">
        <v>13.785142857142857</v>
      </c>
      <c r="AA28" s="51" t="s">
        <v>277</v>
      </c>
      <c r="AB28" s="51">
        <f t="shared" si="12"/>
        <v>0</v>
      </c>
      <c r="AC28" s="51" t="str">
        <f t="shared" si="13"/>
        <v/>
      </c>
      <c r="AD28" s="51">
        <v>14.324142857142858</v>
      </c>
      <c r="AE28" s="51" t="s">
        <v>277</v>
      </c>
      <c r="AF28" s="51">
        <f t="shared" si="14"/>
        <v>0</v>
      </c>
      <c r="AG28" s="51" t="str">
        <f t="shared" si="15"/>
        <v/>
      </c>
      <c r="AH28" s="51">
        <v>14.079142857142857</v>
      </c>
      <c r="AI28" s="51" t="s">
        <v>277</v>
      </c>
      <c r="AJ28" s="51">
        <f t="shared" si="16"/>
        <v>0</v>
      </c>
      <c r="AK28" s="51" t="str">
        <f t="shared" si="17"/>
        <v/>
      </c>
      <c r="AL28" s="51">
        <v>16.529142857142858</v>
      </c>
      <c r="AM28" s="51" t="s">
        <v>277</v>
      </c>
      <c r="AN28" s="51">
        <f t="shared" si="18"/>
        <v>0</v>
      </c>
      <c r="AO28" s="51" t="str">
        <f t="shared" si="19"/>
        <v/>
      </c>
      <c r="AP28" s="51">
        <v>14.569142857142857</v>
      </c>
      <c r="AQ28" s="51" t="s">
        <v>277</v>
      </c>
      <c r="AR28" s="51">
        <f t="shared" si="20"/>
        <v>0</v>
      </c>
      <c r="AS28" s="51" t="str">
        <f t="shared" si="21"/>
        <v/>
      </c>
      <c r="AT28" s="51">
        <v>24.67935714285715</v>
      </c>
      <c r="AU28" s="51" t="s">
        <v>277</v>
      </c>
      <c r="AV28" s="51">
        <f t="shared" si="22"/>
        <v>0</v>
      </c>
      <c r="AW28" s="51" t="str">
        <f t="shared" si="23"/>
        <v/>
      </c>
      <c r="AX28" s="51">
        <v>23.291142857142862</v>
      </c>
      <c r="AY28" s="51" t="s">
        <v>277</v>
      </c>
      <c r="AZ28" s="51">
        <f t="shared" si="24"/>
        <v>0</v>
      </c>
      <c r="BA28" s="51" t="str">
        <f t="shared" si="25"/>
        <v/>
      </c>
      <c r="BB28" s="51">
        <v>18.023642857142857</v>
      </c>
      <c r="BC28" s="51" t="s">
        <v>277</v>
      </c>
      <c r="BD28" s="51">
        <f t="shared" si="107"/>
        <v>0</v>
      </c>
      <c r="BE28" s="51" t="str">
        <f t="shared" si="108"/>
        <v/>
      </c>
      <c r="BF28" s="51">
        <v>16.700642857142856</v>
      </c>
      <c r="BG28" s="51" t="s">
        <v>277</v>
      </c>
      <c r="BH28" s="51">
        <f t="shared" si="28"/>
        <v>0</v>
      </c>
      <c r="BI28" s="51" t="str">
        <f t="shared" si="29"/>
        <v/>
      </c>
      <c r="BJ28" s="51">
        <v>17.019142857142857</v>
      </c>
      <c r="BK28" s="51" t="s">
        <v>277</v>
      </c>
      <c r="BL28" s="51">
        <f t="shared" si="30"/>
        <v>0</v>
      </c>
      <c r="BM28" s="51" t="str">
        <f t="shared" si="31"/>
        <v/>
      </c>
      <c r="BN28" s="51">
        <v>20.141642857142855</v>
      </c>
      <c r="BO28" s="51" t="s">
        <v>277</v>
      </c>
      <c r="BP28" s="51">
        <f t="shared" si="32"/>
        <v>0</v>
      </c>
      <c r="BQ28" s="51" t="str">
        <f t="shared" si="33"/>
        <v/>
      </c>
      <c r="BR28" s="51">
        <v>21.061642857142854</v>
      </c>
      <c r="BS28" s="51" t="s">
        <v>277</v>
      </c>
      <c r="BT28" s="51">
        <f t="shared" si="34"/>
        <v>0</v>
      </c>
      <c r="BU28" s="51" t="str">
        <f t="shared" si="35"/>
        <v/>
      </c>
      <c r="BV28" s="51">
        <v>18.244142857142855</v>
      </c>
      <c r="BW28" s="51" t="s">
        <v>277</v>
      </c>
      <c r="BX28" s="51">
        <f t="shared" si="109"/>
        <v>0</v>
      </c>
      <c r="BY28" s="51" t="str">
        <f t="shared" si="110"/>
        <v/>
      </c>
      <c r="BZ28" s="51">
        <v>17.876642857142855</v>
      </c>
      <c r="CA28" s="51" t="s">
        <v>277</v>
      </c>
      <c r="CB28" s="51">
        <f t="shared" si="111"/>
        <v>0</v>
      </c>
      <c r="CC28" s="51" t="str">
        <f t="shared" si="112"/>
        <v/>
      </c>
      <c r="CD28" s="51">
        <v>16.651642857142857</v>
      </c>
      <c r="CE28" s="51" t="s">
        <v>277</v>
      </c>
      <c r="CF28" s="51">
        <f t="shared" si="40"/>
        <v>0</v>
      </c>
      <c r="CG28" s="51" t="str">
        <f t="shared" si="41"/>
        <v/>
      </c>
      <c r="CH28" s="51">
        <v>19.934642857142858</v>
      </c>
      <c r="CI28" s="51" t="s">
        <v>277</v>
      </c>
      <c r="CJ28" s="51">
        <f t="shared" si="144"/>
        <v>0</v>
      </c>
      <c r="CK28" s="51" t="str">
        <f t="shared" si="145"/>
        <v/>
      </c>
      <c r="CL28" s="51">
        <v>38.576142857142855</v>
      </c>
      <c r="CM28" s="51" t="s">
        <v>277</v>
      </c>
      <c r="CN28" s="51">
        <f t="shared" si="113"/>
        <v>0</v>
      </c>
      <c r="CO28" s="51" t="str">
        <f t="shared" si="114"/>
        <v/>
      </c>
      <c r="CP28" s="51">
        <v>22.45814285714286</v>
      </c>
      <c r="CQ28" s="51" t="s">
        <v>277</v>
      </c>
      <c r="CR28" s="51">
        <f t="shared" si="46"/>
        <v>0</v>
      </c>
      <c r="CS28" s="51" t="str">
        <f t="shared" si="47"/>
        <v/>
      </c>
      <c r="CT28" s="51">
        <v>19.135142857142856</v>
      </c>
      <c r="CU28" s="230" t="s">
        <v>277</v>
      </c>
      <c r="CV28" s="51">
        <f t="shared" si="48"/>
        <v>0</v>
      </c>
      <c r="CW28" s="51" t="str">
        <f t="shared" si="49"/>
        <v/>
      </c>
      <c r="CX28" s="51">
        <v>19.542642857142855</v>
      </c>
      <c r="CY28" s="230" t="s">
        <v>277</v>
      </c>
      <c r="CZ28" s="51">
        <f t="shared" si="115"/>
        <v>0</v>
      </c>
      <c r="DA28" s="51" t="str">
        <f t="shared" si="116"/>
        <v/>
      </c>
      <c r="DB28" s="51">
        <v>18.072642857142856</v>
      </c>
      <c r="DC28" s="230" t="s">
        <v>277</v>
      </c>
      <c r="DD28" s="51">
        <f t="shared" si="52"/>
        <v>0</v>
      </c>
      <c r="DE28" s="51" t="str">
        <f t="shared" si="53"/>
        <v/>
      </c>
      <c r="DF28" s="51">
        <v>20.400142857142857</v>
      </c>
      <c r="DG28" s="230" t="s">
        <v>277</v>
      </c>
      <c r="DH28" s="51">
        <f t="shared" si="54"/>
        <v>0</v>
      </c>
      <c r="DI28" s="51" t="str">
        <f t="shared" si="55"/>
        <v/>
      </c>
      <c r="DJ28" s="51">
        <v>24.932642857142859</v>
      </c>
      <c r="DK28" s="51" t="s">
        <v>277</v>
      </c>
      <c r="DL28" s="51">
        <f t="shared" si="56"/>
        <v>0</v>
      </c>
      <c r="DM28" s="51" t="str">
        <f t="shared" si="57"/>
        <v/>
      </c>
      <c r="DN28" s="51">
        <v>20.032642857142857</v>
      </c>
      <c r="DO28" s="51" t="s">
        <v>277</v>
      </c>
      <c r="DP28" s="51">
        <f t="shared" si="58"/>
        <v>0</v>
      </c>
      <c r="DQ28" s="51" t="str">
        <f t="shared" si="59"/>
        <v/>
      </c>
      <c r="DR28" s="51">
        <v>20.032642857142854</v>
      </c>
      <c r="DS28" s="51" t="s">
        <v>277</v>
      </c>
      <c r="DT28" s="51">
        <f t="shared" si="60"/>
        <v>0</v>
      </c>
      <c r="DU28" s="51" t="str">
        <f t="shared" si="61"/>
        <v/>
      </c>
      <c r="DV28" s="51">
        <v>19.542642857142855</v>
      </c>
      <c r="DW28" s="230" t="s">
        <v>277</v>
      </c>
      <c r="DX28" s="51">
        <f t="shared" si="62"/>
        <v>0</v>
      </c>
      <c r="DY28" s="51" t="str">
        <f t="shared" si="63"/>
        <v/>
      </c>
      <c r="DZ28" s="51">
        <v>24.312142857142859</v>
      </c>
      <c r="EA28" s="51" t="s">
        <v>277</v>
      </c>
      <c r="EB28" s="51">
        <f t="shared" si="64"/>
        <v>0</v>
      </c>
      <c r="EC28" s="51" t="str">
        <f t="shared" si="65"/>
        <v/>
      </c>
      <c r="ED28" s="51">
        <v>24.22214285714286</v>
      </c>
      <c r="EE28" s="51" t="s">
        <v>277</v>
      </c>
      <c r="EF28" s="51">
        <f t="shared" si="66"/>
        <v>0</v>
      </c>
      <c r="EG28" s="51" t="str">
        <f t="shared" si="67"/>
        <v/>
      </c>
      <c r="EH28" s="51">
        <v>18.709642857142857</v>
      </c>
      <c r="EI28" s="230" t="s">
        <v>277</v>
      </c>
      <c r="EJ28" s="250">
        <f t="shared" si="68"/>
        <v>0</v>
      </c>
      <c r="EK28" s="51" t="str">
        <f t="shared" si="69"/>
        <v/>
      </c>
      <c r="EL28" s="51">
        <v>23.732142857142861</v>
      </c>
      <c r="EM28" s="250" t="s">
        <v>277</v>
      </c>
      <c r="EN28" s="230">
        <f t="shared" si="70"/>
        <v>0</v>
      </c>
      <c r="EO28" s="51" t="str">
        <f t="shared" si="71"/>
        <v/>
      </c>
      <c r="EP28" s="51">
        <v>22.343214285714286</v>
      </c>
      <c r="EQ28" s="230" t="s">
        <v>277</v>
      </c>
      <c r="ER28" s="51">
        <f t="shared" si="72"/>
        <v>0</v>
      </c>
      <c r="ES28" s="51" t="str">
        <f t="shared" si="73"/>
        <v/>
      </c>
      <c r="ET28" s="51">
        <v>23.568214285714287</v>
      </c>
      <c r="EU28" s="230" t="s">
        <v>277</v>
      </c>
      <c r="EV28" s="51">
        <f t="shared" si="117"/>
        <v>0</v>
      </c>
      <c r="EW28" s="51" t="str">
        <f t="shared" si="75"/>
        <v/>
      </c>
      <c r="EX28" s="51">
        <v>23.445714285714288</v>
      </c>
      <c r="EY28" s="51"/>
      <c r="EZ28" s="51">
        <f t="shared" si="76"/>
        <v>23.445714285714288</v>
      </c>
      <c r="FA28" s="51" t="str">
        <f t="shared" si="77"/>
        <v>Debe</v>
      </c>
      <c r="FB28" s="51">
        <v>27.465714285714284</v>
      </c>
      <c r="FC28" s="51"/>
      <c r="FD28" s="51">
        <f t="shared" si="78"/>
        <v>27.465714285714284</v>
      </c>
      <c r="FE28" s="51" t="str">
        <f t="shared" si="79"/>
        <v>Debe</v>
      </c>
      <c r="FF28" s="51">
        <v>27.806714285714285</v>
      </c>
      <c r="FG28" s="51"/>
      <c r="FH28" s="51">
        <f t="shared" si="146"/>
        <v>27.806714285714285</v>
      </c>
      <c r="FI28" s="51" t="str">
        <f t="shared" si="147"/>
        <v>Debe</v>
      </c>
      <c r="FJ28" s="51">
        <v>24.670714285714286</v>
      </c>
      <c r="FK28" s="230"/>
      <c r="FL28" s="51">
        <f t="shared" si="82"/>
        <v>24.670714285714286</v>
      </c>
      <c r="FM28" s="51" t="str">
        <f t="shared" si="83"/>
        <v>Debe</v>
      </c>
      <c r="FN28" s="51">
        <v>22.053178571428571</v>
      </c>
      <c r="FO28" s="51"/>
      <c r="FP28" s="51"/>
      <c r="FQ28" s="51"/>
      <c r="FR28" s="51">
        <f t="shared" si="118"/>
        <v>103.38885714285713</v>
      </c>
      <c r="FS28" s="14">
        <f t="shared" si="119"/>
        <v>41045.376285714279</v>
      </c>
      <c r="FT28">
        <f t="shared" si="120"/>
        <v>4</v>
      </c>
      <c r="FV28" s="215">
        <f t="shared" si="84"/>
        <v>0</v>
      </c>
      <c r="FW28" s="215">
        <f t="shared" si="85"/>
        <v>0</v>
      </c>
      <c r="FX28" s="215">
        <f t="shared" si="86"/>
        <v>0</v>
      </c>
      <c r="FY28" s="215">
        <f t="shared" si="87"/>
        <v>0</v>
      </c>
      <c r="FZ28" s="215">
        <f t="shared" si="88"/>
        <v>0</v>
      </c>
      <c r="GA28" s="215">
        <f t="shared" si="89"/>
        <v>0</v>
      </c>
      <c r="GB28" s="215">
        <f t="shared" si="90"/>
        <v>0</v>
      </c>
      <c r="GC28" s="215">
        <f t="shared" si="91"/>
        <v>0</v>
      </c>
      <c r="GD28" s="215">
        <f t="shared" si="92"/>
        <v>0</v>
      </c>
      <c r="GE28" s="215">
        <f t="shared" si="93"/>
        <v>0</v>
      </c>
      <c r="GF28" s="215">
        <f t="shared" si="94"/>
        <v>0</v>
      </c>
      <c r="GG28" s="215">
        <f t="shared" si="95"/>
        <v>0</v>
      </c>
      <c r="GH28" s="215">
        <f t="shared" si="96"/>
        <v>0</v>
      </c>
      <c r="GI28" s="215">
        <f t="shared" si="97"/>
        <v>0</v>
      </c>
      <c r="GJ28" s="215">
        <f t="shared" si="98"/>
        <v>0</v>
      </c>
      <c r="GK28" s="215">
        <f t="shared" si="99"/>
        <v>0</v>
      </c>
      <c r="GL28" s="215">
        <f t="shared" si="100"/>
        <v>0</v>
      </c>
      <c r="GM28" s="215">
        <f t="shared" si="101"/>
        <v>0</v>
      </c>
      <c r="GN28" s="215">
        <f t="shared" si="102"/>
        <v>0</v>
      </c>
      <c r="GO28" s="215">
        <f t="shared" si="103"/>
        <v>0</v>
      </c>
      <c r="GP28" s="215">
        <f t="shared" si="104"/>
        <v>0</v>
      </c>
      <c r="GQ28" s="215">
        <f t="shared" si="105"/>
        <v>0</v>
      </c>
      <c r="GR28" s="215">
        <f t="shared" si="106"/>
        <v>0</v>
      </c>
      <c r="GS28" s="215">
        <f t="shared" si="121"/>
        <v>0</v>
      </c>
      <c r="GT28" s="215">
        <f t="shared" si="122"/>
        <v>0</v>
      </c>
      <c r="GU28" s="215">
        <f t="shared" si="123"/>
        <v>0</v>
      </c>
      <c r="GV28" s="215">
        <f t="shared" si="124"/>
        <v>0</v>
      </c>
      <c r="GW28" s="215">
        <f t="shared" si="125"/>
        <v>0</v>
      </c>
      <c r="GX28" s="215">
        <f t="shared" si="126"/>
        <v>0</v>
      </c>
      <c r="GY28" s="215">
        <f t="shared" si="127"/>
        <v>0</v>
      </c>
      <c r="GZ28" s="215">
        <f t="shared" si="128"/>
        <v>0</v>
      </c>
      <c r="HA28" s="215">
        <f t="shared" si="129"/>
        <v>0</v>
      </c>
      <c r="HB28" s="215">
        <f t="shared" si="130"/>
        <v>0</v>
      </c>
      <c r="HC28" s="215">
        <f t="shared" si="131"/>
        <v>0</v>
      </c>
      <c r="HD28" s="215">
        <f t="shared" si="132"/>
        <v>0</v>
      </c>
      <c r="HE28" s="215">
        <f t="shared" si="133"/>
        <v>0</v>
      </c>
      <c r="HF28" s="215">
        <f t="shared" si="134"/>
        <v>0</v>
      </c>
      <c r="HG28" s="215">
        <f t="shared" si="135"/>
        <v>0</v>
      </c>
      <c r="HH28" s="215">
        <f t="shared" si="136"/>
        <v>5.8614285714285723E-2</v>
      </c>
      <c r="HI28" s="215">
        <f t="shared" si="137"/>
        <v>0.12727857142857144</v>
      </c>
      <c r="HJ28" s="215">
        <f t="shared" si="138"/>
        <v>0.19679535714285712</v>
      </c>
      <c r="HK28" s="215">
        <f t="shared" si="139"/>
        <v>0.25847214285714282</v>
      </c>
      <c r="HL28" s="211">
        <f t="shared" si="140"/>
        <v>0.64116035714285713</v>
      </c>
      <c r="HM28" s="51">
        <f t="shared" si="141"/>
        <v>104.03001749999999</v>
      </c>
    </row>
    <row r="29" spans="1:224">
      <c r="A29" s="49" t="s">
        <v>270</v>
      </c>
      <c r="B29" s="51">
        <v>49.848842857142856</v>
      </c>
      <c r="C29" s="51" t="s">
        <v>277</v>
      </c>
      <c r="D29" s="51">
        <f t="shared" si="0"/>
        <v>0</v>
      </c>
      <c r="E29" s="51" t="str">
        <f t="shared" si="1"/>
        <v/>
      </c>
      <c r="F29" s="51">
        <v>20.82584285714286</v>
      </c>
      <c r="G29" s="51" t="s">
        <v>277</v>
      </c>
      <c r="H29" s="51">
        <f t="shared" si="2"/>
        <v>0</v>
      </c>
      <c r="I29" s="51" t="str">
        <f t="shared" si="3"/>
        <v/>
      </c>
      <c r="J29" s="51">
        <v>16.576042857142859</v>
      </c>
      <c r="K29" s="51" t="s">
        <v>277</v>
      </c>
      <c r="L29" s="51">
        <f t="shared" si="4"/>
        <v>0</v>
      </c>
      <c r="M29" s="51" t="str">
        <f t="shared" si="5"/>
        <v/>
      </c>
      <c r="N29" s="51">
        <v>15.894042857142859</v>
      </c>
      <c r="O29" s="51" t="s">
        <v>277</v>
      </c>
      <c r="P29" s="51">
        <f t="shared" si="6"/>
        <v>0</v>
      </c>
      <c r="Q29" s="51" t="str">
        <f t="shared" si="7"/>
        <v/>
      </c>
      <c r="R29" s="51">
        <v>16.064542857142861</v>
      </c>
      <c r="S29" s="51" t="s">
        <v>277</v>
      </c>
      <c r="T29" s="51">
        <f t="shared" si="8"/>
        <v>0</v>
      </c>
      <c r="U29" s="51" t="str">
        <f t="shared" si="9"/>
        <v/>
      </c>
      <c r="V29" s="51">
        <v>17.155742857142855</v>
      </c>
      <c r="W29" s="51" t="s">
        <v>277</v>
      </c>
      <c r="X29" s="51">
        <f t="shared" si="10"/>
        <v>0</v>
      </c>
      <c r="Y29" s="51" t="str">
        <f t="shared" si="11"/>
        <v/>
      </c>
      <c r="Z29" s="51">
        <v>17.087542857142857</v>
      </c>
      <c r="AA29" s="51" t="s">
        <v>277</v>
      </c>
      <c r="AB29" s="51">
        <f t="shared" si="12"/>
        <v>0</v>
      </c>
      <c r="AC29" s="51" t="str">
        <f t="shared" si="13"/>
        <v/>
      </c>
      <c r="AD29" s="51">
        <v>17.837742857142857</v>
      </c>
      <c r="AE29" s="51" t="s">
        <v>277</v>
      </c>
      <c r="AF29" s="51">
        <f t="shared" si="14"/>
        <v>0</v>
      </c>
      <c r="AG29" s="51" t="str">
        <f t="shared" si="15"/>
        <v/>
      </c>
      <c r="AH29" s="51">
        <v>17.496742857142856</v>
      </c>
      <c r="AI29" s="51" t="s">
        <v>277</v>
      </c>
      <c r="AJ29" s="51">
        <f t="shared" si="16"/>
        <v>0</v>
      </c>
      <c r="AK29" s="51" t="str">
        <f t="shared" si="17"/>
        <v/>
      </c>
      <c r="AL29" s="51">
        <v>20.906742857142856</v>
      </c>
      <c r="AM29" s="51" t="s">
        <v>277</v>
      </c>
      <c r="AN29" s="51">
        <f t="shared" si="18"/>
        <v>0</v>
      </c>
      <c r="AO29" s="51" t="str">
        <f t="shared" si="19"/>
        <v/>
      </c>
      <c r="AP29" s="51">
        <v>18.178742857142858</v>
      </c>
      <c r="AQ29" s="51" t="s">
        <v>277</v>
      </c>
      <c r="AR29" s="51">
        <f t="shared" si="20"/>
        <v>0</v>
      </c>
      <c r="AS29" s="51" t="str">
        <f t="shared" si="21"/>
        <v/>
      </c>
      <c r="AT29" s="51">
        <v>32.193842857142855</v>
      </c>
      <c r="AU29" s="51" t="s">
        <v>277</v>
      </c>
      <c r="AV29" s="51">
        <f t="shared" si="22"/>
        <v>0</v>
      </c>
      <c r="AW29" s="51" t="str">
        <f t="shared" si="23"/>
        <v/>
      </c>
      <c r="AX29" s="51">
        <v>30.318342857142852</v>
      </c>
      <c r="AY29" s="51" t="s">
        <v>277</v>
      </c>
      <c r="AZ29" s="51">
        <f t="shared" si="24"/>
        <v>0</v>
      </c>
      <c r="BA29" s="51" t="str">
        <f t="shared" si="25"/>
        <v/>
      </c>
      <c r="BB29" s="51">
        <v>22.986842857142857</v>
      </c>
      <c r="BC29" s="51" t="s">
        <v>277</v>
      </c>
      <c r="BD29" s="51">
        <f t="shared" si="107"/>
        <v>0</v>
      </c>
      <c r="BE29" s="51" t="str">
        <f t="shared" si="108"/>
        <v/>
      </c>
      <c r="BF29" s="51">
        <v>21.145442857142854</v>
      </c>
      <c r="BG29" s="51" t="s">
        <v>277</v>
      </c>
      <c r="BH29" s="51">
        <f t="shared" si="28"/>
        <v>0</v>
      </c>
      <c r="BI29" s="51" t="str">
        <f t="shared" si="29"/>
        <v/>
      </c>
      <c r="BJ29" s="51">
        <v>21.588742857142854</v>
      </c>
      <c r="BK29" s="51" t="s">
        <v>277</v>
      </c>
      <c r="BL29" s="51">
        <f t="shared" si="30"/>
        <v>0</v>
      </c>
      <c r="BM29" s="51" t="str">
        <f t="shared" si="31"/>
        <v/>
      </c>
      <c r="BN29" s="51">
        <v>24.759242857142855</v>
      </c>
      <c r="BO29" s="51" t="s">
        <v>277</v>
      </c>
      <c r="BP29" s="51">
        <f t="shared" si="32"/>
        <v>0</v>
      </c>
      <c r="BQ29" s="51" t="str">
        <f t="shared" si="33"/>
        <v/>
      </c>
      <c r="BR29" s="51">
        <v>27.215242857142854</v>
      </c>
      <c r="BS29" s="51" t="s">
        <v>277</v>
      </c>
      <c r="BT29" s="51">
        <f t="shared" si="34"/>
        <v>0</v>
      </c>
      <c r="BU29" s="51" t="str">
        <f t="shared" si="35"/>
        <v/>
      </c>
      <c r="BV29" s="51">
        <v>23.293742857142853</v>
      </c>
      <c r="BW29" s="51" t="s">
        <v>277</v>
      </c>
      <c r="BX29" s="51">
        <f t="shared" si="109"/>
        <v>0</v>
      </c>
      <c r="BY29" s="51" t="str">
        <f t="shared" si="110"/>
        <v/>
      </c>
      <c r="BZ29" s="51">
        <v>22.782242857142855</v>
      </c>
      <c r="CA29" s="51" t="s">
        <v>277</v>
      </c>
      <c r="CB29" s="51">
        <f t="shared" si="111"/>
        <v>0</v>
      </c>
      <c r="CC29" s="51" t="str">
        <f t="shared" si="112"/>
        <v/>
      </c>
      <c r="CD29" s="51">
        <v>21.077242857142856</v>
      </c>
      <c r="CE29" s="51" t="s">
        <v>277</v>
      </c>
      <c r="CF29" s="51">
        <f t="shared" si="40"/>
        <v>0</v>
      </c>
      <c r="CG29" s="51" t="str">
        <f t="shared" si="41"/>
        <v/>
      </c>
      <c r="CH29" s="51">
        <v>25.646642857142854</v>
      </c>
      <c r="CI29" s="51" t="s">
        <v>277</v>
      </c>
      <c r="CJ29" s="51">
        <f t="shared" si="144"/>
        <v>0</v>
      </c>
      <c r="CK29" s="51" t="str">
        <f t="shared" si="145"/>
        <v/>
      </c>
      <c r="CL29" s="51">
        <v>27.931342857142855</v>
      </c>
      <c r="CM29" s="51" t="s">
        <v>277</v>
      </c>
      <c r="CN29" s="51">
        <f t="shared" si="113"/>
        <v>0</v>
      </c>
      <c r="CO29" s="51" t="str">
        <f t="shared" si="114"/>
        <v/>
      </c>
      <c r="CP29" s="51">
        <v>29.158942857142858</v>
      </c>
      <c r="CQ29" s="51" t="s">
        <v>277</v>
      </c>
      <c r="CR29" s="51">
        <f t="shared" si="46"/>
        <v>0</v>
      </c>
      <c r="CS29" s="51" t="str">
        <f t="shared" si="47"/>
        <v/>
      </c>
      <c r="CT29" s="51">
        <v>25.317542857142858</v>
      </c>
      <c r="CU29" s="230" t="s">
        <v>277</v>
      </c>
      <c r="CV29" s="51">
        <f t="shared" si="48"/>
        <v>0</v>
      </c>
      <c r="CW29" s="51" t="str">
        <f t="shared" si="49"/>
        <v/>
      </c>
      <c r="CX29" s="51">
        <v>25.101042857142854</v>
      </c>
      <c r="CY29" s="230" t="s">
        <v>277</v>
      </c>
      <c r="CZ29" s="51">
        <f t="shared" si="115"/>
        <v>0</v>
      </c>
      <c r="DA29" s="51" t="str">
        <f t="shared" si="116"/>
        <v/>
      </c>
      <c r="DB29" s="51">
        <v>23.055042857142855</v>
      </c>
      <c r="DC29" s="230" t="s">
        <v>277</v>
      </c>
      <c r="DD29" s="51">
        <f t="shared" si="52"/>
        <v>0</v>
      </c>
      <c r="DE29" s="51" t="str">
        <f t="shared" si="53"/>
        <v/>
      </c>
      <c r="DF29" s="51">
        <v>26.294542857142854</v>
      </c>
      <c r="DG29" s="230" t="s">
        <v>277</v>
      </c>
      <c r="DH29" s="51">
        <f t="shared" si="54"/>
        <v>0</v>
      </c>
      <c r="DI29" s="51" t="str">
        <f t="shared" si="55"/>
        <v/>
      </c>
      <c r="DJ29" s="51">
        <v>32.603042857142853</v>
      </c>
      <c r="DK29" s="51" t="s">
        <v>277</v>
      </c>
      <c r="DL29" s="51">
        <f t="shared" si="56"/>
        <v>0</v>
      </c>
      <c r="DM29" s="51" t="str">
        <f t="shared" si="57"/>
        <v/>
      </c>
      <c r="DN29" s="51">
        <v>25.783042857142856</v>
      </c>
      <c r="DO29" s="51" t="s">
        <v>277</v>
      </c>
      <c r="DP29" s="51">
        <f t="shared" si="58"/>
        <v>0</v>
      </c>
      <c r="DQ29" s="51" t="str">
        <f t="shared" si="59"/>
        <v/>
      </c>
      <c r="DR29" s="51">
        <v>25.783042857142856</v>
      </c>
      <c r="DS29" s="51" t="s">
        <v>277</v>
      </c>
      <c r="DT29" s="51">
        <f t="shared" si="60"/>
        <v>0</v>
      </c>
      <c r="DU29" s="51" t="str">
        <f t="shared" si="61"/>
        <v/>
      </c>
      <c r="DV29" s="51">
        <v>25.101042857142858</v>
      </c>
      <c r="DW29" s="230" t="s">
        <v>277</v>
      </c>
      <c r="DX29" s="51">
        <f t="shared" si="62"/>
        <v>0</v>
      </c>
      <c r="DY29" s="51" t="str">
        <f t="shared" si="63"/>
        <v/>
      </c>
      <c r="DZ29" s="51">
        <v>29.976142857142857</v>
      </c>
      <c r="EA29" s="51" t="s">
        <v>277</v>
      </c>
      <c r="EB29" s="51">
        <f t="shared" si="64"/>
        <v>0</v>
      </c>
      <c r="EC29" s="51" t="str">
        <f t="shared" si="65"/>
        <v/>
      </c>
      <c r="ED29" s="51">
        <v>31.614142857142856</v>
      </c>
      <c r="EE29" s="51" t="s">
        <v>277</v>
      </c>
      <c r="EF29" s="51">
        <f t="shared" si="66"/>
        <v>0</v>
      </c>
      <c r="EG29" s="51" t="str">
        <f t="shared" si="67"/>
        <v/>
      </c>
      <c r="EH29" s="51">
        <v>23.94164285714286</v>
      </c>
      <c r="EI29" s="230" t="s">
        <v>277</v>
      </c>
      <c r="EJ29" s="250">
        <f t="shared" si="68"/>
        <v>0</v>
      </c>
      <c r="EK29" s="51" t="str">
        <f t="shared" si="69"/>
        <v/>
      </c>
      <c r="EL29" s="51">
        <v>30.93214285714286</v>
      </c>
      <c r="EM29" s="250" t="s">
        <v>277</v>
      </c>
      <c r="EN29" s="230">
        <f t="shared" si="70"/>
        <v>0</v>
      </c>
      <c r="EO29" s="51" t="str">
        <f t="shared" si="71"/>
        <v/>
      </c>
      <c r="EP29" s="51">
        <v>28.439214285714286</v>
      </c>
      <c r="EQ29" s="230" t="s">
        <v>277</v>
      </c>
      <c r="ER29" s="51">
        <f t="shared" si="72"/>
        <v>0</v>
      </c>
      <c r="ES29" s="51" t="str">
        <f t="shared" si="73"/>
        <v/>
      </c>
      <c r="ET29" s="51">
        <v>30.144214285714288</v>
      </c>
      <c r="EU29" s="230" t="s">
        <v>277</v>
      </c>
      <c r="EV29" s="51">
        <f t="shared" si="117"/>
        <v>0</v>
      </c>
      <c r="EW29" s="51" t="str">
        <f t="shared" si="75"/>
        <v/>
      </c>
      <c r="EX29" s="51">
        <v>29.973714285714284</v>
      </c>
      <c r="EY29" s="51" t="s">
        <v>277</v>
      </c>
      <c r="EZ29" s="51">
        <f t="shared" si="76"/>
        <v>0</v>
      </c>
      <c r="FA29" s="51" t="str">
        <f t="shared" si="77"/>
        <v/>
      </c>
      <c r="FB29" s="51">
        <v>33.60971428571429</v>
      </c>
      <c r="FC29" s="51" t="s">
        <v>277</v>
      </c>
      <c r="FD29" s="51">
        <f t="shared" si="78"/>
        <v>0</v>
      </c>
      <c r="FE29" s="51" t="str">
        <f t="shared" si="79"/>
        <v/>
      </c>
      <c r="FF29" s="51">
        <v>36.043514285714281</v>
      </c>
      <c r="FG29" s="51"/>
      <c r="FH29" s="51">
        <f t="shared" si="146"/>
        <v>36.043514285714281</v>
      </c>
      <c r="FI29" s="51" t="str">
        <f t="shared" si="147"/>
        <v>Debe</v>
      </c>
      <c r="FJ29" s="51">
        <v>31.678714285714285</v>
      </c>
      <c r="FK29" s="230"/>
      <c r="FL29" s="51">
        <f t="shared" si="82"/>
        <v>31.678714285714285</v>
      </c>
      <c r="FM29" s="51" t="str">
        <f t="shared" si="83"/>
        <v>Debe</v>
      </c>
      <c r="FN29" s="51">
        <v>27.923578571428568</v>
      </c>
      <c r="FO29" s="51"/>
      <c r="FP29" s="51"/>
      <c r="FQ29" s="51"/>
      <c r="FR29" s="51">
        <f t="shared" si="118"/>
        <v>67.722228571428559</v>
      </c>
      <c r="FS29" s="14">
        <f t="shared" si="119"/>
        <v>26885.724742857139</v>
      </c>
      <c r="FT29">
        <f t="shared" si="120"/>
        <v>2</v>
      </c>
      <c r="FV29" s="215">
        <f t="shared" si="84"/>
        <v>0</v>
      </c>
      <c r="FW29" s="215">
        <f t="shared" si="85"/>
        <v>0</v>
      </c>
      <c r="FX29" s="215">
        <f t="shared" si="86"/>
        <v>0</v>
      </c>
      <c r="FY29" s="215">
        <f t="shared" si="87"/>
        <v>0</v>
      </c>
      <c r="FZ29" s="215">
        <f t="shared" si="88"/>
        <v>0</v>
      </c>
      <c r="GA29" s="215">
        <f t="shared" si="89"/>
        <v>0</v>
      </c>
      <c r="GB29" s="215">
        <f t="shared" si="90"/>
        <v>0</v>
      </c>
      <c r="GC29" s="215">
        <f t="shared" si="91"/>
        <v>0</v>
      </c>
      <c r="GD29" s="215">
        <f t="shared" si="92"/>
        <v>0</v>
      </c>
      <c r="GE29" s="215">
        <f t="shared" si="93"/>
        <v>0</v>
      </c>
      <c r="GF29" s="215">
        <f t="shared" si="94"/>
        <v>0</v>
      </c>
      <c r="GG29" s="215">
        <f t="shared" si="95"/>
        <v>0</v>
      </c>
      <c r="GH29" s="215">
        <f t="shared" si="96"/>
        <v>0</v>
      </c>
      <c r="GI29" s="215">
        <f t="shared" si="97"/>
        <v>0</v>
      </c>
      <c r="GJ29" s="215">
        <f t="shared" si="98"/>
        <v>0</v>
      </c>
      <c r="GK29" s="215">
        <f t="shared" si="99"/>
        <v>0</v>
      </c>
      <c r="GL29" s="215">
        <f t="shared" si="100"/>
        <v>0</v>
      </c>
      <c r="GM29" s="215">
        <f t="shared" si="101"/>
        <v>0</v>
      </c>
      <c r="GN29" s="215">
        <f t="shared" si="102"/>
        <v>0</v>
      </c>
      <c r="GO29" s="215">
        <f t="shared" si="103"/>
        <v>0</v>
      </c>
      <c r="GP29" s="215">
        <f t="shared" si="104"/>
        <v>0</v>
      </c>
      <c r="GQ29" s="215">
        <f t="shared" si="105"/>
        <v>0</v>
      </c>
      <c r="GR29" s="215">
        <f t="shared" si="106"/>
        <v>0</v>
      </c>
      <c r="GS29" s="215">
        <f t="shared" si="121"/>
        <v>0</v>
      </c>
      <c r="GT29" s="215">
        <f t="shared" si="122"/>
        <v>0</v>
      </c>
      <c r="GU29" s="215">
        <f t="shared" si="123"/>
        <v>0</v>
      </c>
      <c r="GV29" s="215">
        <f t="shared" si="124"/>
        <v>0</v>
      </c>
      <c r="GW29" s="215">
        <f t="shared" si="125"/>
        <v>0</v>
      </c>
      <c r="GX29" s="215">
        <f t="shared" si="126"/>
        <v>0</v>
      </c>
      <c r="GY29" s="215">
        <f t="shared" si="127"/>
        <v>0</v>
      </c>
      <c r="GZ29" s="215">
        <f t="shared" si="128"/>
        <v>0</v>
      </c>
      <c r="HA29" s="215">
        <f t="shared" si="129"/>
        <v>0</v>
      </c>
      <c r="HB29" s="215">
        <f t="shared" si="130"/>
        <v>0</v>
      </c>
      <c r="HC29" s="215">
        <f t="shared" si="131"/>
        <v>0</v>
      </c>
      <c r="HD29" s="215">
        <f t="shared" si="132"/>
        <v>0</v>
      </c>
      <c r="HE29" s="215">
        <f t="shared" si="133"/>
        <v>0</v>
      </c>
      <c r="HF29" s="215">
        <f t="shared" si="134"/>
        <v>0</v>
      </c>
      <c r="HG29" s="215">
        <f t="shared" si="135"/>
        <v>0</v>
      </c>
      <c r="HH29" s="215">
        <f t="shared" si="136"/>
        <v>0</v>
      </c>
      <c r="HI29" s="215">
        <f t="shared" si="137"/>
        <v>0</v>
      </c>
      <c r="HJ29" s="215">
        <f t="shared" si="138"/>
        <v>9.0108785714285697E-2</v>
      </c>
      <c r="HK29" s="215">
        <f t="shared" si="139"/>
        <v>0.16930557142857139</v>
      </c>
      <c r="HL29" s="211">
        <f t="shared" si="140"/>
        <v>0.2594143571428571</v>
      </c>
      <c r="HM29" s="51">
        <f t="shared" si="141"/>
        <v>67.981642928571418</v>
      </c>
      <c r="HN29" s="215"/>
      <c r="HP29">
        <f>5/12</f>
        <v>0.41666666666666669</v>
      </c>
    </row>
    <row r="30" spans="1:224">
      <c r="A30" s="49" t="s">
        <v>272</v>
      </c>
      <c r="B30" s="51">
        <v>88.334242857142854</v>
      </c>
      <c r="C30" s="51" t="s">
        <v>277</v>
      </c>
      <c r="D30" s="51">
        <f t="shared" si="0"/>
        <v>0</v>
      </c>
      <c r="E30" s="51" t="str">
        <f t="shared" si="1"/>
        <v/>
      </c>
      <c r="F30" s="51">
        <v>55.885242857142856</v>
      </c>
      <c r="G30" s="51" t="s">
        <v>277</v>
      </c>
      <c r="H30" s="51">
        <f t="shared" si="2"/>
        <v>0</v>
      </c>
      <c r="I30" s="51" t="str">
        <f t="shared" si="3"/>
        <v/>
      </c>
      <c r="J30" s="51">
        <v>54.147842857142848</v>
      </c>
      <c r="K30" s="51" t="s">
        <v>277</v>
      </c>
      <c r="L30" s="51">
        <f t="shared" si="4"/>
        <v>0</v>
      </c>
      <c r="M30" s="51" t="str">
        <f t="shared" si="5"/>
        <v/>
      </c>
      <c r="N30" s="51">
        <v>51.181842857142854</v>
      </c>
      <c r="O30" s="51" t="s">
        <v>277</v>
      </c>
      <c r="P30" s="51">
        <f t="shared" si="6"/>
        <v>0</v>
      </c>
      <c r="Q30" s="51" t="str">
        <f t="shared" si="7"/>
        <v/>
      </c>
      <c r="R30" s="51">
        <v>51.923342857142849</v>
      </c>
      <c r="S30" s="51" t="s">
        <v>277</v>
      </c>
      <c r="T30" s="51">
        <f t="shared" si="8"/>
        <v>0</v>
      </c>
      <c r="U30" s="51" t="str">
        <f t="shared" si="9"/>
        <v/>
      </c>
      <c r="V30" s="51">
        <v>56.668942857142845</v>
      </c>
      <c r="W30" s="51" t="s">
        <v>277</v>
      </c>
      <c r="X30" s="51">
        <f t="shared" si="10"/>
        <v>0</v>
      </c>
      <c r="Y30" s="51" t="str">
        <f t="shared" si="11"/>
        <v/>
      </c>
      <c r="Z30" s="51">
        <v>56.372342857142847</v>
      </c>
      <c r="AA30" s="51" t="s">
        <v>277</v>
      </c>
      <c r="AB30" s="51">
        <f t="shared" si="12"/>
        <v>0</v>
      </c>
      <c r="AC30" s="51" t="str">
        <f t="shared" si="13"/>
        <v/>
      </c>
      <c r="AD30" s="51">
        <v>59.634942857142853</v>
      </c>
      <c r="AE30" s="51" t="s">
        <v>277</v>
      </c>
      <c r="AF30" s="51">
        <f t="shared" si="14"/>
        <v>0</v>
      </c>
      <c r="AG30" s="51" t="str">
        <f t="shared" si="15"/>
        <v/>
      </c>
      <c r="AH30" s="51">
        <v>58.151942857142849</v>
      </c>
      <c r="AI30" s="51" t="s">
        <v>277</v>
      </c>
      <c r="AJ30" s="51">
        <f t="shared" si="16"/>
        <v>0</v>
      </c>
      <c r="AK30" s="51" t="str">
        <f t="shared" si="17"/>
        <v/>
      </c>
      <c r="AL30" s="51">
        <v>72.981942857142855</v>
      </c>
      <c r="AM30" s="51" t="s">
        <v>277</v>
      </c>
      <c r="AN30" s="51">
        <f t="shared" si="18"/>
        <v>0</v>
      </c>
      <c r="AO30" s="51" t="str">
        <f t="shared" si="19"/>
        <v/>
      </c>
      <c r="AP30" s="206">
        <v>44.237942857142855</v>
      </c>
      <c r="AQ30" s="51"/>
      <c r="AR30" s="206">
        <f>IF(AQ30="",AP30,0)</f>
        <v>44.237942857142855</v>
      </c>
      <c r="AS30" s="51" t="str">
        <f t="shared" si="21"/>
        <v>Debe</v>
      </c>
      <c r="AT30" s="51">
        <v>130.29242857143001</v>
      </c>
      <c r="AU30" s="51"/>
      <c r="AV30" s="51">
        <f t="shared" si="22"/>
        <v>130.29242857143001</v>
      </c>
      <c r="AW30" s="51" t="str">
        <f t="shared" si="23"/>
        <v>Debe</v>
      </c>
      <c r="AX30" s="51">
        <v>122.13</v>
      </c>
      <c r="AY30" s="51"/>
      <c r="AZ30" s="51">
        <v>122.13</v>
      </c>
      <c r="BA30" s="51" t="str">
        <f t="shared" si="25"/>
        <v>Debe</v>
      </c>
      <c r="BB30" s="51">
        <v>82.028242857142857</v>
      </c>
      <c r="BC30" s="51"/>
      <c r="BD30" s="51">
        <f t="shared" si="107"/>
        <v>82.028242857142857</v>
      </c>
      <c r="BE30" s="51" t="str">
        <f t="shared" si="108"/>
        <v>Debe</v>
      </c>
      <c r="BF30" s="51">
        <v>74.020042857142855</v>
      </c>
      <c r="BG30" s="51"/>
      <c r="BH30" s="51">
        <f t="shared" si="28"/>
        <v>74.020042857142855</v>
      </c>
      <c r="BI30" s="51" t="str">
        <f t="shared" si="29"/>
        <v>Debe</v>
      </c>
      <c r="BJ30" s="51">
        <v>75.947942857142877</v>
      </c>
      <c r="BK30" s="51"/>
      <c r="BL30" s="51">
        <f t="shared" si="30"/>
        <v>75.947942857142877</v>
      </c>
      <c r="BM30" s="51" t="str">
        <f t="shared" si="31"/>
        <v>Debe</v>
      </c>
      <c r="BN30" s="51">
        <v>79.689442857142865</v>
      </c>
      <c r="BO30" s="51"/>
      <c r="BP30" s="51">
        <f t="shared" si="32"/>
        <v>79.689442857142865</v>
      </c>
      <c r="BQ30" s="51" t="str">
        <f t="shared" si="33"/>
        <v>Debe</v>
      </c>
      <c r="BR30" s="51">
        <v>100.41744285714287</v>
      </c>
      <c r="BS30" s="51"/>
      <c r="BT30" s="51">
        <f t="shared" si="34"/>
        <v>100.41744285714287</v>
      </c>
      <c r="BU30" s="51" t="str">
        <f t="shared" si="35"/>
        <v>Debe</v>
      </c>
      <c r="BV30" s="51">
        <v>83.362942857142869</v>
      </c>
      <c r="BW30" s="51"/>
      <c r="BX30" s="51">
        <f t="shared" si="109"/>
        <v>83.362942857142869</v>
      </c>
      <c r="BY30" s="51" t="str">
        <f t="shared" si="110"/>
        <v>Debe</v>
      </c>
      <c r="BZ30" s="51">
        <v>81.138442857142863</v>
      </c>
      <c r="CA30" s="51"/>
      <c r="CB30" s="51">
        <f t="shared" si="111"/>
        <v>81.138442857142863</v>
      </c>
      <c r="CC30" s="51" t="str">
        <f t="shared" si="112"/>
        <v>Debe</v>
      </c>
      <c r="CD30" s="51">
        <v>73.723442857142857</v>
      </c>
      <c r="CE30" s="51"/>
      <c r="CF30" s="51">
        <f t="shared" si="40"/>
        <v>73.723442857142857</v>
      </c>
      <c r="CG30" s="51" t="str">
        <f t="shared" si="41"/>
        <v>Debe</v>
      </c>
      <c r="CH30" s="51">
        <v>93.595642857142863</v>
      </c>
      <c r="CI30" s="51"/>
      <c r="CJ30" s="51">
        <f t="shared" si="144"/>
        <v>93.595642857142863</v>
      </c>
      <c r="CK30" s="51" t="str">
        <f t="shared" si="145"/>
        <v>Debe</v>
      </c>
      <c r="CL30" s="51">
        <v>120.53174285714287</v>
      </c>
      <c r="CM30" s="51"/>
      <c r="CN30" s="51">
        <f t="shared" si="113"/>
        <v>120.53174285714287</v>
      </c>
      <c r="CO30" s="51" t="str">
        <f t="shared" si="114"/>
        <v>Debe</v>
      </c>
      <c r="CP30" s="51">
        <v>108.87054285714287</v>
      </c>
      <c r="CQ30" s="51"/>
      <c r="CR30" s="51">
        <f t="shared" si="46"/>
        <v>108.87054285714287</v>
      </c>
      <c r="CS30" s="51" t="str">
        <f t="shared" si="47"/>
        <v>Debe</v>
      </c>
      <c r="CT30" s="51">
        <v>98.862342857142863</v>
      </c>
      <c r="CU30" s="230"/>
      <c r="CV30" s="51">
        <f t="shared" si="48"/>
        <v>98.862342857142863</v>
      </c>
      <c r="CW30" s="51" t="str">
        <f t="shared" si="49"/>
        <v>Debe</v>
      </c>
      <c r="CX30" s="51">
        <v>91.222842857142851</v>
      </c>
      <c r="CY30" s="230"/>
      <c r="CZ30" s="51">
        <f t="shared" si="115"/>
        <v>91.222842857142851</v>
      </c>
      <c r="DA30" s="51" t="str">
        <f t="shared" si="116"/>
        <v>Debe</v>
      </c>
      <c r="DB30" s="51">
        <v>82.324842857142855</v>
      </c>
      <c r="DC30" s="230"/>
      <c r="DD30" s="51">
        <f t="shared" si="52"/>
        <v>82.324842857142855</v>
      </c>
      <c r="DE30" s="51" t="str">
        <f t="shared" si="53"/>
        <v>Debe</v>
      </c>
      <c r="DF30" s="51">
        <v>96.413342857142865</v>
      </c>
      <c r="DG30" s="230"/>
      <c r="DH30" s="51">
        <f t="shared" si="54"/>
        <v>96.413342857142865</v>
      </c>
      <c r="DI30" s="51" t="str">
        <f t="shared" si="55"/>
        <v>Debe</v>
      </c>
      <c r="DJ30" s="51">
        <v>123.84884285714286</v>
      </c>
      <c r="DK30" s="51"/>
      <c r="DL30" s="51">
        <f t="shared" si="56"/>
        <v>123.84884285714286</v>
      </c>
      <c r="DM30" s="51" t="str">
        <f t="shared" si="57"/>
        <v>Debe</v>
      </c>
      <c r="DN30" s="51">
        <v>94.188842857142859</v>
      </c>
      <c r="DO30" s="51"/>
      <c r="DP30" s="51">
        <f t="shared" si="58"/>
        <v>94.188842857142859</v>
      </c>
      <c r="DQ30" s="51" t="str">
        <f t="shared" si="59"/>
        <v>Debe</v>
      </c>
      <c r="DR30" s="51">
        <v>94.188842857142873</v>
      </c>
      <c r="DS30" s="51"/>
      <c r="DT30" s="51">
        <f t="shared" si="60"/>
        <v>94.188842857142873</v>
      </c>
      <c r="DU30" s="51" t="str">
        <f t="shared" si="61"/>
        <v>Debe</v>
      </c>
      <c r="DV30" s="51">
        <v>91.222842857142851</v>
      </c>
      <c r="DW30" s="230"/>
      <c r="DX30" s="51">
        <f t="shared" si="62"/>
        <v>91.222842857142851</v>
      </c>
      <c r="DY30" s="51" t="str">
        <f t="shared" si="63"/>
        <v>Debe</v>
      </c>
      <c r="DZ30" s="51">
        <v>97.354142857142861</v>
      </c>
      <c r="EA30" s="51"/>
      <c r="EB30" s="51">
        <f t="shared" si="64"/>
        <v>97.354142857142861</v>
      </c>
      <c r="EC30" s="51" t="str">
        <f t="shared" si="65"/>
        <v>Debe</v>
      </c>
      <c r="ED30" s="51">
        <v>119.54814285714286</v>
      </c>
      <c r="EE30" s="51"/>
      <c r="EF30" s="51">
        <f t="shared" si="66"/>
        <v>119.54814285714286</v>
      </c>
      <c r="EG30" s="51" t="str">
        <f t="shared" si="67"/>
        <v>Debe</v>
      </c>
      <c r="EH30" s="51">
        <v>86.180642857142857</v>
      </c>
      <c r="EI30" s="230"/>
      <c r="EJ30" s="250">
        <f t="shared" si="68"/>
        <v>86.180642857142857</v>
      </c>
      <c r="EK30" s="51" t="str">
        <f t="shared" si="69"/>
        <v>Debe</v>
      </c>
      <c r="EL30" s="51">
        <v>116.58214285714286</v>
      </c>
      <c r="EM30" s="250"/>
      <c r="EN30" s="230">
        <f t="shared" si="70"/>
        <v>116.58214285714286</v>
      </c>
      <c r="EO30" s="51" t="str">
        <f t="shared" si="71"/>
        <v>Debe</v>
      </c>
      <c r="EP30" s="51">
        <v>100.95621428571428</v>
      </c>
      <c r="EQ30" s="230"/>
      <c r="ER30" s="51">
        <f t="shared" si="72"/>
        <v>100.95621428571428</v>
      </c>
      <c r="ES30" s="51" t="str">
        <f t="shared" si="73"/>
        <v>Debe</v>
      </c>
      <c r="ET30" s="51">
        <v>108.37121428571429</v>
      </c>
      <c r="EU30" s="230"/>
      <c r="EV30" s="51">
        <f t="shared" si="117"/>
        <v>108.37121428571429</v>
      </c>
      <c r="EW30" s="51" t="str">
        <f t="shared" si="75"/>
        <v>Debe</v>
      </c>
      <c r="EX30" s="51">
        <v>107.62971428571429</v>
      </c>
      <c r="EY30" s="51"/>
      <c r="EZ30" s="51">
        <f t="shared" si="76"/>
        <v>107.62971428571429</v>
      </c>
      <c r="FA30" s="51" t="str">
        <f t="shared" si="77"/>
        <v>Debe</v>
      </c>
      <c r="FB30" s="51">
        <v>106.69771428571428</v>
      </c>
      <c r="FC30" s="51"/>
      <c r="FD30" s="51">
        <f t="shared" si="78"/>
        <v>106.69771428571428</v>
      </c>
      <c r="FE30" s="51" t="str">
        <f t="shared" si="79"/>
        <v>Debe</v>
      </c>
      <c r="FF30" s="51">
        <v>134.02711428571428</v>
      </c>
      <c r="FG30" s="51"/>
      <c r="FH30" s="51">
        <f t="shared" si="146"/>
        <v>134.02711428571428</v>
      </c>
      <c r="FI30" s="51" t="str">
        <f t="shared" si="147"/>
        <v>Debe</v>
      </c>
      <c r="FJ30" s="51">
        <v>115.04471428571428</v>
      </c>
      <c r="FK30" s="230"/>
      <c r="FL30" s="51">
        <f t="shared" si="82"/>
        <v>115.04471428571428</v>
      </c>
      <c r="FM30" s="51" t="str">
        <f t="shared" si="83"/>
        <v>Debe</v>
      </c>
      <c r="FN30" s="51">
        <v>97.756878571428572</v>
      </c>
      <c r="FO30" s="51"/>
      <c r="FP30" s="51"/>
      <c r="FQ30" s="51"/>
      <c r="FR30" s="51">
        <f t="shared" si="118"/>
        <v>3134.6507428571454</v>
      </c>
      <c r="FS30" s="14">
        <f t="shared" si="119"/>
        <v>1244456.3449142866</v>
      </c>
      <c r="FT30">
        <f t="shared" si="120"/>
        <v>32</v>
      </c>
      <c r="FU30" s="16" t="s">
        <v>545</v>
      </c>
      <c r="FV30" s="215">
        <f t="shared" si="84"/>
        <v>0</v>
      </c>
      <c r="FW30" s="215">
        <f t="shared" si="85"/>
        <v>0</v>
      </c>
      <c r="FX30" s="215">
        <f t="shared" si="86"/>
        <v>0</v>
      </c>
      <c r="FY30" s="215">
        <f t="shared" si="87"/>
        <v>0</v>
      </c>
      <c r="FZ30" s="215">
        <f t="shared" si="88"/>
        <v>0</v>
      </c>
      <c r="GA30" s="215">
        <f t="shared" si="89"/>
        <v>0</v>
      </c>
      <c r="GB30" s="215">
        <f t="shared" si="90"/>
        <v>0</v>
      </c>
      <c r="GC30" s="215">
        <f t="shared" si="91"/>
        <v>0</v>
      </c>
      <c r="GD30" s="215">
        <f t="shared" si="92"/>
        <v>0</v>
      </c>
      <c r="GE30" s="215">
        <f t="shared" si="93"/>
        <v>0</v>
      </c>
      <c r="GF30" s="215">
        <f>(D30+H30+L30+P30+T30+X30+AB30+AF30+AJ30+AN30+AR30+47)*$FS$1</f>
        <v>0.22809485714285715</v>
      </c>
      <c r="GG30" s="215">
        <f t="shared" si="95"/>
        <v>0.43632592857143215</v>
      </c>
      <c r="GH30" s="215">
        <f t="shared" si="96"/>
        <v>0.74165092857143211</v>
      </c>
      <c r="GI30" s="215">
        <f t="shared" si="97"/>
        <v>0.94672153571428919</v>
      </c>
      <c r="GJ30" s="215">
        <f t="shared" si="98"/>
        <v>1.1317716428571465</v>
      </c>
      <c r="GK30" s="215">
        <f t="shared" si="99"/>
        <v>1.3216415000000035</v>
      </c>
      <c r="GL30" s="215">
        <f t="shared" si="100"/>
        <v>1.5208651071428607</v>
      </c>
      <c r="GM30" s="215">
        <f t="shared" si="101"/>
        <v>1.7719087142857179</v>
      </c>
      <c r="GN30" s="215">
        <f t="shared" si="102"/>
        <v>1.9803160714285752</v>
      </c>
      <c r="GO30" s="215">
        <f t="shared" si="103"/>
        <v>2.1831621785714326</v>
      </c>
      <c r="GP30" s="215">
        <f t="shared" si="104"/>
        <v>2.3674707857142896</v>
      </c>
      <c r="GQ30" s="215">
        <f t="shared" si="105"/>
        <v>2.6014598928571466</v>
      </c>
      <c r="GR30" s="215">
        <f t="shared" si="106"/>
        <v>2.9027892500000041</v>
      </c>
      <c r="GS30" s="215">
        <f t="shared" si="121"/>
        <v>3.1749656071428616</v>
      </c>
      <c r="GT30" s="215">
        <f t="shared" si="122"/>
        <v>3.422121464285719</v>
      </c>
      <c r="GU30" s="215">
        <f t="shared" si="123"/>
        <v>3.6501785714285764</v>
      </c>
      <c r="GV30" s="215">
        <f t="shared" si="124"/>
        <v>3.8559906785714335</v>
      </c>
      <c r="GW30" s="215">
        <f t="shared" si="125"/>
        <v>4.0970240357142904</v>
      </c>
      <c r="GX30" s="215">
        <f t="shared" si="126"/>
        <v>4.4066461428571477</v>
      </c>
      <c r="GY30" s="215">
        <f t="shared" si="127"/>
        <v>4.6421182500000047</v>
      </c>
      <c r="GZ30" s="215">
        <f t="shared" si="128"/>
        <v>4.8775903571428625</v>
      </c>
      <c r="HA30" s="215">
        <f t="shared" si="129"/>
        <v>5.1056474642857195</v>
      </c>
      <c r="HB30" s="215">
        <f t="shared" si="130"/>
        <v>5.3490328214285761</v>
      </c>
      <c r="HC30" s="215">
        <f t="shared" si="131"/>
        <v>5.6479031785714335</v>
      </c>
      <c r="HD30" s="215">
        <f t="shared" si="132"/>
        <v>5.8633547857142911</v>
      </c>
      <c r="HE30" s="215">
        <f t="shared" si="133"/>
        <v>6.1548101428571487</v>
      </c>
      <c r="HF30" s="215">
        <f t="shared" si="134"/>
        <v>6.407200678571435</v>
      </c>
      <c r="HG30" s="215">
        <f t="shared" si="135"/>
        <v>6.6781287142857204</v>
      </c>
      <c r="HH30" s="215">
        <f t="shared" si="136"/>
        <v>6.9472030000000062</v>
      </c>
      <c r="HI30" s="215">
        <f t="shared" si="137"/>
        <v>7.2139472857142923</v>
      </c>
      <c r="HJ30" s="215">
        <f t="shared" si="138"/>
        <v>7.5490150714285775</v>
      </c>
      <c r="HK30" s="215">
        <f t="shared" si="139"/>
        <v>7.8366268571428632</v>
      </c>
      <c r="HL30" s="211">
        <f t="shared" si="140"/>
        <v>123.01368350000014</v>
      </c>
      <c r="HM30" s="51">
        <f t="shared" si="141"/>
        <v>3257.6644263571457</v>
      </c>
      <c r="HN30" s="219"/>
      <c r="HO30" s="215">
        <f>(FR30*3%)/12</f>
        <v>7.8366268571428632</v>
      </c>
      <c r="HP30" s="221">
        <f>HO30/FR30</f>
        <v>2.5000000000000001E-3</v>
      </c>
    </row>
    <row r="31" spans="1:224">
      <c r="A31" s="49" t="s">
        <v>273</v>
      </c>
      <c r="B31" s="51">
        <v>19.504942857142861</v>
      </c>
      <c r="C31" s="51" t="s">
        <v>277</v>
      </c>
      <c r="D31" s="51">
        <f t="shared" si="0"/>
        <v>0</v>
      </c>
      <c r="E31" s="51" t="str">
        <f t="shared" si="1"/>
        <v/>
      </c>
      <c r="F31" s="51">
        <v>25.022942857142862</v>
      </c>
      <c r="G31" s="51" t="s">
        <v>277</v>
      </c>
      <c r="H31" s="51">
        <f t="shared" si="2"/>
        <v>0</v>
      </c>
      <c r="I31" s="51" t="str">
        <f t="shared" si="3"/>
        <v/>
      </c>
      <c r="J31" s="51">
        <v>21.109742857142862</v>
      </c>
      <c r="K31" s="51" t="s">
        <v>277</v>
      </c>
      <c r="L31" s="51">
        <f t="shared" si="4"/>
        <v>0</v>
      </c>
      <c r="M31" s="51" t="str">
        <f t="shared" si="5"/>
        <v/>
      </c>
      <c r="N31" s="51">
        <v>20.121742857142859</v>
      </c>
      <c r="O31" s="51" t="s">
        <v>277</v>
      </c>
      <c r="P31" s="51">
        <f t="shared" si="6"/>
        <v>0</v>
      </c>
      <c r="Q31" s="51" t="str">
        <f t="shared" si="7"/>
        <v/>
      </c>
      <c r="R31" s="51">
        <v>20.368742857142859</v>
      </c>
      <c r="S31" s="51" t="s">
        <v>277</v>
      </c>
      <c r="T31" s="51">
        <f t="shared" si="8"/>
        <v>0</v>
      </c>
      <c r="U31" s="51" t="str">
        <f t="shared" si="9"/>
        <v/>
      </c>
      <c r="V31" s="51">
        <v>21.949542857142863</v>
      </c>
      <c r="W31" s="51" t="s">
        <v>277</v>
      </c>
      <c r="X31" s="51">
        <f t="shared" si="10"/>
        <v>0</v>
      </c>
      <c r="Y31" s="51" t="str">
        <f t="shared" si="11"/>
        <v/>
      </c>
      <c r="Z31" s="51">
        <v>21.850742857142862</v>
      </c>
      <c r="AA31" s="51" t="s">
        <v>277</v>
      </c>
      <c r="AB31" s="51">
        <f t="shared" si="12"/>
        <v>0</v>
      </c>
      <c r="AC31" s="51" t="str">
        <f t="shared" si="13"/>
        <v/>
      </c>
      <c r="AD31" s="51">
        <v>22.937542857142862</v>
      </c>
      <c r="AE31" s="51" t="s">
        <v>277</v>
      </c>
      <c r="AF31" s="51">
        <f t="shared" si="14"/>
        <v>0</v>
      </c>
      <c r="AG31" s="51" t="str">
        <f t="shared" si="15"/>
        <v/>
      </c>
      <c r="AH31" s="51">
        <v>22.443542857142862</v>
      </c>
      <c r="AI31" s="51" t="s">
        <v>277</v>
      </c>
      <c r="AJ31" s="51">
        <f t="shared" si="16"/>
        <v>0</v>
      </c>
      <c r="AK31" s="51" t="str">
        <f t="shared" si="17"/>
        <v/>
      </c>
      <c r="AL31" s="51">
        <v>27.383542857142864</v>
      </c>
      <c r="AM31" s="51" t="s">
        <v>277</v>
      </c>
      <c r="AN31" s="51">
        <f t="shared" si="18"/>
        <v>0</v>
      </c>
      <c r="AO31" s="51" t="str">
        <f t="shared" si="19"/>
        <v/>
      </c>
      <c r="AP31" s="51">
        <v>23.431542857142862</v>
      </c>
      <c r="AQ31" s="51" t="s">
        <v>277</v>
      </c>
      <c r="AR31" s="51">
        <f t="shared" si="20"/>
        <v>0</v>
      </c>
      <c r="AS31" s="51" t="str">
        <f t="shared" si="21"/>
        <v/>
      </c>
      <c r="AT31" s="51">
        <v>43.526657142857154</v>
      </c>
      <c r="AU31" s="51" t="s">
        <v>277</v>
      </c>
      <c r="AV31" s="51">
        <f t="shared" si="22"/>
        <v>0</v>
      </c>
      <c r="AW31" s="51" t="str">
        <f t="shared" si="23"/>
        <v/>
      </c>
      <c r="AX31" s="51">
        <v>41.017942857142856</v>
      </c>
      <c r="AY31" s="51" t="s">
        <v>277</v>
      </c>
      <c r="AZ31" s="51">
        <f t="shared" si="24"/>
        <v>0</v>
      </c>
      <c r="BA31" s="51" t="str">
        <f t="shared" si="25"/>
        <v/>
      </c>
      <c r="BB31" s="51">
        <v>30.396942857142861</v>
      </c>
      <c r="BC31" s="51" t="s">
        <v>277</v>
      </c>
      <c r="BD31" s="51">
        <f t="shared" si="107"/>
        <v>0</v>
      </c>
      <c r="BE31" s="51" t="str">
        <f t="shared" si="108"/>
        <v/>
      </c>
      <c r="BF31" s="51">
        <v>27.729342857142861</v>
      </c>
      <c r="BG31" s="51" t="s">
        <v>277</v>
      </c>
      <c r="BH31" s="51">
        <f t="shared" si="28"/>
        <v>0</v>
      </c>
      <c r="BI31" s="51" t="str">
        <f t="shared" si="29"/>
        <v/>
      </c>
      <c r="BJ31" s="51">
        <v>28.37154285714286</v>
      </c>
      <c r="BK31" s="51" t="s">
        <v>277</v>
      </c>
      <c r="BL31" s="51">
        <f t="shared" si="30"/>
        <v>0</v>
      </c>
      <c r="BM31" s="51" t="str">
        <f t="shared" si="31"/>
        <v/>
      </c>
      <c r="BN31" s="51">
        <v>28.61854285714286</v>
      </c>
      <c r="BO31" s="51" t="s">
        <v>277</v>
      </c>
      <c r="BP31" s="51">
        <f t="shared" si="32"/>
        <v>0</v>
      </c>
      <c r="BQ31" s="51" t="str">
        <f t="shared" si="33"/>
        <v/>
      </c>
      <c r="BR31" s="51">
        <v>36.522542857142859</v>
      </c>
      <c r="BS31" s="51" t="s">
        <v>277</v>
      </c>
      <c r="BT31" s="51">
        <f t="shared" si="34"/>
        <v>0</v>
      </c>
      <c r="BU31" s="51" t="str">
        <f t="shared" si="35"/>
        <v/>
      </c>
      <c r="BV31" s="51">
        <v>30.841542857142858</v>
      </c>
      <c r="BW31" s="51" t="s">
        <v>277</v>
      </c>
      <c r="BX31" s="51">
        <f t="shared" si="109"/>
        <v>0</v>
      </c>
      <c r="BY31" s="51" t="str">
        <f t="shared" si="110"/>
        <v/>
      </c>
      <c r="BZ31" s="51">
        <v>30.100542857142859</v>
      </c>
      <c r="CA31" s="51" t="s">
        <v>277</v>
      </c>
      <c r="CB31" s="51">
        <f t="shared" si="111"/>
        <v>0</v>
      </c>
      <c r="CC31" s="51" t="str">
        <f t="shared" si="112"/>
        <v/>
      </c>
      <c r="CD31" s="51">
        <v>27.63054285714286</v>
      </c>
      <c r="CE31" s="51" t="s">
        <v>277</v>
      </c>
      <c r="CF31" s="51">
        <f t="shared" si="40"/>
        <v>0</v>
      </c>
      <c r="CG31" s="51" t="str">
        <f t="shared" si="41"/>
        <v/>
      </c>
      <c r="CH31" s="51">
        <v>34.250142857142862</v>
      </c>
      <c r="CI31" s="51" t="s">
        <v>277</v>
      </c>
      <c r="CJ31" s="51">
        <f t="shared" si="144"/>
        <v>0</v>
      </c>
      <c r="CK31" s="51" t="str">
        <f t="shared" si="145"/>
        <v/>
      </c>
      <c r="CL31" s="51">
        <v>37.559942857142858</v>
      </c>
      <c r="CM31" s="51" t="s">
        <v>277</v>
      </c>
      <c r="CN31" s="51">
        <f t="shared" si="113"/>
        <v>0</v>
      </c>
      <c r="CO31" s="51" t="str">
        <f t="shared" si="114"/>
        <v/>
      </c>
      <c r="CP31" s="51">
        <v>39.338342857142855</v>
      </c>
      <c r="CQ31" s="51" t="s">
        <v>277</v>
      </c>
      <c r="CR31" s="51"/>
      <c r="CS31" s="51" t="str">
        <f t="shared" si="47"/>
        <v/>
      </c>
      <c r="CT31" s="51">
        <v>34.670742857142862</v>
      </c>
      <c r="CU31" s="230" t="s">
        <v>277</v>
      </c>
      <c r="CV31" s="51">
        <f t="shared" si="48"/>
        <v>0</v>
      </c>
      <c r="CW31" s="51" t="str">
        <f t="shared" si="49"/>
        <v/>
      </c>
      <c r="CX31" s="51">
        <v>33.459742857142871</v>
      </c>
      <c r="CY31" s="230" t="s">
        <v>277</v>
      </c>
      <c r="CZ31" s="51">
        <f t="shared" si="115"/>
        <v>0</v>
      </c>
      <c r="DA31" s="51" t="str">
        <f t="shared" si="116"/>
        <v/>
      </c>
      <c r="DB31" s="51">
        <v>30.495742857142865</v>
      </c>
      <c r="DC31" s="230" t="s">
        <v>277</v>
      </c>
      <c r="DD31" s="51">
        <f t="shared" si="52"/>
        <v>0</v>
      </c>
      <c r="DE31" s="51" t="str">
        <f t="shared" si="53"/>
        <v/>
      </c>
      <c r="DF31" s="51">
        <v>35.188742857142863</v>
      </c>
      <c r="DG31" s="230" t="s">
        <v>277</v>
      </c>
      <c r="DH31" s="51">
        <f t="shared" si="54"/>
        <v>0</v>
      </c>
      <c r="DI31" s="51" t="str">
        <f t="shared" si="55"/>
        <v/>
      </c>
      <c r="DJ31" s="51">
        <v>44.327742857142859</v>
      </c>
      <c r="DK31" s="51" t="s">
        <v>277</v>
      </c>
      <c r="DL31" s="51">
        <f t="shared" si="56"/>
        <v>0</v>
      </c>
      <c r="DM31" s="51" t="str">
        <f t="shared" si="57"/>
        <v/>
      </c>
      <c r="DN31" s="51">
        <v>34.447742857142863</v>
      </c>
      <c r="DO31" s="51" t="s">
        <v>277</v>
      </c>
      <c r="DP31" s="51">
        <f t="shared" si="58"/>
        <v>0</v>
      </c>
      <c r="DQ31" s="51" t="str">
        <f t="shared" si="59"/>
        <v/>
      </c>
      <c r="DR31" s="51">
        <v>34.447742857142863</v>
      </c>
      <c r="DS31" s="51" t="s">
        <v>277</v>
      </c>
      <c r="DT31" s="51">
        <f t="shared" si="60"/>
        <v>0</v>
      </c>
      <c r="DU31" s="51" t="str">
        <f t="shared" si="61"/>
        <v/>
      </c>
      <c r="DV31" s="51">
        <v>33.459742857142864</v>
      </c>
      <c r="DW31" s="230" t="s">
        <v>277</v>
      </c>
      <c r="DX31" s="51">
        <f t="shared" si="62"/>
        <v>0</v>
      </c>
      <c r="DY31" s="51" t="str">
        <f t="shared" si="63"/>
        <v/>
      </c>
      <c r="DZ31" s="51">
        <v>34.003142857142862</v>
      </c>
      <c r="EA31" s="51" t="s">
        <v>277</v>
      </c>
      <c r="EB31" s="51">
        <f t="shared" si="64"/>
        <v>0</v>
      </c>
      <c r="EC31" s="51" t="str">
        <f t="shared" si="65"/>
        <v/>
      </c>
      <c r="ED31" s="51">
        <v>42.895142857142858</v>
      </c>
      <c r="EE31" s="51" t="s">
        <v>277</v>
      </c>
      <c r="EF31" s="51">
        <f t="shared" si="66"/>
        <v>0</v>
      </c>
      <c r="EG31" s="51" t="str">
        <f t="shared" si="67"/>
        <v/>
      </c>
      <c r="EH31" s="51">
        <v>31.780142857142863</v>
      </c>
      <c r="EI31" s="230" t="s">
        <v>277</v>
      </c>
      <c r="EJ31" s="250">
        <f t="shared" si="68"/>
        <v>0</v>
      </c>
      <c r="EK31" s="51" t="str">
        <f t="shared" si="69"/>
        <v/>
      </c>
      <c r="EL31" s="51">
        <v>41.907142857142858</v>
      </c>
      <c r="EM31" s="250" t="s">
        <v>277</v>
      </c>
      <c r="EN31" s="230">
        <f t="shared" si="70"/>
        <v>0</v>
      </c>
      <c r="EO31" s="51" t="str">
        <f t="shared" si="71"/>
        <v/>
      </c>
      <c r="EP31" s="51">
        <v>37.654714285714292</v>
      </c>
      <c r="EQ31" s="230" t="s">
        <v>277</v>
      </c>
      <c r="ER31" s="51">
        <f t="shared" si="72"/>
        <v>0</v>
      </c>
      <c r="ES31" s="51" t="str">
        <f t="shared" si="73"/>
        <v/>
      </c>
      <c r="ET31" s="51">
        <v>40.12471428571429</v>
      </c>
      <c r="EU31" s="230" t="s">
        <v>277</v>
      </c>
      <c r="EV31" s="51">
        <f t="shared" si="117"/>
        <v>0</v>
      </c>
      <c r="EW31" s="51" t="str">
        <f t="shared" si="75"/>
        <v/>
      </c>
      <c r="EX31" s="51">
        <v>39.877714285714291</v>
      </c>
      <c r="EY31" s="51" t="s">
        <v>277</v>
      </c>
      <c r="EZ31" s="51">
        <f t="shared" si="76"/>
        <v>0</v>
      </c>
      <c r="FA31" s="51" t="str">
        <f t="shared" si="77"/>
        <v/>
      </c>
      <c r="FB31" s="51">
        <v>42.901714285714291</v>
      </c>
      <c r="FC31" s="51" t="s">
        <v>277</v>
      </c>
      <c r="FD31" s="51">
        <f t="shared" si="78"/>
        <v>0</v>
      </c>
      <c r="FE31" s="51" t="str">
        <f t="shared" si="79"/>
        <v/>
      </c>
      <c r="FF31" s="51">
        <v>48.670914285714289</v>
      </c>
      <c r="FG31" s="51" t="s">
        <v>277</v>
      </c>
      <c r="FH31" s="51">
        <f t="shared" si="146"/>
        <v>0</v>
      </c>
      <c r="FI31" s="51" t="str">
        <f t="shared" si="147"/>
        <v/>
      </c>
      <c r="FJ31" s="51">
        <v>42.347714285714289</v>
      </c>
      <c r="FK31" s="230" t="s">
        <v>277</v>
      </c>
      <c r="FL31" s="51">
        <f t="shared" si="82"/>
        <v>0</v>
      </c>
      <c r="FM31" s="51" t="str">
        <f t="shared" si="83"/>
        <v/>
      </c>
      <c r="FN31" s="51">
        <v>36.779528571428571</v>
      </c>
      <c r="FO31" s="51"/>
      <c r="FP31" s="51"/>
      <c r="FQ31" s="51"/>
      <c r="FR31" s="51">
        <f t="shared" si="118"/>
        <v>0</v>
      </c>
      <c r="FS31" s="14">
        <f t="shared" si="119"/>
        <v>0</v>
      </c>
      <c r="FT31">
        <f t="shared" si="120"/>
        <v>0</v>
      </c>
      <c r="FU31" s="228" t="s">
        <v>560</v>
      </c>
      <c r="FV31" s="215">
        <f t="shared" si="84"/>
        <v>0</v>
      </c>
      <c r="FW31" s="215">
        <f t="shared" si="85"/>
        <v>0</v>
      </c>
      <c r="FX31" s="215">
        <f t="shared" si="86"/>
        <v>0</v>
      </c>
      <c r="FY31" s="215">
        <f t="shared" si="87"/>
        <v>0</v>
      </c>
      <c r="FZ31" s="215">
        <f t="shared" si="88"/>
        <v>0</v>
      </c>
      <c r="GA31" s="215">
        <f t="shared" si="89"/>
        <v>0</v>
      </c>
      <c r="GB31" s="215">
        <f t="shared" si="90"/>
        <v>0</v>
      </c>
      <c r="GC31" s="215">
        <f t="shared" si="91"/>
        <v>0</v>
      </c>
      <c r="GD31" s="215">
        <f t="shared" si="92"/>
        <v>0</v>
      </c>
      <c r="GE31" s="215">
        <f t="shared" si="93"/>
        <v>0</v>
      </c>
      <c r="GF31" s="215">
        <f t="shared" ref="GF31:GF38" si="148">(D31+H31+L31+P31+T31+X31+AB31+AF31+AJ31+AN31+AR31)*$FS$1</f>
        <v>0</v>
      </c>
      <c r="GG31" s="215">
        <f t="shared" si="95"/>
        <v>0</v>
      </c>
      <c r="GH31" s="215">
        <f t="shared" si="96"/>
        <v>0</v>
      </c>
      <c r="GI31" s="215">
        <f t="shared" si="97"/>
        <v>0</v>
      </c>
      <c r="GJ31" s="215">
        <f t="shared" si="98"/>
        <v>0</v>
      </c>
      <c r="GK31" s="215">
        <f t="shared" si="99"/>
        <v>0</v>
      </c>
      <c r="GL31" s="215">
        <f t="shared" si="100"/>
        <v>0</v>
      </c>
      <c r="GM31" s="215">
        <f t="shared" si="101"/>
        <v>0</v>
      </c>
      <c r="GN31" s="215">
        <f t="shared" si="102"/>
        <v>0</v>
      </c>
      <c r="GO31" s="215">
        <f t="shared" si="103"/>
        <v>0</v>
      </c>
      <c r="GP31" s="215">
        <f t="shared" si="104"/>
        <v>0</v>
      </c>
      <c r="GQ31" s="215">
        <f t="shared" si="105"/>
        <v>0</v>
      </c>
      <c r="GR31" s="215">
        <f t="shared" si="106"/>
        <v>0</v>
      </c>
      <c r="GS31" s="215">
        <f t="shared" si="121"/>
        <v>0</v>
      </c>
      <c r="GT31" s="215">
        <f t="shared" si="122"/>
        <v>0</v>
      </c>
      <c r="GU31" s="215">
        <f t="shared" si="123"/>
        <v>0</v>
      </c>
      <c r="GV31" s="215">
        <f t="shared" si="124"/>
        <v>0</v>
      </c>
      <c r="GW31" s="215">
        <f t="shared" si="125"/>
        <v>0</v>
      </c>
      <c r="GX31" s="215">
        <f t="shared" si="126"/>
        <v>0</v>
      </c>
      <c r="GY31" s="215">
        <f t="shared" si="127"/>
        <v>0</v>
      </c>
      <c r="GZ31" s="215">
        <f t="shared" si="128"/>
        <v>0</v>
      </c>
      <c r="HA31" s="215">
        <f>(AR31+AV31+AZ31+BD31+BH31+BL31+BP31+BT31+BX31+CB31+CF31+CJ31+CN31+CR31+CV31+CZ31+DD31+DH31+DL31+DP31+DT31+DX31)*$FS$1</f>
        <v>0</v>
      </c>
      <c r="HB31" s="215">
        <f t="shared" si="130"/>
        <v>0</v>
      </c>
      <c r="HC31" s="215">
        <f t="shared" si="131"/>
        <v>0</v>
      </c>
      <c r="HD31" s="215">
        <f t="shared" si="132"/>
        <v>0</v>
      </c>
      <c r="HE31" s="215">
        <f t="shared" si="133"/>
        <v>0</v>
      </c>
      <c r="HF31" s="215">
        <f t="shared" si="134"/>
        <v>0</v>
      </c>
      <c r="HG31" s="215">
        <f t="shared" si="135"/>
        <v>0</v>
      </c>
      <c r="HH31" s="215">
        <f t="shared" si="136"/>
        <v>0</v>
      </c>
      <c r="HI31" s="215">
        <f t="shared" si="137"/>
        <v>0</v>
      </c>
      <c r="HJ31" s="215">
        <f t="shared" si="138"/>
        <v>0</v>
      </c>
      <c r="HK31" s="215">
        <f t="shared" si="139"/>
        <v>0</v>
      </c>
      <c r="HL31" s="211">
        <f t="shared" si="140"/>
        <v>0</v>
      </c>
      <c r="HM31" s="51">
        <f t="shared" si="141"/>
        <v>0</v>
      </c>
    </row>
    <row r="32" spans="1:224">
      <c r="A32" s="49" t="s">
        <v>51</v>
      </c>
      <c r="B32" s="51">
        <v>12.697542857142857</v>
      </c>
      <c r="C32" s="51" t="s">
        <v>277</v>
      </c>
      <c r="D32" s="51">
        <f t="shared" si="0"/>
        <v>0</v>
      </c>
      <c r="E32" s="51" t="str">
        <f t="shared" si="1"/>
        <v/>
      </c>
      <c r="F32" s="51">
        <v>13.821542857142857</v>
      </c>
      <c r="G32" s="51" t="s">
        <v>277</v>
      </c>
      <c r="H32" s="51">
        <f t="shared" si="2"/>
        <v>0</v>
      </c>
      <c r="I32" s="51" t="str">
        <f t="shared" si="3"/>
        <v/>
      </c>
      <c r="J32" s="51">
        <v>14.463942857142857</v>
      </c>
      <c r="K32" s="51" t="s">
        <v>277</v>
      </c>
      <c r="L32" s="51">
        <f t="shared" si="4"/>
        <v>0</v>
      </c>
      <c r="M32" s="51" t="str">
        <f t="shared" si="5"/>
        <v/>
      </c>
      <c r="N32" s="51">
        <v>13.879942857142858</v>
      </c>
      <c r="O32" s="51" t="s">
        <v>277</v>
      </c>
      <c r="P32" s="51">
        <f t="shared" si="6"/>
        <v>0</v>
      </c>
      <c r="Q32" s="51" t="str">
        <f t="shared" si="7"/>
        <v/>
      </c>
      <c r="R32" s="51">
        <v>14.025942857142859</v>
      </c>
      <c r="S32" s="51" t="s">
        <v>277</v>
      </c>
      <c r="T32" s="51">
        <f t="shared" si="8"/>
        <v>0</v>
      </c>
      <c r="U32" s="51" t="str">
        <f t="shared" si="9"/>
        <v/>
      </c>
      <c r="V32" s="51">
        <v>14.960342857142859</v>
      </c>
      <c r="W32" s="51" t="s">
        <v>277</v>
      </c>
      <c r="X32" s="51">
        <f t="shared" si="10"/>
        <v>0</v>
      </c>
      <c r="Y32" s="51" t="str">
        <f t="shared" si="11"/>
        <v/>
      </c>
      <c r="Z32" s="51">
        <v>14.901942857142858</v>
      </c>
      <c r="AA32" s="51" t="s">
        <v>277</v>
      </c>
      <c r="AB32" s="51">
        <f t="shared" si="12"/>
        <v>0</v>
      </c>
      <c r="AC32" s="51" t="str">
        <f t="shared" si="13"/>
        <v/>
      </c>
      <c r="AD32" s="51">
        <v>15.544342857142858</v>
      </c>
      <c r="AE32" s="51" t="s">
        <v>277</v>
      </c>
      <c r="AF32" s="51">
        <f t="shared" si="14"/>
        <v>0</v>
      </c>
      <c r="AG32" s="51" t="str">
        <f t="shared" si="15"/>
        <v/>
      </c>
      <c r="AH32" s="51">
        <v>15.252342857142857</v>
      </c>
      <c r="AI32" s="51" t="s">
        <v>277</v>
      </c>
      <c r="AJ32" s="51">
        <f t="shared" si="16"/>
        <v>0</v>
      </c>
      <c r="AK32" s="51" t="str">
        <f t="shared" si="17"/>
        <v/>
      </c>
      <c r="AL32" s="51">
        <v>18.172342857142855</v>
      </c>
      <c r="AM32" s="51" t="s">
        <v>277</v>
      </c>
      <c r="AN32" s="51">
        <f t="shared" si="18"/>
        <v>0</v>
      </c>
      <c r="AO32" s="51" t="str">
        <f t="shared" si="19"/>
        <v/>
      </c>
      <c r="AP32" s="51">
        <v>15.836342857142858</v>
      </c>
      <c r="AQ32" s="51" t="s">
        <v>277</v>
      </c>
      <c r="AR32" s="51">
        <f t="shared" si="20"/>
        <v>0</v>
      </c>
      <c r="AS32" s="51" t="str">
        <f t="shared" si="21"/>
        <v/>
      </c>
      <c r="AT32" s="51">
        <v>27.83125714285714</v>
      </c>
      <c r="AU32" s="51" t="s">
        <v>277</v>
      </c>
      <c r="AV32" s="51">
        <f t="shared" si="22"/>
        <v>0</v>
      </c>
      <c r="AW32" s="51" t="str">
        <f t="shared" si="23"/>
        <v/>
      </c>
      <c r="AX32" s="51">
        <v>26.231542857142855</v>
      </c>
      <c r="AY32" s="51" t="s">
        <v>277</v>
      </c>
      <c r="AZ32" s="51">
        <f t="shared" si="24"/>
        <v>0</v>
      </c>
      <c r="BA32" s="51" t="str">
        <f t="shared" si="25"/>
        <v/>
      </c>
      <c r="BB32" s="51">
        <v>19.953542857142857</v>
      </c>
      <c r="BC32" s="51" t="s">
        <v>277</v>
      </c>
      <c r="BD32" s="51">
        <f t="shared" si="107"/>
        <v>0</v>
      </c>
      <c r="BE32" s="51" t="str">
        <f t="shared" si="108"/>
        <v/>
      </c>
      <c r="BF32" s="51">
        <v>18.376742857142855</v>
      </c>
      <c r="BG32" s="51" t="s">
        <v>277</v>
      </c>
      <c r="BH32" s="51">
        <f t="shared" si="28"/>
        <v>0</v>
      </c>
      <c r="BI32" s="51" t="str">
        <f t="shared" si="29"/>
        <v/>
      </c>
      <c r="BJ32" s="51">
        <v>18.756342857142855</v>
      </c>
      <c r="BK32" s="51" t="s">
        <v>277</v>
      </c>
      <c r="BL32" s="51">
        <f t="shared" si="30"/>
        <v>0</v>
      </c>
      <c r="BM32" s="51" t="str">
        <f t="shared" si="31"/>
        <v/>
      </c>
      <c r="BN32" s="51">
        <v>18.902342857142855</v>
      </c>
      <c r="BO32" s="51" t="s">
        <v>277</v>
      </c>
      <c r="BP32" s="51">
        <f t="shared" si="32"/>
        <v>0</v>
      </c>
      <c r="BQ32" s="51" t="str">
        <f t="shared" si="33"/>
        <v/>
      </c>
      <c r="BR32" s="51">
        <v>23.574342857142856</v>
      </c>
      <c r="BS32" s="51" t="s">
        <v>277</v>
      </c>
      <c r="BT32" s="51">
        <f t="shared" si="34"/>
        <v>0</v>
      </c>
      <c r="BU32" s="51" t="str">
        <f t="shared" si="35"/>
        <v/>
      </c>
      <c r="BV32" s="51">
        <v>20.216342857142855</v>
      </c>
      <c r="BW32" s="51" t="s">
        <v>277</v>
      </c>
      <c r="BX32" s="51">
        <f t="shared" si="109"/>
        <v>0</v>
      </c>
      <c r="BY32" s="51" t="str">
        <f t="shared" si="110"/>
        <v/>
      </c>
      <c r="BZ32" s="51">
        <v>19.778342857142853</v>
      </c>
      <c r="CA32" s="51" t="s">
        <v>277</v>
      </c>
      <c r="CB32" s="51">
        <f t="shared" si="111"/>
        <v>0</v>
      </c>
      <c r="CC32" s="51" t="str">
        <f t="shared" si="112"/>
        <v/>
      </c>
      <c r="CD32" s="51">
        <v>18.318342857142856</v>
      </c>
      <c r="CE32" s="51" t="s">
        <v>277</v>
      </c>
      <c r="CF32" s="51">
        <f t="shared" si="40"/>
        <v>0</v>
      </c>
      <c r="CG32" s="51" t="str">
        <f t="shared" si="41"/>
        <v/>
      </c>
      <c r="CH32" s="51">
        <v>22.231142857142856</v>
      </c>
      <c r="CI32" s="51" t="s">
        <v>277</v>
      </c>
      <c r="CJ32" s="51">
        <f t="shared" si="144"/>
        <v>0</v>
      </c>
      <c r="CK32" s="51" t="str">
        <f t="shared" si="145"/>
        <v/>
      </c>
      <c r="CL32" s="51">
        <v>24.187542857142859</v>
      </c>
      <c r="CM32" s="51" t="s">
        <v>277</v>
      </c>
      <c r="CN32" s="51">
        <f t="shared" si="113"/>
        <v>0</v>
      </c>
      <c r="CO32" s="51" t="str">
        <f t="shared" si="114"/>
        <v/>
      </c>
      <c r="CP32" s="51">
        <v>25.238742857142856</v>
      </c>
      <c r="CQ32" s="51" t="s">
        <v>277</v>
      </c>
      <c r="CR32" s="51">
        <f t="shared" si="46"/>
        <v>0</v>
      </c>
      <c r="CS32" s="51" t="str">
        <f t="shared" si="47"/>
        <v/>
      </c>
      <c r="CT32" s="51">
        <v>21.661942857142858</v>
      </c>
      <c r="CU32" s="230" t="s">
        <v>277</v>
      </c>
      <c r="CV32" s="51">
        <f t="shared" si="48"/>
        <v>0</v>
      </c>
      <c r="CW32" s="51" t="str">
        <f t="shared" si="49"/>
        <v/>
      </c>
      <c r="CX32" s="51">
        <v>21.763942857142858</v>
      </c>
      <c r="CY32" s="230" t="s">
        <v>277</v>
      </c>
      <c r="CZ32" s="51">
        <f t="shared" si="115"/>
        <v>0</v>
      </c>
      <c r="DA32" s="51" t="str">
        <f t="shared" si="116"/>
        <v/>
      </c>
      <c r="DB32" s="51">
        <v>20.011942857142859</v>
      </c>
      <c r="DC32" s="230" t="s">
        <v>277</v>
      </c>
      <c r="DD32" s="51">
        <f t="shared" si="52"/>
        <v>0</v>
      </c>
      <c r="DE32" s="51" t="str">
        <f t="shared" si="53"/>
        <v/>
      </c>
      <c r="DF32" s="51">
        <v>22.78594285714286</v>
      </c>
      <c r="DG32" s="230" t="s">
        <v>277</v>
      </c>
      <c r="DH32" s="51">
        <f t="shared" si="54"/>
        <v>0</v>
      </c>
      <c r="DI32" s="51" t="str">
        <f t="shared" si="55"/>
        <v/>
      </c>
      <c r="DJ32" s="51">
        <v>28.187942857142854</v>
      </c>
      <c r="DK32" s="51" t="s">
        <v>277</v>
      </c>
      <c r="DL32" s="51">
        <f t="shared" si="56"/>
        <v>0</v>
      </c>
      <c r="DM32" s="51" t="str">
        <f t="shared" si="57"/>
        <v/>
      </c>
      <c r="DN32" s="51">
        <v>22.347942857142854</v>
      </c>
      <c r="DO32" s="51" t="s">
        <v>277</v>
      </c>
      <c r="DP32" s="51">
        <f t="shared" si="58"/>
        <v>0</v>
      </c>
      <c r="DQ32" s="51" t="str">
        <f t="shared" si="59"/>
        <v/>
      </c>
      <c r="DR32" s="51">
        <v>22.347942857142858</v>
      </c>
      <c r="DS32" s="51" t="s">
        <v>277</v>
      </c>
      <c r="DT32" s="51">
        <f t="shared" si="60"/>
        <v>0</v>
      </c>
      <c r="DU32" s="51" t="str">
        <f t="shared" si="61"/>
        <v/>
      </c>
      <c r="DV32" s="51">
        <v>21.763942857142858</v>
      </c>
      <c r="DW32" s="230" t="s">
        <v>277</v>
      </c>
      <c r="DX32" s="51">
        <f t="shared" si="62"/>
        <v>0</v>
      </c>
      <c r="DY32" s="51" t="str">
        <f t="shared" si="63"/>
        <v/>
      </c>
      <c r="DZ32" s="51">
        <v>22.085142857142859</v>
      </c>
      <c r="EA32" s="51" t="s">
        <v>277</v>
      </c>
      <c r="EB32" s="51">
        <f t="shared" si="64"/>
        <v>0</v>
      </c>
      <c r="EC32" s="51" t="str">
        <f t="shared" si="65"/>
        <v/>
      </c>
      <c r="ED32" s="51">
        <v>27.341142857142859</v>
      </c>
      <c r="EE32" s="51" t="s">
        <v>277</v>
      </c>
      <c r="EF32" s="51">
        <f t="shared" si="66"/>
        <v>0</v>
      </c>
      <c r="EG32" s="51" t="str">
        <f t="shared" si="67"/>
        <v/>
      </c>
      <c r="EH32" s="51">
        <v>20.771142857142859</v>
      </c>
      <c r="EI32" s="230" t="s">
        <v>277</v>
      </c>
      <c r="EJ32" s="250">
        <f t="shared" si="68"/>
        <v>0</v>
      </c>
      <c r="EK32" s="51" t="str">
        <f t="shared" si="69"/>
        <v/>
      </c>
      <c r="EL32" s="51">
        <v>26.75714285714286</v>
      </c>
      <c r="EM32" s="250" t="s">
        <v>277</v>
      </c>
      <c r="EN32" s="230">
        <f t="shared" si="70"/>
        <v>0</v>
      </c>
      <c r="EO32" s="51" t="str">
        <f t="shared" si="71"/>
        <v/>
      </c>
      <c r="EP32" s="51">
        <v>24.827714285714283</v>
      </c>
      <c r="EQ32" s="230" t="s">
        <v>277</v>
      </c>
      <c r="ER32" s="51">
        <f t="shared" si="72"/>
        <v>0</v>
      </c>
      <c r="ES32" s="51" t="str">
        <f t="shared" si="73"/>
        <v/>
      </c>
      <c r="ET32" s="51">
        <v>26.287714285714284</v>
      </c>
      <c r="EU32" s="230" t="s">
        <v>277</v>
      </c>
      <c r="EV32" s="51">
        <f t="shared" si="117"/>
        <v>0</v>
      </c>
      <c r="EW32" s="51" t="str">
        <f t="shared" si="75"/>
        <v/>
      </c>
      <c r="EX32" s="51">
        <v>26.141714285714283</v>
      </c>
      <c r="EY32" s="51" t="s">
        <v>277</v>
      </c>
      <c r="EZ32" s="51">
        <f t="shared" si="76"/>
        <v>0</v>
      </c>
      <c r="FA32" s="51" t="str">
        <f t="shared" si="77"/>
        <v/>
      </c>
      <c r="FB32" s="51">
        <v>24.973714285714284</v>
      </c>
      <c r="FC32" s="51" t="s">
        <v>277</v>
      </c>
      <c r="FD32" s="51">
        <f t="shared" si="78"/>
        <v>0</v>
      </c>
      <c r="FE32" s="51" t="str">
        <f t="shared" si="79"/>
        <v/>
      </c>
      <c r="FF32" s="51">
        <v>31.339314285714284</v>
      </c>
      <c r="FG32" s="51" t="s">
        <v>277</v>
      </c>
      <c r="FH32" s="51">
        <f t="shared" si="146"/>
        <v>0</v>
      </c>
      <c r="FI32" s="51" t="str">
        <f t="shared" si="147"/>
        <v/>
      </c>
      <c r="FJ32" s="51">
        <v>27.601714285714284</v>
      </c>
      <c r="FK32" s="230" t="s">
        <v>277</v>
      </c>
      <c r="FL32" s="51">
        <f t="shared" si="82"/>
        <v>0</v>
      </c>
      <c r="FM32" s="51" t="str">
        <f t="shared" si="83"/>
        <v/>
      </c>
      <c r="FN32" s="51">
        <v>24.427228571428568</v>
      </c>
      <c r="FO32" s="51"/>
      <c r="FP32" s="51"/>
      <c r="FQ32" s="51"/>
      <c r="FR32" s="51">
        <f t="shared" si="118"/>
        <v>0</v>
      </c>
      <c r="FS32" s="14">
        <f t="shared" si="119"/>
        <v>0</v>
      </c>
      <c r="FT32">
        <f t="shared" si="120"/>
        <v>0</v>
      </c>
      <c r="FV32" s="215">
        <f t="shared" si="84"/>
        <v>0</v>
      </c>
      <c r="FW32" s="215">
        <f t="shared" si="85"/>
        <v>0</v>
      </c>
      <c r="FX32" s="215">
        <f t="shared" si="86"/>
        <v>0</v>
      </c>
      <c r="FY32" s="215">
        <f t="shared" si="87"/>
        <v>0</v>
      </c>
      <c r="FZ32" s="215">
        <f t="shared" si="88"/>
        <v>0</v>
      </c>
      <c r="GA32" s="215">
        <f t="shared" si="89"/>
        <v>0</v>
      </c>
      <c r="GB32" s="215">
        <f t="shared" si="90"/>
        <v>0</v>
      </c>
      <c r="GC32" s="215">
        <f t="shared" si="91"/>
        <v>0</v>
      </c>
      <c r="GD32" s="215">
        <f t="shared" si="92"/>
        <v>0</v>
      </c>
      <c r="GE32" s="215">
        <f t="shared" si="93"/>
        <v>0</v>
      </c>
      <c r="GF32" s="215">
        <f t="shared" si="148"/>
        <v>0</v>
      </c>
      <c r="GG32" s="215">
        <f t="shared" si="95"/>
        <v>0</v>
      </c>
      <c r="GH32" s="215">
        <f t="shared" si="96"/>
        <v>0</v>
      </c>
      <c r="GI32" s="215">
        <f t="shared" si="97"/>
        <v>0</v>
      </c>
      <c r="GJ32" s="215">
        <f t="shared" si="98"/>
        <v>0</v>
      </c>
      <c r="GK32" s="215">
        <f t="shared" si="99"/>
        <v>0</v>
      </c>
      <c r="GL32" s="215">
        <f t="shared" si="100"/>
        <v>0</v>
      </c>
      <c r="GM32" s="215">
        <f t="shared" si="101"/>
        <v>0</v>
      </c>
      <c r="GN32" s="215">
        <f t="shared" si="102"/>
        <v>0</v>
      </c>
      <c r="GO32" s="215">
        <f t="shared" si="103"/>
        <v>0</v>
      </c>
      <c r="GP32" s="215">
        <f t="shared" si="104"/>
        <v>0</v>
      </c>
      <c r="GQ32" s="215">
        <f t="shared" si="105"/>
        <v>0</v>
      </c>
      <c r="GR32" s="215">
        <f t="shared" si="106"/>
        <v>0</v>
      </c>
      <c r="GS32" s="215">
        <f t="shared" si="121"/>
        <v>0</v>
      </c>
      <c r="GT32" s="215">
        <f t="shared" si="122"/>
        <v>0</v>
      </c>
      <c r="GU32" s="215">
        <f t="shared" si="123"/>
        <v>0</v>
      </c>
      <c r="GV32" s="215">
        <f t="shared" si="124"/>
        <v>0</v>
      </c>
      <c r="GW32" s="215">
        <f t="shared" si="125"/>
        <v>0</v>
      </c>
      <c r="GX32" s="215">
        <f t="shared" si="126"/>
        <v>0</v>
      </c>
      <c r="GY32" s="215">
        <f t="shared" si="127"/>
        <v>0</v>
      </c>
      <c r="GZ32" s="215">
        <f t="shared" si="128"/>
        <v>0</v>
      </c>
      <c r="HA32" s="215">
        <f t="shared" si="129"/>
        <v>0</v>
      </c>
      <c r="HB32" s="215">
        <f t="shared" si="130"/>
        <v>0</v>
      </c>
      <c r="HC32" s="215">
        <f t="shared" si="131"/>
        <v>0</v>
      </c>
      <c r="HD32" s="215">
        <f t="shared" si="132"/>
        <v>0</v>
      </c>
      <c r="HE32" s="215">
        <f t="shared" si="133"/>
        <v>0</v>
      </c>
      <c r="HF32" s="215">
        <f t="shared" si="134"/>
        <v>0</v>
      </c>
      <c r="HG32" s="215">
        <f t="shared" si="135"/>
        <v>0</v>
      </c>
      <c r="HH32" s="215">
        <f t="shared" si="136"/>
        <v>0</v>
      </c>
      <c r="HI32" s="215">
        <f t="shared" si="137"/>
        <v>0</v>
      </c>
      <c r="HJ32" s="215">
        <f t="shared" si="138"/>
        <v>0</v>
      </c>
      <c r="HK32" s="215">
        <f t="shared" si="139"/>
        <v>0</v>
      </c>
      <c r="HL32" s="211">
        <f t="shared" si="140"/>
        <v>0</v>
      </c>
      <c r="HM32" s="51">
        <f t="shared" si="141"/>
        <v>0</v>
      </c>
    </row>
    <row r="33" spans="1:222">
      <c r="A33" s="49" t="s">
        <v>53</v>
      </c>
      <c r="B33" s="51">
        <v>12.42794285714286</v>
      </c>
      <c r="C33" s="51" t="s">
        <v>277</v>
      </c>
      <c r="D33" s="51">
        <f t="shared" si="0"/>
        <v>0</v>
      </c>
      <c r="E33" s="51" t="str">
        <f t="shared" si="1"/>
        <v/>
      </c>
      <c r="F33" s="51">
        <v>13.575942857142859</v>
      </c>
      <c r="G33" s="51" t="s">
        <v>277</v>
      </c>
      <c r="H33" s="51">
        <f t="shared" si="2"/>
        <v>0</v>
      </c>
      <c r="I33" s="51" t="str">
        <f t="shared" si="3"/>
        <v/>
      </c>
      <c r="J33" s="51">
        <v>14.200742857142856</v>
      </c>
      <c r="K33" s="51" t="s">
        <v>277</v>
      </c>
      <c r="L33" s="51">
        <f t="shared" si="4"/>
        <v>0</v>
      </c>
      <c r="M33" s="51" t="str">
        <f t="shared" si="5"/>
        <v/>
      </c>
      <c r="N33" s="51">
        <v>13.632742857142858</v>
      </c>
      <c r="O33" s="51" t="s">
        <v>277</v>
      </c>
      <c r="P33" s="51">
        <f t="shared" si="6"/>
        <v>0</v>
      </c>
      <c r="Q33" s="51" t="str">
        <f t="shared" si="7"/>
        <v/>
      </c>
      <c r="R33" s="51">
        <v>13.774742857142858</v>
      </c>
      <c r="S33" s="51" t="s">
        <v>277</v>
      </c>
      <c r="T33" s="51">
        <f t="shared" si="8"/>
        <v>0</v>
      </c>
      <c r="U33" s="51" t="str">
        <f t="shared" si="9"/>
        <v/>
      </c>
      <c r="V33" s="51">
        <v>14.683542857142855</v>
      </c>
      <c r="W33" s="51" t="s">
        <v>277</v>
      </c>
      <c r="X33" s="51">
        <f t="shared" si="10"/>
        <v>0</v>
      </c>
      <c r="Y33" s="51" t="str">
        <f t="shared" si="11"/>
        <v/>
      </c>
      <c r="Z33" s="51">
        <v>14.626742857142856</v>
      </c>
      <c r="AA33" s="51" t="s">
        <v>277</v>
      </c>
      <c r="AB33" s="51">
        <f t="shared" si="12"/>
        <v>0</v>
      </c>
      <c r="AC33" s="51" t="str">
        <f t="shared" si="13"/>
        <v/>
      </c>
      <c r="AD33" s="51">
        <v>15.251542857142857</v>
      </c>
      <c r="AE33" s="51" t="s">
        <v>277</v>
      </c>
      <c r="AF33" s="51">
        <f t="shared" si="14"/>
        <v>0</v>
      </c>
      <c r="AG33" s="51" t="str">
        <f t="shared" si="15"/>
        <v/>
      </c>
      <c r="AH33" s="51">
        <v>14.967542857142856</v>
      </c>
      <c r="AI33" s="51" t="s">
        <v>277</v>
      </c>
      <c r="AJ33" s="51">
        <f t="shared" si="16"/>
        <v>0</v>
      </c>
      <c r="AK33" s="51" t="str">
        <f t="shared" si="17"/>
        <v/>
      </c>
      <c r="AL33" s="51">
        <v>17.807542857142856</v>
      </c>
      <c r="AM33" s="51" t="s">
        <v>277</v>
      </c>
      <c r="AN33" s="51">
        <f t="shared" si="18"/>
        <v>0</v>
      </c>
      <c r="AO33" s="51" t="str">
        <f t="shared" si="19"/>
        <v/>
      </c>
      <c r="AP33" s="51">
        <v>15.535542857142858</v>
      </c>
      <c r="AQ33" s="51" t="s">
        <v>277</v>
      </c>
      <c r="AR33" s="51">
        <f t="shared" si="20"/>
        <v>0</v>
      </c>
      <c r="AS33" s="51" t="str">
        <f t="shared" si="21"/>
        <v/>
      </c>
      <c r="AT33" s="51">
        <v>27.209657142857143</v>
      </c>
      <c r="AU33" s="51" t="s">
        <v>277</v>
      </c>
      <c r="AV33" s="51">
        <f t="shared" si="22"/>
        <v>0</v>
      </c>
      <c r="AW33" s="51" t="str">
        <f t="shared" si="23"/>
        <v/>
      </c>
      <c r="AX33" s="51">
        <v>25.64594285714286</v>
      </c>
      <c r="AY33" s="51" t="s">
        <v>277</v>
      </c>
      <c r="AZ33" s="51">
        <f t="shared" si="24"/>
        <v>0</v>
      </c>
      <c r="BA33" s="51" t="str">
        <f t="shared" si="25"/>
        <v/>
      </c>
      <c r="BB33" s="51">
        <v>19.539942857142854</v>
      </c>
      <c r="BC33" s="51" t="s">
        <v>277</v>
      </c>
      <c r="BD33" s="51">
        <f t="shared" si="107"/>
        <v>0</v>
      </c>
      <c r="BE33" s="51" t="str">
        <f t="shared" si="108"/>
        <v/>
      </c>
      <c r="BF33" s="51">
        <v>18.006342857142858</v>
      </c>
      <c r="BG33" s="51" t="s">
        <v>277</v>
      </c>
      <c r="BH33" s="51">
        <f t="shared" si="28"/>
        <v>0</v>
      </c>
      <c r="BI33" s="51" t="str">
        <f t="shared" si="29"/>
        <v/>
      </c>
      <c r="BJ33" s="51">
        <v>18.375542857142857</v>
      </c>
      <c r="BK33" s="51" t="s">
        <v>277</v>
      </c>
      <c r="BL33" s="51">
        <f t="shared" si="30"/>
        <v>0</v>
      </c>
      <c r="BM33" s="51" t="str">
        <f t="shared" si="31"/>
        <v/>
      </c>
      <c r="BN33" s="51">
        <v>18.517542857142857</v>
      </c>
      <c r="BO33" s="51" t="s">
        <v>277</v>
      </c>
      <c r="BP33" s="51">
        <f t="shared" si="32"/>
        <v>0</v>
      </c>
      <c r="BQ33" s="51" t="str">
        <f t="shared" si="33"/>
        <v/>
      </c>
      <c r="BR33" s="51">
        <v>23.061542857142854</v>
      </c>
      <c r="BS33" s="51" t="s">
        <v>277</v>
      </c>
      <c r="BT33" s="51">
        <f t="shared" si="34"/>
        <v>0</v>
      </c>
      <c r="BU33" s="51" t="str">
        <f t="shared" si="35"/>
        <v/>
      </c>
      <c r="BV33" s="51">
        <v>19.795542857142856</v>
      </c>
      <c r="BW33" s="51" t="s">
        <v>277</v>
      </c>
      <c r="BX33" s="51">
        <f t="shared" si="109"/>
        <v>0</v>
      </c>
      <c r="BY33" s="51" t="str">
        <f t="shared" si="110"/>
        <v/>
      </c>
      <c r="BZ33" s="51">
        <v>19.369542857142854</v>
      </c>
      <c r="CA33" s="51" t="s">
        <v>277</v>
      </c>
      <c r="CB33" s="51">
        <f t="shared" si="111"/>
        <v>0</v>
      </c>
      <c r="CC33" s="51" t="str">
        <f t="shared" si="112"/>
        <v/>
      </c>
      <c r="CD33" s="51">
        <v>17.949542857142859</v>
      </c>
      <c r="CE33" s="51" t="s">
        <v>277</v>
      </c>
      <c r="CF33" s="51">
        <f t="shared" si="40"/>
        <v>0</v>
      </c>
      <c r="CG33" s="51" t="str">
        <f t="shared" si="41"/>
        <v/>
      </c>
      <c r="CH33" s="51">
        <v>21.755142857142857</v>
      </c>
      <c r="CI33" s="51" t="s">
        <v>277</v>
      </c>
      <c r="CJ33" s="51">
        <f t="shared" si="144"/>
        <v>0</v>
      </c>
      <c r="CK33" s="51" t="str">
        <f t="shared" si="145"/>
        <v/>
      </c>
      <c r="CL33" s="51">
        <v>23.657942857142853</v>
      </c>
      <c r="CM33" s="51" t="s">
        <v>277</v>
      </c>
      <c r="CN33" s="51">
        <f t="shared" si="113"/>
        <v>0</v>
      </c>
      <c r="CO33" s="51" t="str">
        <f t="shared" si="114"/>
        <v/>
      </c>
      <c r="CP33" s="51">
        <v>24.680342857142858</v>
      </c>
      <c r="CQ33" s="51" t="s">
        <v>277</v>
      </c>
      <c r="CR33" s="51">
        <f t="shared" si="46"/>
        <v>0</v>
      </c>
      <c r="CS33" s="51" t="str">
        <f t="shared" si="47"/>
        <v/>
      </c>
      <c r="CT33" s="51">
        <v>21.146742857142858</v>
      </c>
      <c r="CU33" s="230" t="s">
        <v>277</v>
      </c>
      <c r="CV33" s="51">
        <f t="shared" si="48"/>
        <v>0</v>
      </c>
      <c r="CW33" s="51" t="str">
        <f t="shared" si="49"/>
        <v/>
      </c>
      <c r="CX33" s="51">
        <v>21.300742857142858</v>
      </c>
      <c r="CY33" s="230" t="s">
        <v>277</v>
      </c>
      <c r="CZ33" s="51">
        <f t="shared" si="115"/>
        <v>0</v>
      </c>
      <c r="DA33" s="51" t="str">
        <f t="shared" si="116"/>
        <v/>
      </c>
      <c r="DB33" s="51">
        <v>19.596742857142853</v>
      </c>
      <c r="DC33" s="230" t="s">
        <v>277</v>
      </c>
      <c r="DD33" s="51">
        <f t="shared" si="52"/>
        <v>0</v>
      </c>
      <c r="DE33" s="51" t="str">
        <f t="shared" si="53"/>
        <v/>
      </c>
      <c r="DF33" s="51">
        <v>22.294742857142857</v>
      </c>
      <c r="DG33" s="230" t="s">
        <v>277</v>
      </c>
      <c r="DH33" s="51">
        <f t="shared" si="54"/>
        <v>0</v>
      </c>
      <c r="DI33" s="51" t="str">
        <f t="shared" si="55"/>
        <v/>
      </c>
      <c r="DJ33" s="51">
        <v>27.548742857142855</v>
      </c>
      <c r="DK33" s="51" t="s">
        <v>277</v>
      </c>
      <c r="DL33" s="51">
        <f t="shared" si="56"/>
        <v>0</v>
      </c>
      <c r="DM33" s="51" t="str">
        <f t="shared" si="57"/>
        <v/>
      </c>
      <c r="DN33" s="51">
        <v>21.868742857142859</v>
      </c>
      <c r="DO33" s="51" t="s">
        <v>277</v>
      </c>
      <c r="DP33" s="51">
        <f t="shared" si="58"/>
        <v>0</v>
      </c>
      <c r="DQ33" s="51" t="str">
        <f t="shared" si="59"/>
        <v/>
      </c>
      <c r="DR33" s="51">
        <v>21.868742857142859</v>
      </c>
      <c r="DS33" s="51" t="s">
        <v>277</v>
      </c>
      <c r="DT33" s="51">
        <f t="shared" si="60"/>
        <v>0</v>
      </c>
      <c r="DU33" s="51" t="str">
        <f t="shared" si="61"/>
        <v/>
      </c>
      <c r="DV33" s="51">
        <v>21.300742857142858</v>
      </c>
      <c r="DW33" s="230" t="s">
        <v>277</v>
      </c>
      <c r="DX33" s="51">
        <f t="shared" si="62"/>
        <v>0</v>
      </c>
      <c r="DY33" s="51" t="str">
        <f t="shared" si="63"/>
        <v/>
      </c>
      <c r="DZ33" s="51">
        <v>21.613142857142854</v>
      </c>
      <c r="EA33" s="51" t="s">
        <v>277</v>
      </c>
      <c r="EB33" s="51">
        <f t="shared" si="64"/>
        <v>0</v>
      </c>
      <c r="EC33" s="51" t="str">
        <f t="shared" si="65"/>
        <v/>
      </c>
      <c r="ED33" s="51">
        <v>26.725142857142856</v>
      </c>
      <c r="EE33" s="51" t="s">
        <v>277</v>
      </c>
      <c r="EF33" s="51">
        <f t="shared" si="66"/>
        <v>0</v>
      </c>
      <c r="EG33" s="51" t="str">
        <f t="shared" si="67"/>
        <v/>
      </c>
      <c r="EH33" s="51">
        <v>20.335142857142859</v>
      </c>
      <c r="EI33" s="230" t="s">
        <v>277</v>
      </c>
      <c r="EJ33" s="250">
        <f t="shared" si="68"/>
        <v>0</v>
      </c>
      <c r="EK33" s="51" t="str">
        <f t="shared" si="69"/>
        <v/>
      </c>
      <c r="EL33" s="51">
        <v>26.157142857142858</v>
      </c>
      <c r="EM33" s="250" t="s">
        <v>277</v>
      </c>
      <c r="EN33" s="230">
        <f t="shared" si="70"/>
        <v>0</v>
      </c>
      <c r="EO33" s="51" t="str">
        <f t="shared" si="71"/>
        <v/>
      </c>
      <c r="EP33" s="51">
        <v>24.319714285714284</v>
      </c>
      <c r="EQ33" s="230" t="s">
        <v>277</v>
      </c>
      <c r="ER33" s="51">
        <f t="shared" si="72"/>
        <v>0</v>
      </c>
      <c r="ES33" s="51" t="str">
        <f t="shared" si="73"/>
        <v/>
      </c>
      <c r="ET33" s="51">
        <v>25.739714285714282</v>
      </c>
      <c r="EU33" s="230" t="s">
        <v>277</v>
      </c>
      <c r="EV33" s="51">
        <f t="shared" si="117"/>
        <v>0</v>
      </c>
      <c r="EW33" s="51" t="str">
        <f t="shared" si="75"/>
        <v/>
      </c>
      <c r="EX33" s="51">
        <v>25.597714285714286</v>
      </c>
      <c r="EY33" s="51" t="s">
        <v>277</v>
      </c>
      <c r="EZ33" s="51">
        <f t="shared" si="76"/>
        <v>0</v>
      </c>
      <c r="FA33" s="51" t="str">
        <f t="shared" si="77"/>
        <v/>
      </c>
      <c r="FB33" s="51">
        <v>24.461714285714283</v>
      </c>
      <c r="FC33" s="51" t="s">
        <v>277</v>
      </c>
      <c r="FD33" s="51">
        <f t="shared" si="78"/>
        <v>0</v>
      </c>
      <c r="FE33" s="51" t="str">
        <f t="shared" si="79"/>
        <v/>
      </c>
      <c r="FF33" s="51">
        <v>30.652914285714282</v>
      </c>
      <c r="FG33" s="51" t="s">
        <v>277</v>
      </c>
      <c r="FH33" s="51">
        <f t="shared" si="146"/>
        <v>0</v>
      </c>
      <c r="FI33" s="51" t="str">
        <f t="shared" si="147"/>
        <v/>
      </c>
      <c r="FJ33" s="51">
        <v>27.017714285714284</v>
      </c>
      <c r="FK33" s="230" t="s">
        <v>277</v>
      </c>
      <c r="FL33" s="51">
        <f t="shared" si="82"/>
        <v>0</v>
      </c>
      <c r="FM33" s="51" t="str">
        <f t="shared" si="83"/>
        <v/>
      </c>
      <c r="FN33" s="51">
        <v>23.938028571428571</v>
      </c>
      <c r="FO33" s="51"/>
      <c r="FP33" s="51"/>
      <c r="FQ33" s="51"/>
      <c r="FR33" s="51">
        <f t="shared" si="118"/>
        <v>0</v>
      </c>
      <c r="FS33" s="14">
        <f t="shared" si="119"/>
        <v>0</v>
      </c>
      <c r="FT33">
        <f t="shared" si="120"/>
        <v>0</v>
      </c>
      <c r="FV33" s="215">
        <f t="shared" si="84"/>
        <v>0</v>
      </c>
      <c r="FW33" s="215">
        <f t="shared" si="85"/>
        <v>0</v>
      </c>
      <c r="FX33" s="215">
        <f t="shared" si="86"/>
        <v>0</v>
      </c>
      <c r="FY33" s="215">
        <f t="shared" si="87"/>
        <v>0</v>
      </c>
      <c r="FZ33" s="215">
        <f t="shared" si="88"/>
        <v>0</v>
      </c>
      <c r="GA33" s="215">
        <f t="shared" si="89"/>
        <v>0</v>
      </c>
      <c r="GB33" s="215">
        <f t="shared" si="90"/>
        <v>0</v>
      </c>
      <c r="GC33" s="215">
        <f t="shared" si="91"/>
        <v>0</v>
      </c>
      <c r="GD33" s="215">
        <f t="shared" si="92"/>
        <v>0</v>
      </c>
      <c r="GE33" s="215">
        <f t="shared" si="93"/>
        <v>0</v>
      </c>
      <c r="GF33" s="215">
        <f t="shared" si="148"/>
        <v>0</v>
      </c>
      <c r="GG33" s="215">
        <f t="shared" si="95"/>
        <v>0</v>
      </c>
      <c r="GH33" s="215">
        <f t="shared" si="96"/>
        <v>0</v>
      </c>
      <c r="GI33" s="215">
        <f t="shared" si="97"/>
        <v>0</v>
      </c>
      <c r="GJ33" s="215">
        <f t="shared" si="98"/>
        <v>0</v>
      </c>
      <c r="GK33" s="215">
        <f t="shared" si="99"/>
        <v>0</v>
      </c>
      <c r="GL33" s="215">
        <f t="shared" si="100"/>
        <v>0</v>
      </c>
      <c r="GM33" s="215">
        <f t="shared" si="101"/>
        <v>0</v>
      </c>
      <c r="GN33" s="215">
        <f t="shared" si="102"/>
        <v>0</v>
      </c>
      <c r="GO33" s="215">
        <f t="shared" si="103"/>
        <v>0</v>
      </c>
      <c r="GP33" s="215">
        <f t="shared" si="104"/>
        <v>0</v>
      </c>
      <c r="GQ33" s="215">
        <f t="shared" si="105"/>
        <v>0</v>
      </c>
      <c r="GR33" s="215">
        <f t="shared" si="106"/>
        <v>0</v>
      </c>
      <c r="GS33" s="215">
        <f t="shared" si="121"/>
        <v>0</v>
      </c>
      <c r="GT33" s="215">
        <f t="shared" si="122"/>
        <v>0</v>
      </c>
      <c r="GU33" s="215">
        <f t="shared" si="123"/>
        <v>0</v>
      </c>
      <c r="GV33" s="215">
        <f t="shared" si="124"/>
        <v>0</v>
      </c>
      <c r="GW33" s="215">
        <f t="shared" si="125"/>
        <v>0</v>
      </c>
      <c r="GX33" s="215">
        <f t="shared" si="126"/>
        <v>0</v>
      </c>
      <c r="GY33" s="215">
        <f t="shared" si="127"/>
        <v>0</v>
      </c>
      <c r="GZ33" s="215">
        <f t="shared" si="128"/>
        <v>0</v>
      </c>
      <c r="HA33" s="215">
        <f t="shared" si="129"/>
        <v>0</v>
      </c>
      <c r="HB33" s="215">
        <f t="shared" si="130"/>
        <v>0</v>
      </c>
      <c r="HC33" s="215">
        <f t="shared" si="131"/>
        <v>0</v>
      </c>
      <c r="HD33" s="215">
        <f t="shared" si="132"/>
        <v>0</v>
      </c>
      <c r="HE33" s="215">
        <f t="shared" si="133"/>
        <v>0</v>
      </c>
      <c r="HF33" s="215">
        <f t="shared" si="134"/>
        <v>0</v>
      </c>
      <c r="HG33" s="215">
        <f t="shared" si="135"/>
        <v>0</v>
      </c>
      <c r="HH33" s="215">
        <f t="shared" si="136"/>
        <v>0</v>
      </c>
      <c r="HI33" s="215">
        <f t="shared" si="137"/>
        <v>0</v>
      </c>
      <c r="HJ33" s="215">
        <f t="shared" si="138"/>
        <v>0</v>
      </c>
      <c r="HK33" s="215">
        <f t="shared" si="139"/>
        <v>0</v>
      </c>
      <c r="HL33" s="211">
        <f t="shared" si="140"/>
        <v>0</v>
      </c>
      <c r="HM33" s="51">
        <f t="shared" si="141"/>
        <v>0</v>
      </c>
    </row>
    <row r="34" spans="1:222">
      <c r="A34" s="49" t="s">
        <v>54</v>
      </c>
      <c r="B34" s="51">
        <v>12.697542857142857</v>
      </c>
      <c r="C34" s="51" t="s">
        <v>277</v>
      </c>
      <c r="D34" s="51">
        <f t="shared" si="0"/>
        <v>0</v>
      </c>
      <c r="E34" s="51" t="str">
        <f t="shared" si="1"/>
        <v/>
      </c>
      <c r="F34" s="51">
        <v>13.821542857142857</v>
      </c>
      <c r="G34" s="51" t="s">
        <v>277</v>
      </c>
      <c r="H34" s="51">
        <f t="shared" si="2"/>
        <v>0</v>
      </c>
      <c r="I34" s="51" t="str">
        <f t="shared" si="3"/>
        <v/>
      </c>
      <c r="J34" s="51">
        <v>14.463942857142857</v>
      </c>
      <c r="K34" s="51" t="s">
        <v>277</v>
      </c>
      <c r="L34" s="51">
        <f t="shared" si="4"/>
        <v>0</v>
      </c>
      <c r="M34" s="51" t="str">
        <f t="shared" si="5"/>
        <v/>
      </c>
      <c r="N34" s="51">
        <v>13.879942857142858</v>
      </c>
      <c r="O34" s="51" t="s">
        <v>277</v>
      </c>
      <c r="P34" s="51">
        <f t="shared" si="6"/>
        <v>0</v>
      </c>
      <c r="Q34" s="51" t="str">
        <f t="shared" si="7"/>
        <v/>
      </c>
      <c r="R34" s="51">
        <v>14.025942857142859</v>
      </c>
      <c r="S34" s="51" t="s">
        <v>277</v>
      </c>
      <c r="T34" s="51">
        <f t="shared" si="8"/>
        <v>0</v>
      </c>
      <c r="U34" s="51" t="str">
        <f t="shared" si="9"/>
        <v/>
      </c>
      <c r="V34" s="51">
        <v>14.960342857142859</v>
      </c>
      <c r="W34" s="51" t="s">
        <v>277</v>
      </c>
      <c r="X34" s="51">
        <f t="shared" si="10"/>
        <v>0</v>
      </c>
      <c r="Y34" s="51" t="str">
        <f t="shared" si="11"/>
        <v/>
      </c>
      <c r="Z34" s="51">
        <v>14.901942857142858</v>
      </c>
      <c r="AA34" s="51" t="s">
        <v>277</v>
      </c>
      <c r="AB34" s="51">
        <f t="shared" si="12"/>
        <v>0</v>
      </c>
      <c r="AC34" s="51" t="str">
        <f t="shared" si="13"/>
        <v/>
      </c>
      <c r="AD34" s="51">
        <v>15.544342857142858</v>
      </c>
      <c r="AE34" s="51" t="s">
        <v>277</v>
      </c>
      <c r="AF34" s="51">
        <f t="shared" si="14"/>
        <v>0</v>
      </c>
      <c r="AG34" s="51" t="str">
        <f t="shared" si="15"/>
        <v/>
      </c>
      <c r="AH34" s="51">
        <v>15.252342857142857</v>
      </c>
      <c r="AI34" s="51" t="s">
        <v>277</v>
      </c>
      <c r="AJ34" s="51">
        <f t="shared" si="16"/>
        <v>0</v>
      </c>
      <c r="AK34" s="51" t="str">
        <f t="shared" si="17"/>
        <v/>
      </c>
      <c r="AL34" s="51">
        <v>18.172342857142855</v>
      </c>
      <c r="AM34" s="51" t="s">
        <v>277</v>
      </c>
      <c r="AN34" s="51">
        <f t="shared" si="18"/>
        <v>0</v>
      </c>
      <c r="AO34" s="51" t="str">
        <f t="shared" si="19"/>
        <v/>
      </c>
      <c r="AP34" s="51">
        <v>15.836342857142858</v>
      </c>
      <c r="AQ34" s="51" t="s">
        <v>277</v>
      </c>
      <c r="AR34" s="51">
        <f t="shared" si="20"/>
        <v>0</v>
      </c>
      <c r="AS34" s="51" t="str">
        <f t="shared" si="21"/>
        <v/>
      </c>
      <c r="AT34" s="51">
        <v>27.83125714285714</v>
      </c>
      <c r="AU34" s="51" t="s">
        <v>277</v>
      </c>
      <c r="AV34" s="51">
        <f t="shared" si="22"/>
        <v>0</v>
      </c>
      <c r="AW34" s="51" t="str">
        <f t="shared" si="23"/>
        <v/>
      </c>
      <c r="AX34" s="51">
        <v>26.231542857142855</v>
      </c>
      <c r="AY34" s="51" t="s">
        <v>277</v>
      </c>
      <c r="AZ34" s="51">
        <f t="shared" si="24"/>
        <v>0</v>
      </c>
      <c r="BA34" s="51" t="str">
        <f t="shared" si="25"/>
        <v/>
      </c>
      <c r="BB34" s="51">
        <v>19.953542857142857</v>
      </c>
      <c r="BC34" s="51" t="s">
        <v>277</v>
      </c>
      <c r="BD34" s="51">
        <f t="shared" si="107"/>
        <v>0</v>
      </c>
      <c r="BE34" s="51" t="str">
        <f t="shared" si="108"/>
        <v/>
      </c>
      <c r="BF34" s="51">
        <v>18.376742857142855</v>
      </c>
      <c r="BG34" s="51" t="s">
        <v>277</v>
      </c>
      <c r="BH34" s="51">
        <f t="shared" si="28"/>
        <v>0</v>
      </c>
      <c r="BI34" s="51" t="str">
        <f t="shared" si="29"/>
        <v/>
      </c>
      <c r="BJ34" s="51">
        <v>18.756342857142855</v>
      </c>
      <c r="BK34" s="51" t="s">
        <v>277</v>
      </c>
      <c r="BL34" s="51">
        <f t="shared" si="30"/>
        <v>0</v>
      </c>
      <c r="BM34" s="51" t="str">
        <f t="shared" si="31"/>
        <v/>
      </c>
      <c r="BN34" s="51">
        <v>18.902342857142855</v>
      </c>
      <c r="BO34" s="51" t="s">
        <v>277</v>
      </c>
      <c r="BP34" s="51">
        <f t="shared" si="32"/>
        <v>0</v>
      </c>
      <c r="BQ34" s="51" t="str">
        <f t="shared" si="33"/>
        <v/>
      </c>
      <c r="BR34" s="51">
        <v>23.574342857142856</v>
      </c>
      <c r="BS34" s="51" t="s">
        <v>277</v>
      </c>
      <c r="BT34" s="51">
        <f t="shared" si="34"/>
        <v>0</v>
      </c>
      <c r="BU34" s="51" t="str">
        <f t="shared" si="35"/>
        <v/>
      </c>
      <c r="BV34" s="51">
        <v>20.216342857142855</v>
      </c>
      <c r="BW34" s="51" t="s">
        <v>277</v>
      </c>
      <c r="BX34" s="51">
        <f t="shared" si="109"/>
        <v>0</v>
      </c>
      <c r="BY34" s="51" t="str">
        <f t="shared" si="110"/>
        <v/>
      </c>
      <c r="BZ34" s="51">
        <v>19.778342857142853</v>
      </c>
      <c r="CA34" s="51" t="s">
        <v>277</v>
      </c>
      <c r="CB34" s="51">
        <f t="shared" si="111"/>
        <v>0</v>
      </c>
      <c r="CC34" s="51" t="str">
        <f t="shared" si="112"/>
        <v/>
      </c>
      <c r="CD34" s="51">
        <v>18.318342857142856</v>
      </c>
      <c r="CE34" s="51" t="s">
        <v>277</v>
      </c>
      <c r="CF34" s="51">
        <f t="shared" si="40"/>
        <v>0</v>
      </c>
      <c r="CG34" s="51" t="str">
        <f t="shared" si="41"/>
        <v/>
      </c>
      <c r="CH34" s="51">
        <v>22.231142857142856</v>
      </c>
      <c r="CI34" s="51" t="s">
        <v>277</v>
      </c>
      <c r="CJ34" s="51">
        <f t="shared" si="144"/>
        <v>0</v>
      </c>
      <c r="CK34" s="51" t="str">
        <f t="shared" si="145"/>
        <v/>
      </c>
      <c r="CL34" s="51">
        <v>24.187542857142859</v>
      </c>
      <c r="CM34" s="51" t="s">
        <v>277</v>
      </c>
      <c r="CN34" s="51">
        <f t="shared" si="113"/>
        <v>0</v>
      </c>
      <c r="CO34" s="51" t="str">
        <f t="shared" si="114"/>
        <v/>
      </c>
      <c r="CP34" s="51">
        <v>25.238742857142856</v>
      </c>
      <c r="CQ34" s="51" t="s">
        <v>277</v>
      </c>
      <c r="CR34" s="51">
        <f t="shared" si="46"/>
        <v>0</v>
      </c>
      <c r="CS34" s="51" t="str">
        <f t="shared" si="47"/>
        <v/>
      </c>
      <c r="CT34" s="51">
        <v>21.661942857142858</v>
      </c>
      <c r="CU34" s="230" t="s">
        <v>277</v>
      </c>
      <c r="CV34" s="51">
        <f t="shared" si="48"/>
        <v>0</v>
      </c>
      <c r="CW34" s="51" t="str">
        <f t="shared" si="49"/>
        <v/>
      </c>
      <c r="CX34" s="51">
        <v>21.763942857142858</v>
      </c>
      <c r="CY34" s="230" t="s">
        <v>277</v>
      </c>
      <c r="CZ34" s="51">
        <f t="shared" si="115"/>
        <v>0</v>
      </c>
      <c r="DA34" s="51" t="str">
        <f t="shared" si="116"/>
        <v/>
      </c>
      <c r="DB34" s="51">
        <v>20.011942857142859</v>
      </c>
      <c r="DC34" s="230" t="s">
        <v>277</v>
      </c>
      <c r="DD34" s="51">
        <f t="shared" si="52"/>
        <v>0</v>
      </c>
      <c r="DE34" s="51" t="str">
        <f t="shared" si="53"/>
        <v/>
      </c>
      <c r="DF34" s="51">
        <v>22.78594285714286</v>
      </c>
      <c r="DG34" s="230" t="s">
        <v>277</v>
      </c>
      <c r="DH34" s="51">
        <f t="shared" si="54"/>
        <v>0</v>
      </c>
      <c r="DI34" s="51" t="str">
        <f t="shared" si="55"/>
        <v/>
      </c>
      <c r="DJ34" s="51">
        <v>28.187942857142854</v>
      </c>
      <c r="DK34" s="51" t="s">
        <v>277</v>
      </c>
      <c r="DL34" s="51">
        <f t="shared" si="56"/>
        <v>0</v>
      </c>
      <c r="DM34" s="51" t="str">
        <f t="shared" si="57"/>
        <v/>
      </c>
      <c r="DN34" s="51">
        <v>22.347942857142854</v>
      </c>
      <c r="DO34" s="51" t="s">
        <v>277</v>
      </c>
      <c r="DP34" s="51">
        <f t="shared" si="58"/>
        <v>0</v>
      </c>
      <c r="DQ34" s="51" t="str">
        <f t="shared" si="59"/>
        <v/>
      </c>
      <c r="DR34" s="51">
        <v>22.347942857142858</v>
      </c>
      <c r="DS34" s="51" t="s">
        <v>277</v>
      </c>
      <c r="DT34" s="51">
        <f t="shared" si="60"/>
        <v>0</v>
      </c>
      <c r="DU34" s="51" t="str">
        <f t="shared" si="61"/>
        <v/>
      </c>
      <c r="DV34" s="51">
        <v>21.763942857142858</v>
      </c>
      <c r="DW34" s="230" t="s">
        <v>277</v>
      </c>
      <c r="DX34" s="51">
        <f t="shared" si="62"/>
        <v>0</v>
      </c>
      <c r="DY34" s="51" t="str">
        <f t="shared" si="63"/>
        <v/>
      </c>
      <c r="DZ34" s="51">
        <v>22.085142857142859</v>
      </c>
      <c r="EA34" s="51" t="s">
        <v>277</v>
      </c>
      <c r="EB34" s="51">
        <f t="shared" si="64"/>
        <v>0</v>
      </c>
      <c r="EC34" s="51" t="str">
        <f t="shared" si="65"/>
        <v/>
      </c>
      <c r="ED34" s="51">
        <v>27.341142857142859</v>
      </c>
      <c r="EE34" s="51" t="s">
        <v>277</v>
      </c>
      <c r="EF34" s="51">
        <f t="shared" si="66"/>
        <v>0</v>
      </c>
      <c r="EG34" s="51" t="str">
        <f t="shared" si="67"/>
        <v/>
      </c>
      <c r="EH34" s="51">
        <v>20.771142857142859</v>
      </c>
      <c r="EI34" s="230" t="s">
        <v>277</v>
      </c>
      <c r="EJ34" s="250">
        <f t="shared" si="68"/>
        <v>0</v>
      </c>
      <c r="EK34" s="51" t="str">
        <f t="shared" si="69"/>
        <v/>
      </c>
      <c r="EL34" s="51">
        <v>26.75714285714286</v>
      </c>
      <c r="EM34" s="250" t="s">
        <v>277</v>
      </c>
      <c r="EN34" s="230">
        <f t="shared" si="70"/>
        <v>0</v>
      </c>
      <c r="EO34" s="51" t="str">
        <f t="shared" si="71"/>
        <v/>
      </c>
      <c r="EP34" s="51">
        <v>24.827714285714283</v>
      </c>
      <c r="EQ34" s="230" t="s">
        <v>277</v>
      </c>
      <c r="ER34" s="51">
        <f t="shared" si="72"/>
        <v>0</v>
      </c>
      <c r="ES34" s="51" t="str">
        <f t="shared" si="73"/>
        <v/>
      </c>
      <c r="ET34" s="51">
        <v>26.287714285714284</v>
      </c>
      <c r="EU34" s="230" t="s">
        <v>277</v>
      </c>
      <c r="EV34" s="51">
        <f t="shared" si="117"/>
        <v>0</v>
      </c>
      <c r="EW34" s="51" t="str">
        <f t="shared" si="75"/>
        <v/>
      </c>
      <c r="EX34" s="51">
        <v>26.141714285714283</v>
      </c>
      <c r="EY34" s="51" t="s">
        <v>277</v>
      </c>
      <c r="EZ34" s="51">
        <f t="shared" si="76"/>
        <v>0</v>
      </c>
      <c r="FA34" s="51" t="str">
        <f t="shared" si="77"/>
        <v/>
      </c>
      <c r="FB34" s="51">
        <v>24.973714285714284</v>
      </c>
      <c r="FC34" s="51" t="s">
        <v>277</v>
      </c>
      <c r="FD34" s="51">
        <f t="shared" si="78"/>
        <v>0</v>
      </c>
      <c r="FE34" s="51" t="str">
        <f t="shared" si="79"/>
        <v/>
      </c>
      <c r="FF34" s="51">
        <v>31.339314285714284</v>
      </c>
      <c r="FG34" s="51" t="s">
        <v>277</v>
      </c>
      <c r="FH34" s="51">
        <f t="shared" si="146"/>
        <v>0</v>
      </c>
      <c r="FI34" s="51" t="str">
        <f t="shared" si="147"/>
        <v/>
      </c>
      <c r="FJ34" s="51">
        <v>27.601714285714284</v>
      </c>
      <c r="FK34" s="230" t="s">
        <v>277</v>
      </c>
      <c r="FL34" s="51">
        <f t="shared" si="82"/>
        <v>0</v>
      </c>
      <c r="FM34" s="51" t="str">
        <f t="shared" si="83"/>
        <v/>
      </c>
      <c r="FN34" s="51">
        <v>24.427228571428568</v>
      </c>
      <c r="FO34" s="51"/>
      <c r="FP34" s="51"/>
      <c r="FQ34" s="51"/>
      <c r="FR34" s="51">
        <f t="shared" si="118"/>
        <v>0</v>
      </c>
      <c r="FS34" s="14">
        <f t="shared" si="119"/>
        <v>0</v>
      </c>
      <c r="FT34">
        <f t="shared" si="120"/>
        <v>0</v>
      </c>
      <c r="FV34" s="215">
        <f t="shared" si="84"/>
        <v>0</v>
      </c>
      <c r="FW34" s="215">
        <f t="shared" si="85"/>
        <v>0</v>
      </c>
      <c r="FX34" s="215">
        <f t="shared" si="86"/>
        <v>0</v>
      </c>
      <c r="FY34" s="215">
        <f t="shared" si="87"/>
        <v>0</v>
      </c>
      <c r="FZ34" s="215">
        <f t="shared" si="88"/>
        <v>0</v>
      </c>
      <c r="GA34" s="215">
        <f t="shared" si="89"/>
        <v>0</v>
      </c>
      <c r="GB34" s="215">
        <f t="shared" si="90"/>
        <v>0</v>
      </c>
      <c r="GC34" s="215">
        <f t="shared" si="91"/>
        <v>0</v>
      </c>
      <c r="GD34" s="215">
        <f t="shared" si="92"/>
        <v>0</v>
      </c>
      <c r="GE34" s="215">
        <f t="shared" si="93"/>
        <v>0</v>
      </c>
      <c r="GF34" s="215">
        <f t="shared" si="148"/>
        <v>0</v>
      </c>
      <c r="GG34" s="215">
        <f t="shared" si="95"/>
        <v>0</v>
      </c>
      <c r="GH34" s="215">
        <f t="shared" si="96"/>
        <v>0</v>
      </c>
      <c r="GI34" s="215">
        <f t="shared" si="97"/>
        <v>0</v>
      </c>
      <c r="GJ34" s="215">
        <f t="shared" si="98"/>
        <v>0</v>
      </c>
      <c r="GK34" s="215">
        <f t="shared" si="99"/>
        <v>0</v>
      </c>
      <c r="GL34" s="215">
        <f t="shared" si="100"/>
        <v>0</v>
      </c>
      <c r="GM34" s="215">
        <f t="shared" si="101"/>
        <v>0</v>
      </c>
      <c r="GN34" s="215">
        <f t="shared" si="102"/>
        <v>0</v>
      </c>
      <c r="GO34" s="215">
        <f t="shared" si="103"/>
        <v>0</v>
      </c>
      <c r="GP34" s="215">
        <f t="shared" si="104"/>
        <v>0</v>
      </c>
      <c r="GQ34" s="215">
        <f t="shared" si="105"/>
        <v>0</v>
      </c>
      <c r="GR34" s="215">
        <f t="shared" si="106"/>
        <v>0</v>
      </c>
      <c r="GS34" s="215">
        <f t="shared" si="121"/>
        <v>0</v>
      </c>
      <c r="GT34" s="215">
        <f t="shared" si="122"/>
        <v>0</v>
      </c>
      <c r="GU34" s="215">
        <f t="shared" si="123"/>
        <v>0</v>
      </c>
      <c r="GV34" s="215">
        <f t="shared" si="124"/>
        <v>0</v>
      </c>
      <c r="GW34" s="215">
        <f t="shared" si="125"/>
        <v>0</v>
      </c>
      <c r="GX34" s="215">
        <f t="shared" si="126"/>
        <v>0</v>
      </c>
      <c r="GY34" s="215">
        <f t="shared" si="127"/>
        <v>0</v>
      </c>
      <c r="GZ34" s="215">
        <f t="shared" si="128"/>
        <v>0</v>
      </c>
      <c r="HA34" s="215">
        <f t="shared" si="129"/>
        <v>0</v>
      </c>
      <c r="HB34" s="215">
        <f t="shared" si="130"/>
        <v>0</v>
      </c>
      <c r="HC34" s="215">
        <f t="shared" si="131"/>
        <v>0</v>
      </c>
      <c r="HD34" s="215">
        <f t="shared" si="132"/>
        <v>0</v>
      </c>
      <c r="HE34" s="215">
        <f t="shared" si="133"/>
        <v>0</v>
      </c>
      <c r="HF34" s="215">
        <f t="shared" si="134"/>
        <v>0</v>
      </c>
      <c r="HG34" s="215">
        <f t="shared" si="135"/>
        <v>0</v>
      </c>
      <c r="HH34" s="215">
        <f t="shared" si="136"/>
        <v>0</v>
      </c>
      <c r="HI34" s="215">
        <f t="shared" si="137"/>
        <v>0</v>
      </c>
      <c r="HJ34" s="215">
        <f t="shared" si="138"/>
        <v>0</v>
      </c>
      <c r="HK34" s="215">
        <f t="shared" si="139"/>
        <v>0</v>
      </c>
      <c r="HL34" s="211">
        <f t="shared" si="140"/>
        <v>0</v>
      </c>
      <c r="HM34" s="51">
        <f t="shared" si="141"/>
        <v>0</v>
      </c>
    </row>
    <row r="35" spans="1:222">
      <c r="A35" s="49" t="s">
        <v>56</v>
      </c>
      <c r="B35" s="51">
        <v>13.540042857142859</v>
      </c>
      <c r="C35" s="51" t="s">
        <v>277</v>
      </c>
      <c r="D35" s="51">
        <f t="shared" si="0"/>
        <v>0</v>
      </c>
      <c r="E35" s="51" t="str">
        <f t="shared" si="1"/>
        <v/>
      </c>
      <c r="F35" s="51">
        <v>14.589042857142859</v>
      </c>
      <c r="G35" s="51" t="s">
        <v>277</v>
      </c>
      <c r="H35" s="51">
        <f t="shared" si="2"/>
        <v>0</v>
      </c>
      <c r="I35" s="51" t="str">
        <f t="shared" si="3"/>
        <v/>
      </c>
      <c r="J35" s="51">
        <v>15.286442857142859</v>
      </c>
      <c r="K35" s="51" t="s">
        <v>277</v>
      </c>
      <c r="L35" s="51">
        <f t="shared" si="4"/>
        <v>0</v>
      </c>
      <c r="M35" s="51" t="str">
        <f t="shared" si="5"/>
        <v/>
      </c>
      <c r="N35" s="51">
        <v>14.652442857142859</v>
      </c>
      <c r="O35" s="51" t="s">
        <v>277</v>
      </c>
      <c r="P35" s="51">
        <f t="shared" si="6"/>
        <v>0</v>
      </c>
      <c r="Q35" s="51" t="str">
        <f t="shared" si="7"/>
        <v/>
      </c>
      <c r="R35" s="51">
        <v>14.810942857142859</v>
      </c>
      <c r="S35" s="51" t="s">
        <v>277</v>
      </c>
      <c r="T35" s="51">
        <f t="shared" si="8"/>
        <v>0</v>
      </c>
      <c r="U35" s="51" t="str">
        <f t="shared" si="9"/>
        <v/>
      </c>
      <c r="V35" s="51">
        <v>15.825342857142857</v>
      </c>
      <c r="W35" s="51" t="s">
        <v>277</v>
      </c>
      <c r="X35" s="51">
        <f t="shared" si="10"/>
        <v>0</v>
      </c>
      <c r="Y35" s="51" t="str">
        <f t="shared" si="11"/>
        <v/>
      </c>
      <c r="Z35" s="51">
        <v>15.761942857142857</v>
      </c>
      <c r="AA35" s="51" t="s">
        <v>277</v>
      </c>
      <c r="AB35" s="51">
        <f t="shared" si="12"/>
        <v>0</v>
      </c>
      <c r="AC35" s="51" t="str">
        <f t="shared" si="13"/>
        <v/>
      </c>
      <c r="AD35" s="51">
        <v>16.459342857142857</v>
      </c>
      <c r="AE35" s="51" t="s">
        <v>277</v>
      </c>
      <c r="AF35" s="51">
        <f t="shared" si="14"/>
        <v>0</v>
      </c>
      <c r="AG35" s="51" t="str">
        <f t="shared" si="15"/>
        <v/>
      </c>
      <c r="AH35" s="51">
        <v>16.142342857142857</v>
      </c>
      <c r="AI35" s="51" t="s">
        <v>277</v>
      </c>
      <c r="AJ35" s="51">
        <f t="shared" si="16"/>
        <v>0</v>
      </c>
      <c r="AK35" s="51" t="str">
        <f t="shared" si="17"/>
        <v/>
      </c>
      <c r="AL35" s="51">
        <v>19.312342857142855</v>
      </c>
      <c r="AM35" s="51" t="s">
        <v>277</v>
      </c>
      <c r="AN35" s="51">
        <f t="shared" si="18"/>
        <v>0</v>
      </c>
      <c r="AO35" s="51" t="str">
        <f t="shared" si="19"/>
        <v/>
      </c>
      <c r="AP35" s="51">
        <v>16.776342857142858</v>
      </c>
      <c r="AQ35" s="51" t="s">
        <v>277</v>
      </c>
      <c r="AR35" s="51">
        <f t="shared" si="20"/>
        <v>0</v>
      </c>
      <c r="AS35" s="51" t="str">
        <f t="shared" si="21"/>
        <v/>
      </c>
      <c r="AT35" s="51">
        <v>29.773757142857143</v>
      </c>
      <c r="AU35" s="51" t="s">
        <v>277</v>
      </c>
      <c r="AV35" s="51">
        <f t="shared" si="22"/>
        <v>0</v>
      </c>
      <c r="AW35" s="51" t="str">
        <f t="shared" si="23"/>
        <v/>
      </c>
      <c r="AX35" s="51">
        <v>28.061542857142854</v>
      </c>
      <c r="AY35" s="51" t="s">
        <v>277</v>
      </c>
      <c r="AZ35" s="51">
        <f t="shared" si="24"/>
        <v>0</v>
      </c>
      <c r="BA35" s="51" t="str">
        <f t="shared" si="25"/>
        <v/>
      </c>
      <c r="BB35" s="51">
        <v>21.246042857142857</v>
      </c>
      <c r="BC35" s="51" t="s">
        <v>277</v>
      </c>
      <c r="BD35" s="51">
        <f t="shared" si="107"/>
        <v>0</v>
      </c>
      <c r="BE35" s="51" t="str">
        <f t="shared" si="108"/>
        <v/>
      </c>
      <c r="BF35" s="51">
        <v>19.534242857142857</v>
      </c>
      <c r="BG35" s="51" t="s">
        <v>277</v>
      </c>
      <c r="BH35" s="51">
        <f t="shared" si="28"/>
        <v>0</v>
      </c>
      <c r="BI35" s="51" t="str">
        <f t="shared" si="29"/>
        <v/>
      </c>
      <c r="BJ35" s="51">
        <v>19.946342857142859</v>
      </c>
      <c r="BK35" s="51" t="s">
        <v>277</v>
      </c>
      <c r="BL35" s="51">
        <f t="shared" si="30"/>
        <v>0</v>
      </c>
      <c r="BM35" s="51" t="str">
        <f t="shared" si="31"/>
        <v/>
      </c>
      <c r="BN35" s="51">
        <v>20.104842857142859</v>
      </c>
      <c r="BO35" s="51" t="s">
        <v>277</v>
      </c>
      <c r="BP35" s="51">
        <f t="shared" si="32"/>
        <v>0</v>
      </c>
      <c r="BQ35" s="51" t="str">
        <f t="shared" si="33"/>
        <v/>
      </c>
      <c r="BR35" s="51">
        <v>25.176842857142859</v>
      </c>
      <c r="BS35" s="51" t="s">
        <v>277</v>
      </c>
      <c r="BT35" s="51">
        <f t="shared" si="34"/>
        <v>0</v>
      </c>
      <c r="BU35" s="51" t="str">
        <f t="shared" si="35"/>
        <v/>
      </c>
      <c r="BV35" s="51">
        <v>21.531342857142857</v>
      </c>
      <c r="BW35" s="51" t="s">
        <v>277</v>
      </c>
      <c r="BX35" s="51">
        <f t="shared" si="109"/>
        <v>0</v>
      </c>
      <c r="BY35" s="51" t="str">
        <f t="shared" si="110"/>
        <v/>
      </c>
      <c r="BZ35" s="51">
        <v>21.05584285714286</v>
      </c>
      <c r="CA35" s="51" t="s">
        <v>277</v>
      </c>
      <c r="CB35" s="51">
        <f t="shared" si="111"/>
        <v>0</v>
      </c>
      <c r="CC35" s="51" t="str">
        <f t="shared" si="112"/>
        <v/>
      </c>
      <c r="CD35" s="51">
        <v>19.470842857142859</v>
      </c>
      <c r="CE35" s="51" t="s">
        <v>277</v>
      </c>
      <c r="CF35" s="51">
        <f t="shared" si="40"/>
        <v>0</v>
      </c>
      <c r="CG35" s="51" t="str">
        <f t="shared" si="41"/>
        <v/>
      </c>
      <c r="CH35" s="51">
        <v>23.718642857142857</v>
      </c>
      <c r="CI35" s="51" t="s">
        <v>277</v>
      </c>
      <c r="CJ35" s="51">
        <f t="shared" si="144"/>
        <v>0</v>
      </c>
      <c r="CK35" s="51" t="str">
        <f t="shared" si="145"/>
        <v/>
      </c>
      <c r="CL35" s="51">
        <v>25.842542857142856</v>
      </c>
      <c r="CM35" s="51" t="s">
        <v>277</v>
      </c>
      <c r="CN35" s="51">
        <f t="shared" si="113"/>
        <v>0</v>
      </c>
      <c r="CO35" s="51" t="str">
        <f t="shared" si="114"/>
        <v/>
      </c>
      <c r="CP35" s="51">
        <v>26.983742857142857</v>
      </c>
      <c r="CQ35" s="51" t="s">
        <v>277</v>
      </c>
      <c r="CR35" s="51">
        <f t="shared" si="46"/>
        <v>0</v>
      </c>
      <c r="CS35" s="51" t="str">
        <f t="shared" si="47"/>
        <v/>
      </c>
      <c r="CT35" s="51">
        <v>23.271942857142861</v>
      </c>
      <c r="CU35" s="230" t="s">
        <v>277</v>
      </c>
      <c r="CV35" s="51">
        <f t="shared" si="48"/>
        <v>0</v>
      </c>
      <c r="CW35" s="51" t="str">
        <f t="shared" si="49"/>
        <v/>
      </c>
      <c r="CX35" s="51">
        <v>23.211442857142856</v>
      </c>
      <c r="CY35" s="230" t="s">
        <v>277</v>
      </c>
      <c r="CZ35" s="51">
        <f t="shared" si="115"/>
        <v>0</v>
      </c>
      <c r="DA35" s="51" t="str">
        <f t="shared" si="116"/>
        <v/>
      </c>
      <c r="DB35" s="51">
        <v>21.309442857142855</v>
      </c>
      <c r="DC35" s="230" t="s">
        <v>277</v>
      </c>
      <c r="DD35" s="51">
        <f t="shared" si="52"/>
        <v>0</v>
      </c>
      <c r="DE35" s="51" t="str">
        <f t="shared" si="53"/>
        <v/>
      </c>
      <c r="DF35" s="51">
        <v>24.320942857142857</v>
      </c>
      <c r="DG35" s="230" t="s">
        <v>277</v>
      </c>
      <c r="DH35" s="51">
        <f t="shared" si="54"/>
        <v>0</v>
      </c>
      <c r="DI35" s="51" t="str">
        <f t="shared" si="55"/>
        <v/>
      </c>
      <c r="DJ35" s="51">
        <v>30.185442857142856</v>
      </c>
      <c r="DK35" s="51" t="s">
        <v>277</v>
      </c>
      <c r="DL35" s="51">
        <f t="shared" si="56"/>
        <v>0</v>
      </c>
      <c r="DM35" s="51" t="str">
        <f t="shared" si="57"/>
        <v/>
      </c>
      <c r="DN35" s="51">
        <v>23.84544285714286</v>
      </c>
      <c r="DO35" s="51" t="s">
        <v>277</v>
      </c>
      <c r="DP35" s="51">
        <f t="shared" si="58"/>
        <v>0</v>
      </c>
      <c r="DQ35" s="51" t="str">
        <f t="shared" si="59"/>
        <v/>
      </c>
      <c r="DR35" s="51">
        <v>23.84544285714286</v>
      </c>
      <c r="DS35" s="51" t="s">
        <v>277</v>
      </c>
      <c r="DT35" s="51">
        <f t="shared" si="60"/>
        <v>0</v>
      </c>
      <c r="DU35" s="51" t="str">
        <f t="shared" si="61"/>
        <v/>
      </c>
      <c r="DV35" s="51">
        <v>23.21144285714286</v>
      </c>
      <c r="DW35" s="230" t="s">
        <v>277</v>
      </c>
      <c r="DX35" s="51">
        <f t="shared" si="62"/>
        <v>0</v>
      </c>
      <c r="DY35" s="51" t="str">
        <f t="shared" si="63"/>
        <v/>
      </c>
      <c r="DZ35" s="51">
        <v>23.560142857142857</v>
      </c>
      <c r="EA35" s="51" t="s">
        <v>277</v>
      </c>
      <c r="EB35" s="51">
        <f t="shared" si="64"/>
        <v>0</v>
      </c>
      <c r="EC35" s="51" t="str">
        <f t="shared" si="65"/>
        <v/>
      </c>
      <c r="ED35" s="51">
        <v>29.26614285714286</v>
      </c>
      <c r="EE35" s="51" t="s">
        <v>277</v>
      </c>
      <c r="EF35" s="51">
        <f t="shared" si="66"/>
        <v>0</v>
      </c>
      <c r="EG35" s="51" t="str">
        <f t="shared" si="67"/>
        <v/>
      </c>
      <c r="EH35" s="51">
        <v>22.133642857142856</v>
      </c>
      <c r="EI35" s="230" t="s">
        <v>277</v>
      </c>
      <c r="EJ35" s="250">
        <f t="shared" si="68"/>
        <v>0</v>
      </c>
      <c r="EK35" s="51" t="str">
        <f t="shared" si="69"/>
        <v/>
      </c>
      <c r="EL35" s="51">
        <v>28.632142857142856</v>
      </c>
      <c r="EM35" s="250" t="s">
        <v>277</v>
      </c>
      <c r="EN35" s="230">
        <f t="shared" si="70"/>
        <v>0</v>
      </c>
      <c r="EO35" s="51" t="str">
        <f t="shared" si="71"/>
        <v/>
      </c>
      <c r="EP35" s="51">
        <v>26.415214285714285</v>
      </c>
      <c r="EQ35" s="230" t="s">
        <v>277</v>
      </c>
      <c r="ER35" s="51">
        <f t="shared" si="72"/>
        <v>0</v>
      </c>
      <c r="ES35" s="51" t="str">
        <f t="shared" si="73"/>
        <v/>
      </c>
      <c r="ET35" s="51">
        <v>28.000214285714286</v>
      </c>
      <c r="EU35" s="230" t="s">
        <v>277</v>
      </c>
      <c r="EV35" s="51">
        <f t="shared" si="117"/>
        <v>0</v>
      </c>
      <c r="EW35" s="51" t="str">
        <f t="shared" si="75"/>
        <v/>
      </c>
      <c r="EX35" s="51">
        <v>27.841714285714286</v>
      </c>
      <c r="EY35" s="51" t="s">
        <v>277</v>
      </c>
      <c r="EZ35" s="51">
        <f t="shared" si="76"/>
        <v>0</v>
      </c>
      <c r="FA35" s="51" t="str">
        <f t="shared" si="77"/>
        <v/>
      </c>
      <c r="FB35" s="51">
        <v>26.573714285714285</v>
      </c>
      <c r="FC35" s="51" t="s">
        <v>277</v>
      </c>
      <c r="FD35" s="51">
        <f t="shared" si="78"/>
        <v>0</v>
      </c>
      <c r="FE35" s="51" t="str">
        <f t="shared" si="79"/>
        <v/>
      </c>
      <c r="FF35" s="51">
        <v>33.484314285714277</v>
      </c>
      <c r="FG35" s="51" t="s">
        <v>277</v>
      </c>
      <c r="FH35" s="51">
        <f t="shared" si="146"/>
        <v>0</v>
      </c>
      <c r="FI35" s="51" t="str">
        <f t="shared" si="147"/>
        <v/>
      </c>
      <c r="FJ35" s="51">
        <v>29.426714285714286</v>
      </c>
      <c r="FK35" s="230" t="s">
        <v>277</v>
      </c>
      <c r="FL35" s="51">
        <f t="shared" si="82"/>
        <v>0</v>
      </c>
      <c r="FM35" s="51" t="str">
        <f t="shared" si="83"/>
        <v/>
      </c>
      <c r="FN35" s="51">
        <v>25.955978571428567</v>
      </c>
      <c r="FO35" s="51"/>
      <c r="FP35" s="51"/>
      <c r="FQ35" s="51"/>
      <c r="FR35" s="51">
        <f t="shared" si="118"/>
        <v>0</v>
      </c>
      <c r="FS35" s="14">
        <f t="shared" si="119"/>
        <v>0</v>
      </c>
      <c r="FT35">
        <f t="shared" si="120"/>
        <v>0</v>
      </c>
      <c r="FV35" s="215">
        <f t="shared" si="84"/>
        <v>0</v>
      </c>
      <c r="FW35" s="215">
        <f t="shared" si="85"/>
        <v>0</v>
      </c>
      <c r="FX35" s="215">
        <f t="shared" si="86"/>
        <v>0</v>
      </c>
      <c r="FY35" s="215">
        <f t="shared" si="87"/>
        <v>0</v>
      </c>
      <c r="FZ35" s="215">
        <f t="shared" si="88"/>
        <v>0</v>
      </c>
      <c r="GA35" s="215">
        <f t="shared" si="89"/>
        <v>0</v>
      </c>
      <c r="GB35" s="215">
        <f t="shared" si="90"/>
        <v>0</v>
      </c>
      <c r="GC35" s="215">
        <f t="shared" si="91"/>
        <v>0</v>
      </c>
      <c r="GD35" s="215">
        <f t="shared" si="92"/>
        <v>0</v>
      </c>
      <c r="GE35" s="215">
        <f t="shared" si="93"/>
        <v>0</v>
      </c>
      <c r="GF35" s="215">
        <f t="shared" si="148"/>
        <v>0</v>
      </c>
      <c r="GG35" s="215">
        <f t="shared" si="95"/>
        <v>0</v>
      </c>
      <c r="GH35" s="215">
        <f t="shared" si="96"/>
        <v>0</v>
      </c>
      <c r="GI35" s="215">
        <f t="shared" si="97"/>
        <v>0</v>
      </c>
      <c r="GJ35" s="215">
        <f t="shared" si="98"/>
        <v>0</v>
      </c>
      <c r="GK35" s="215">
        <f t="shared" si="99"/>
        <v>0</v>
      </c>
      <c r="GL35" s="215">
        <f t="shared" si="100"/>
        <v>0</v>
      </c>
      <c r="GM35" s="215">
        <f t="shared" si="101"/>
        <v>0</v>
      </c>
      <c r="GN35" s="215">
        <f t="shared" si="102"/>
        <v>0</v>
      </c>
      <c r="GO35" s="215">
        <f t="shared" si="103"/>
        <v>0</v>
      </c>
      <c r="GP35" s="215">
        <f t="shared" si="104"/>
        <v>0</v>
      </c>
      <c r="GQ35" s="215">
        <f t="shared" si="105"/>
        <v>0</v>
      </c>
      <c r="GR35" s="215">
        <f t="shared" si="106"/>
        <v>0</v>
      </c>
      <c r="GS35" s="215">
        <f t="shared" si="121"/>
        <v>0</v>
      </c>
      <c r="GT35" s="215">
        <f t="shared" si="122"/>
        <v>0</v>
      </c>
      <c r="GU35" s="215">
        <f t="shared" si="123"/>
        <v>0</v>
      </c>
      <c r="GV35" s="215">
        <f t="shared" si="124"/>
        <v>0</v>
      </c>
      <c r="GW35" s="215">
        <f t="shared" si="125"/>
        <v>0</v>
      </c>
      <c r="GX35" s="215">
        <f t="shared" si="126"/>
        <v>0</v>
      </c>
      <c r="GY35" s="215">
        <f t="shared" si="127"/>
        <v>0</v>
      </c>
      <c r="GZ35" s="215">
        <f t="shared" si="128"/>
        <v>0</v>
      </c>
      <c r="HA35" s="215">
        <f t="shared" si="129"/>
        <v>0</v>
      </c>
      <c r="HB35" s="215">
        <f t="shared" si="130"/>
        <v>0</v>
      </c>
      <c r="HC35" s="215">
        <f t="shared" si="131"/>
        <v>0</v>
      </c>
      <c r="HD35" s="215">
        <f t="shared" si="132"/>
        <v>0</v>
      </c>
      <c r="HE35" s="215">
        <f t="shared" si="133"/>
        <v>0</v>
      </c>
      <c r="HF35" s="215">
        <f t="shared" si="134"/>
        <v>0</v>
      </c>
      <c r="HG35" s="215">
        <f t="shared" si="135"/>
        <v>0</v>
      </c>
      <c r="HH35" s="215">
        <f t="shared" si="136"/>
        <v>0</v>
      </c>
      <c r="HI35" s="215">
        <f t="shared" si="137"/>
        <v>0</v>
      </c>
      <c r="HJ35" s="215">
        <f t="shared" si="138"/>
        <v>0</v>
      </c>
      <c r="HK35" s="215">
        <f t="shared" si="139"/>
        <v>0</v>
      </c>
      <c r="HL35" s="211">
        <f t="shared" si="140"/>
        <v>0</v>
      </c>
      <c r="HM35" s="51">
        <f t="shared" si="141"/>
        <v>0</v>
      </c>
    </row>
    <row r="36" spans="1:222">
      <c r="A36" s="49" t="s">
        <v>58</v>
      </c>
      <c r="B36" s="51">
        <v>17.988442857142857</v>
      </c>
      <c r="C36" s="51" t="s">
        <v>277</v>
      </c>
      <c r="D36" s="51">
        <f t="shared" si="0"/>
        <v>0</v>
      </c>
      <c r="E36" s="51" t="str">
        <f t="shared" si="1"/>
        <v/>
      </c>
      <c r="F36" s="51">
        <v>18.641442857142856</v>
      </c>
      <c r="G36" s="51" t="s">
        <v>277</v>
      </c>
      <c r="H36" s="51">
        <f t="shared" si="2"/>
        <v>0</v>
      </c>
      <c r="I36" s="51" t="str">
        <f t="shared" si="3"/>
        <v/>
      </c>
      <c r="J36" s="51">
        <v>19.629242857142856</v>
      </c>
      <c r="K36" s="51" t="s">
        <v>277</v>
      </c>
      <c r="L36" s="51">
        <f t="shared" si="4"/>
        <v>0</v>
      </c>
      <c r="M36" s="51" t="str">
        <f t="shared" si="5"/>
        <v/>
      </c>
      <c r="N36" s="51">
        <v>18.731242857142856</v>
      </c>
      <c r="O36" s="51" t="s">
        <v>277</v>
      </c>
      <c r="P36" s="51">
        <f t="shared" si="6"/>
        <v>0</v>
      </c>
      <c r="Q36" s="51" t="str">
        <f t="shared" si="7"/>
        <v/>
      </c>
      <c r="R36" s="51">
        <v>18.955742857142859</v>
      </c>
      <c r="S36" s="51" t="s">
        <v>277</v>
      </c>
      <c r="T36" s="51">
        <f t="shared" si="8"/>
        <v>0</v>
      </c>
      <c r="U36" s="51" t="str">
        <f t="shared" si="9"/>
        <v/>
      </c>
      <c r="V36" s="51">
        <v>20.392542857142857</v>
      </c>
      <c r="W36" s="51" t="s">
        <v>277</v>
      </c>
      <c r="X36" s="51">
        <f t="shared" si="10"/>
        <v>0</v>
      </c>
      <c r="Y36" s="51" t="str">
        <f t="shared" si="11"/>
        <v/>
      </c>
      <c r="Z36" s="51">
        <v>20.30274285714286</v>
      </c>
      <c r="AA36" s="51" t="s">
        <v>277</v>
      </c>
      <c r="AB36" s="51">
        <f t="shared" si="12"/>
        <v>0</v>
      </c>
      <c r="AC36" s="51" t="str">
        <f t="shared" si="13"/>
        <v/>
      </c>
      <c r="AD36" s="51">
        <v>21.290542857142857</v>
      </c>
      <c r="AE36" s="51" t="s">
        <v>277</v>
      </c>
      <c r="AF36" s="51">
        <f t="shared" si="14"/>
        <v>0</v>
      </c>
      <c r="AG36" s="51" t="str">
        <f t="shared" si="15"/>
        <v/>
      </c>
      <c r="AH36" s="51">
        <v>20.841542857142858</v>
      </c>
      <c r="AI36" s="51" t="s">
        <v>277</v>
      </c>
      <c r="AJ36" s="51">
        <f t="shared" si="16"/>
        <v>0</v>
      </c>
      <c r="AK36" s="51" t="str">
        <f t="shared" si="17"/>
        <v/>
      </c>
      <c r="AL36" s="51">
        <v>25.331542857142857</v>
      </c>
      <c r="AM36" s="51" t="s">
        <v>277</v>
      </c>
      <c r="AN36" s="51">
        <f t="shared" si="18"/>
        <v>0</v>
      </c>
      <c r="AO36" s="51" t="str">
        <f t="shared" si="19"/>
        <v/>
      </c>
      <c r="AP36" s="51">
        <v>21.739542857142858</v>
      </c>
      <c r="AQ36" s="51" t="s">
        <v>277</v>
      </c>
      <c r="AR36" s="51">
        <f t="shared" si="20"/>
        <v>0</v>
      </c>
      <c r="AS36" s="51" t="str">
        <f t="shared" si="21"/>
        <v/>
      </c>
      <c r="AT36" s="51">
        <f>40.0301571428571-(40.030157-3.62)</f>
        <v>3.6200001428570943</v>
      </c>
      <c r="AU36" s="51" t="s">
        <v>277</v>
      </c>
      <c r="AV36" s="51">
        <f t="shared" si="22"/>
        <v>0</v>
      </c>
      <c r="AW36" s="51" t="str">
        <f t="shared" si="23"/>
        <v/>
      </c>
      <c r="AX36" s="51">
        <v>37.723942857142852</v>
      </c>
      <c r="AY36" s="51" t="s">
        <v>277</v>
      </c>
      <c r="AZ36" s="51">
        <f t="shared" si="24"/>
        <v>0</v>
      </c>
      <c r="BA36" s="51" t="str">
        <f t="shared" si="25"/>
        <v/>
      </c>
      <c r="BB36" s="51">
        <v>28.070442857142861</v>
      </c>
      <c r="BC36" s="51" t="s">
        <v>277</v>
      </c>
      <c r="BD36" s="51">
        <f t="shared" si="107"/>
        <v>0</v>
      </c>
      <c r="BE36" s="51" t="str">
        <f t="shared" si="108"/>
        <v/>
      </c>
      <c r="BF36" s="51">
        <v>25.64584285714286</v>
      </c>
      <c r="BG36" s="51" t="s">
        <v>277</v>
      </c>
      <c r="BH36" s="51">
        <f t="shared" si="28"/>
        <v>0</v>
      </c>
      <c r="BI36" s="51" t="str">
        <f t="shared" si="29"/>
        <v/>
      </c>
      <c r="BJ36" s="51">
        <v>26.22954285714286</v>
      </c>
      <c r="BK36" s="51" t="s">
        <v>277</v>
      </c>
      <c r="BL36" s="51">
        <f t="shared" si="30"/>
        <v>0</v>
      </c>
      <c r="BM36" s="51" t="str">
        <f t="shared" si="31"/>
        <v/>
      </c>
      <c r="BN36" s="51">
        <v>26.454042857142863</v>
      </c>
      <c r="BO36" s="206" t="s">
        <v>277</v>
      </c>
      <c r="BP36" s="51">
        <f t="shared" si="32"/>
        <v>0</v>
      </c>
      <c r="BQ36" s="51" t="str">
        <f t="shared" si="33"/>
        <v/>
      </c>
      <c r="BR36" s="51">
        <v>33.638042857142864</v>
      </c>
      <c r="BS36" s="51" t="s">
        <v>277</v>
      </c>
      <c r="BT36" s="51">
        <f t="shared" si="34"/>
        <v>0</v>
      </c>
      <c r="BU36" s="51" t="str">
        <f t="shared" si="35"/>
        <v/>
      </c>
      <c r="BV36" s="51">
        <v>28.474542857142861</v>
      </c>
      <c r="BW36" s="51" t="s">
        <v>277</v>
      </c>
      <c r="BX36" s="51">
        <f t="shared" si="109"/>
        <v>0</v>
      </c>
      <c r="BY36" s="51" t="str">
        <f t="shared" si="110"/>
        <v/>
      </c>
      <c r="BZ36" s="51">
        <v>27.801042857142864</v>
      </c>
      <c r="CA36" s="51" t="s">
        <v>277</v>
      </c>
      <c r="CB36" s="51">
        <f t="shared" si="111"/>
        <v>0</v>
      </c>
      <c r="CC36" s="51" t="str">
        <f t="shared" si="112"/>
        <v/>
      </c>
      <c r="CD36" s="51">
        <v>25.55604285714286</v>
      </c>
      <c r="CE36" s="51" t="s">
        <v>277</v>
      </c>
      <c r="CF36" s="51">
        <f t="shared" si="40"/>
        <v>0</v>
      </c>
      <c r="CG36" s="51" t="str">
        <f t="shared" si="41"/>
        <v/>
      </c>
      <c r="CH36" s="51">
        <v>31.572642857142856</v>
      </c>
      <c r="CI36" s="51" t="s">
        <v>277</v>
      </c>
      <c r="CJ36" s="51">
        <f t="shared" si="144"/>
        <v>0</v>
      </c>
      <c r="CK36" s="51" t="str">
        <f t="shared" si="145"/>
        <v/>
      </c>
      <c r="CL36" s="51">
        <v>34.580942857142858</v>
      </c>
      <c r="CM36" s="51" t="s">
        <v>277</v>
      </c>
      <c r="CN36" s="51">
        <f t="shared" si="113"/>
        <v>0</v>
      </c>
      <c r="CO36" s="51" t="str">
        <f t="shared" si="114"/>
        <v/>
      </c>
      <c r="CP36" s="51">
        <v>36.197342857142857</v>
      </c>
      <c r="CQ36" s="51" t="s">
        <v>277</v>
      </c>
      <c r="CR36" s="51">
        <f t="shared" si="46"/>
        <v>0</v>
      </c>
      <c r="CS36" s="51" t="str">
        <f t="shared" si="47"/>
        <v/>
      </c>
      <c r="CT36" s="51">
        <v>31.772742857142859</v>
      </c>
      <c r="CU36" s="230" t="s">
        <v>277</v>
      </c>
      <c r="CV36" s="51">
        <f t="shared" si="48"/>
        <v>0</v>
      </c>
      <c r="CW36" s="51" t="str">
        <f t="shared" si="49"/>
        <v/>
      </c>
      <c r="CX36" s="51">
        <v>30.854242857142857</v>
      </c>
      <c r="CY36" s="230" t="s">
        <v>277</v>
      </c>
      <c r="CZ36" s="51">
        <f t="shared" si="115"/>
        <v>0</v>
      </c>
      <c r="DA36" s="51" t="str">
        <f t="shared" si="116"/>
        <v/>
      </c>
      <c r="DB36" s="51">
        <v>28.160242857142858</v>
      </c>
      <c r="DC36" s="230" t="s">
        <v>277</v>
      </c>
      <c r="DD36" s="51">
        <f t="shared" si="52"/>
        <v>0</v>
      </c>
      <c r="DE36" s="51" t="str">
        <f t="shared" si="53"/>
        <v/>
      </c>
      <c r="DF36" s="51">
        <v>32.425742857142865</v>
      </c>
      <c r="DG36" s="230" t="s">
        <v>277</v>
      </c>
      <c r="DH36" s="51">
        <f t="shared" si="54"/>
        <v>0</v>
      </c>
      <c r="DI36" s="51" t="str">
        <f t="shared" si="55"/>
        <v/>
      </c>
      <c r="DJ36" s="51">
        <v>40.732242857142857</v>
      </c>
      <c r="DK36" s="51" t="s">
        <v>277</v>
      </c>
      <c r="DL36" s="51">
        <f t="shared" si="56"/>
        <v>0</v>
      </c>
      <c r="DM36" s="51" t="str">
        <f t="shared" si="57"/>
        <v/>
      </c>
      <c r="DN36" s="51">
        <v>31.752242857142861</v>
      </c>
      <c r="DO36" s="51" t="s">
        <v>277</v>
      </c>
      <c r="DP36" s="51">
        <f t="shared" si="58"/>
        <v>0</v>
      </c>
      <c r="DQ36" s="51" t="str">
        <f t="shared" si="59"/>
        <v/>
      </c>
      <c r="DR36" s="51">
        <v>31.752242857142861</v>
      </c>
      <c r="DS36" s="51" t="s">
        <v>277</v>
      </c>
      <c r="DT36" s="51">
        <f t="shared" si="60"/>
        <v>0</v>
      </c>
      <c r="DU36" s="51" t="str">
        <f t="shared" si="61"/>
        <v/>
      </c>
      <c r="DV36" s="51">
        <v>30.854242857142861</v>
      </c>
      <c r="DW36" s="230" t="s">
        <v>277</v>
      </c>
      <c r="DX36" s="51">
        <f t="shared" si="62"/>
        <v>0</v>
      </c>
      <c r="DY36" s="51" t="str">
        <f t="shared" si="63"/>
        <v/>
      </c>
      <c r="DZ36" s="51">
        <f>31.3481428571429-15.3481428571429</f>
        <v>16</v>
      </c>
      <c r="EA36" s="51" t="s">
        <v>277</v>
      </c>
      <c r="EB36" s="51">
        <f t="shared" si="64"/>
        <v>0</v>
      </c>
      <c r="EC36" s="51" t="str">
        <f t="shared" si="65"/>
        <v/>
      </c>
      <c r="ED36" s="51">
        <v>39.430142857142854</v>
      </c>
      <c r="EE36" s="51" t="s">
        <v>277</v>
      </c>
      <c r="EF36" s="51">
        <f t="shared" si="66"/>
        <v>0</v>
      </c>
      <c r="EG36" s="51" t="str">
        <f t="shared" si="67"/>
        <v/>
      </c>
      <c r="EH36" s="51">
        <v>29.327642857142862</v>
      </c>
      <c r="EI36" s="230" t="s">
        <v>277</v>
      </c>
      <c r="EJ36" s="250">
        <f t="shared" si="68"/>
        <v>0</v>
      </c>
      <c r="EK36" s="51" t="str">
        <f t="shared" si="69"/>
        <v/>
      </c>
      <c r="EL36" s="51">
        <v>38.532142857142851</v>
      </c>
      <c r="EM36" s="250" t="s">
        <v>277</v>
      </c>
      <c r="EN36" s="230">
        <f t="shared" si="70"/>
        <v>0</v>
      </c>
      <c r="EO36" s="51" t="str">
        <f t="shared" si="71"/>
        <v/>
      </c>
      <c r="EP36" s="51">
        <v>34.79721428571429</v>
      </c>
      <c r="EQ36" s="230" t="s">
        <v>277</v>
      </c>
      <c r="ER36" s="51">
        <f t="shared" si="72"/>
        <v>0</v>
      </c>
      <c r="ES36" s="51" t="str">
        <f t="shared" si="73"/>
        <v/>
      </c>
      <c r="ET36" s="51">
        <v>37.042214285714287</v>
      </c>
      <c r="EU36" s="230" t="s">
        <v>277</v>
      </c>
      <c r="EV36" s="51">
        <f t="shared" si="117"/>
        <v>0</v>
      </c>
      <c r="EW36" s="51" t="str">
        <f t="shared" si="75"/>
        <v/>
      </c>
      <c r="EX36" s="51">
        <v>36.817714285714288</v>
      </c>
      <c r="EY36" s="51" t="s">
        <v>277</v>
      </c>
      <c r="EZ36" s="51">
        <f t="shared" si="76"/>
        <v>0</v>
      </c>
      <c r="FA36" s="51" t="str">
        <f t="shared" si="77"/>
        <v/>
      </c>
      <c r="FB36" s="51">
        <v>35.021714285714289</v>
      </c>
      <c r="FC36" s="51" t="s">
        <v>277</v>
      </c>
      <c r="FD36" s="51">
        <f t="shared" si="78"/>
        <v>0</v>
      </c>
      <c r="FE36" s="51" t="str">
        <f t="shared" si="79"/>
        <v/>
      </c>
      <c r="FF36" s="51">
        <v>44.809914285714285</v>
      </c>
      <c r="FG36" s="51" t="s">
        <v>277</v>
      </c>
      <c r="FH36" s="51">
        <f t="shared" si="146"/>
        <v>0</v>
      </c>
      <c r="FI36" s="51" t="str">
        <f t="shared" si="147"/>
        <v/>
      </c>
      <c r="FJ36" s="51">
        <v>39.062714285714286</v>
      </c>
      <c r="FK36" s="230" t="s">
        <v>277</v>
      </c>
      <c r="FL36" s="51">
        <f t="shared" si="82"/>
        <v>0</v>
      </c>
      <c r="FM36" s="51" t="str">
        <f t="shared" si="83"/>
        <v/>
      </c>
      <c r="FN36" s="51">
        <v>34.02777857142857</v>
      </c>
      <c r="FO36" s="51"/>
      <c r="FP36" s="51"/>
      <c r="FQ36" s="51"/>
      <c r="FR36" s="51">
        <f t="shared" si="118"/>
        <v>0</v>
      </c>
      <c r="FS36" s="14">
        <f t="shared" si="119"/>
        <v>0</v>
      </c>
      <c r="FT36">
        <f t="shared" si="120"/>
        <v>0</v>
      </c>
      <c r="FV36" s="215">
        <f t="shared" si="84"/>
        <v>0</v>
      </c>
      <c r="FW36" s="215">
        <f t="shared" si="85"/>
        <v>0</v>
      </c>
      <c r="FX36" s="215">
        <f t="shared" si="86"/>
        <v>0</v>
      </c>
      <c r="FY36" s="215">
        <f t="shared" si="87"/>
        <v>0</v>
      </c>
      <c r="FZ36" s="215">
        <f t="shared" si="88"/>
        <v>0</v>
      </c>
      <c r="GA36" s="215">
        <f t="shared" si="89"/>
        <v>0</v>
      </c>
      <c r="GB36" s="215">
        <f t="shared" si="90"/>
        <v>0</v>
      </c>
      <c r="GC36" s="215">
        <f t="shared" si="91"/>
        <v>0</v>
      </c>
      <c r="GD36" s="215">
        <f t="shared" si="92"/>
        <v>0</v>
      </c>
      <c r="GE36" s="215">
        <f t="shared" si="93"/>
        <v>0</v>
      </c>
      <c r="GF36" s="215">
        <f t="shared" si="148"/>
        <v>0</v>
      </c>
      <c r="GG36" s="215">
        <f t="shared" si="95"/>
        <v>0</v>
      </c>
      <c r="GH36" s="215">
        <f t="shared" si="96"/>
        <v>0</v>
      </c>
      <c r="GI36" s="215">
        <f t="shared" si="97"/>
        <v>0</v>
      </c>
      <c r="GJ36" s="215">
        <f t="shared" si="98"/>
        <v>0</v>
      </c>
      <c r="GK36" s="215">
        <f t="shared" si="99"/>
        <v>0</v>
      </c>
      <c r="GL36" s="215">
        <f t="shared" si="100"/>
        <v>0</v>
      </c>
      <c r="GM36" s="215">
        <f t="shared" si="101"/>
        <v>0</v>
      </c>
      <c r="GN36" s="215">
        <f t="shared" si="102"/>
        <v>0</v>
      </c>
      <c r="GO36" s="215">
        <f t="shared" si="103"/>
        <v>0</v>
      </c>
      <c r="GP36" s="215">
        <f t="shared" si="104"/>
        <v>0</v>
      </c>
      <c r="GQ36" s="215">
        <f t="shared" si="105"/>
        <v>0</v>
      </c>
      <c r="GR36" s="215">
        <f t="shared" si="106"/>
        <v>0</v>
      </c>
      <c r="GS36" s="215">
        <f t="shared" si="121"/>
        <v>0</v>
      </c>
      <c r="GT36" s="215">
        <f t="shared" si="122"/>
        <v>0</v>
      </c>
      <c r="GU36" s="215">
        <f t="shared" si="123"/>
        <v>0</v>
      </c>
      <c r="GV36" s="215">
        <f t="shared" si="124"/>
        <v>0</v>
      </c>
      <c r="GW36" s="215">
        <f t="shared" si="125"/>
        <v>0</v>
      </c>
      <c r="GX36" s="215">
        <f t="shared" si="126"/>
        <v>0</v>
      </c>
      <c r="GY36" s="215">
        <f t="shared" si="127"/>
        <v>0</v>
      </c>
      <c r="GZ36" s="215">
        <f t="shared" si="128"/>
        <v>0</v>
      </c>
      <c r="HA36" s="215">
        <f t="shared" si="129"/>
        <v>0</v>
      </c>
      <c r="HB36" s="215">
        <f t="shared" si="130"/>
        <v>0</v>
      </c>
      <c r="HC36" s="215">
        <f t="shared" si="131"/>
        <v>0</v>
      </c>
      <c r="HD36" s="215">
        <f t="shared" si="132"/>
        <v>0</v>
      </c>
      <c r="HE36" s="215">
        <f t="shared" si="133"/>
        <v>0</v>
      </c>
      <c r="HF36" s="215">
        <f t="shared" si="134"/>
        <v>0</v>
      </c>
      <c r="HG36" s="215">
        <f t="shared" si="135"/>
        <v>0</v>
      </c>
      <c r="HH36" s="215">
        <f t="shared" si="136"/>
        <v>0</v>
      </c>
      <c r="HI36" s="215">
        <f t="shared" si="137"/>
        <v>0</v>
      </c>
      <c r="HJ36" s="215">
        <f t="shared" si="138"/>
        <v>0</v>
      </c>
      <c r="HK36" s="215">
        <f t="shared" si="139"/>
        <v>0</v>
      </c>
      <c r="HL36" s="211">
        <f t="shared" si="140"/>
        <v>0</v>
      </c>
      <c r="HM36" s="51">
        <f t="shared" si="141"/>
        <v>0</v>
      </c>
      <c r="HN36" s="51"/>
    </row>
    <row r="37" spans="1:222">
      <c r="A37" s="49" t="s">
        <v>60</v>
      </c>
      <c r="B37" s="51">
        <v>13.809642857142856</v>
      </c>
      <c r="C37" s="206" t="s">
        <v>277</v>
      </c>
      <c r="D37" s="51">
        <f t="shared" si="0"/>
        <v>0</v>
      </c>
      <c r="E37" s="51" t="str">
        <f t="shared" si="1"/>
        <v/>
      </c>
      <c r="F37" s="51">
        <v>14.834642857142857</v>
      </c>
      <c r="G37" s="206" t="s">
        <v>277</v>
      </c>
      <c r="H37" s="51"/>
      <c r="I37" s="51" t="str">
        <f t="shared" si="3"/>
        <v/>
      </c>
      <c r="J37" s="51">
        <v>15.549642857142857</v>
      </c>
      <c r="K37" s="51" t="s">
        <v>277</v>
      </c>
      <c r="L37" s="51">
        <f t="shared" si="4"/>
        <v>0</v>
      </c>
      <c r="M37" s="51" t="str">
        <f t="shared" si="5"/>
        <v/>
      </c>
      <c r="N37" s="51">
        <v>14.899642857142858</v>
      </c>
      <c r="O37" s="51" t="s">
        <v>277</v>
      </c>
      <c r="P37" s="51">
        <f t="shared" si="6"/>
        <v>0</v>
      </c>
      <c r="Q37" s="51" t="str">
        <f t="shared" si="7"/>
        <v/>
      </c>
      <c r="R37" s="51">
        <v>15.062142857142858</v>
      </c>
      <c r="S37" s="51" t="s">
        <v>277</v>
      </c>
      <c r="T37" s="51">
        <f t="shared" si="8"/>
        <v>0</v>
      </c>
      <c r="U37" s="51" t="str">
        <f t="shared" si="9"/>
        <v/>
      </c>
      <c r="V37" s="51">
        <v>16.102142857142859</v>
      </c>
      <c r="W37" s="51" t="s">
        <v>277</v>
      </c>
      <c r="X37" s="51">
        <f t="shared" si="10"/>
        <v>0</v>
      </c>
      <c r="Y37" s="51" t="str">
        <f t="shared" si="11"/>
        <v/>
      </c>
      <c r="Z37" s="51">
        <v>16.037142857142857</v>
      </c>
      <c r="AA37" s="51" t="s">
        <v>277</v>
      </c>
      <c r="AB37" s="51">
        <f t="shared" si="12"/>
        <v>0</v>
      </c>
      <c r="AC37" s="51" t="str">
        <f t="shared" si="13"/>
        <v/>
      </c>
      <c r="AD37" s="51">
        <v>16.752142857142857</v>
      </c>
      <c r="AE37" s="51" t="s">
        <v>277</v>
      </c>
      <c r="AF37" s="51">
        <f t="shared" si="14"/>
        <v>0</v>
      </c>
      <c r="AG37" s="51" t="str">
        <f t="shared" si="15"/>
        <v/>
      </c>
      <c r="AH37" s="51">
        <v>16.427142857142858</v>
      </c>
      <c r="AI37" s="51" t="s">
        <v>277</v>
      </c>
      <c r="AJ37" s="51">
        <f t="shared" si="16"/>
        <v>0</v>
      </c>
      <c r="AK37" s="51" t="str">
        <f t="shared" si="17"/>
        <v/>
      </c>
      <c r="AL37" s="51">
        <v>19.677142857142858</v>
      </c>
      <c r="AM37" s="51" t="s">
        <v>277</v>
      </c>
      <c r="AN37" s="51">
        <f t="shared" si="18"/>
        <v>0</v>
      </c>
      <c r="AO37" s="51" t="str">
        <f t="shared" si="19"/>
        <v/>
      </c>
      <c r="AP37" s="51">
        <v>17.077142857142857</v>
      </c>
      <c r="AQ37" s="51" t="s">
        <v>277</v>
      </c>
      <c r="AR37" s="51">
        <f t="shared" si="20"/>
        <v>0</v>
      </c>
      <c r="AS37" s="51" t="str">
        <f t="shared" si="21"/>
        <v/>
      </c>
      <c r="AT37" s="51">
        <v>30.395357142857144</v>
      </c>
      <c r="AU37" s="51" t="s">
        <v>277</v>
      </c>
      <c r="AV37" s="51">
        <f t="shared" si="22"/>
        <v>0</v>
      </c>
      <c r="AW37" s="51" t="str">
        <f t="shared" si="23"/>
        <v/>
      </c>
      <c r="AX37" s="51">
        <v>28.64714285714286</v>
      </c>
      <c r="AY37" s="51" t="s">
        <v>277</v>
      </c>
      <c r="AZ37" s="51">
        <f t="shared" si="24"/>
        <v>0</v>
      </c>
      <c r="BA37" s="51" t="str">
        <f t="shared" si="25"/>
        <v/>
      </c>
      <c r="BB37" s="51">
        <v>21.65964285714286</v>
      </c>
      <c r="BC37" s="51" t="s">
        <v>277</v>
      </c>
      <c r="BD37" s="51">
        <f t="shared" si="107"/>
        <v>0</v>
      </c>
      <c r="BE37" s="51" t="str">
        <f t="shared" si="108"/>
        <v/>
      </c>
      <c r="BF37" s="51">
        <v>19.904642857142857</v>
      </c>
      <c r="BG37" s="51" t="s">
        <v>277</v>
      </c>
      <c r="BH37" s="51">
        <f t="shared" si="28"/>
        <v>0</v>
      </c>
      <c r="BI37" s="51" t="str">
        <f t="shared" si="29"/>
        <v/>
      </c>
      <c r="BJ37" s="51">
        <v>20.327142857142857</v>
      </c>
      <c r="BK37" s="51" t="s">
        <v>277</v>
      </c>
      <c r="BL37" s="51">
        <f t="shared" si="30"/>
        <v>0</v>
      </c>
      <c r="BM37" s="51" t="str">
        <f t="shared" si="31"/>
        <v/>
      </c>
      <c r="BN37" s="51">
        <v>20.489642857142854</v>
      </c>
      <c r="BO37" s="51" t="s">
        <v>277</v>
      </c>
      <c r="BP37" s="51">
        <f t="shared" si="32"/>
        <v>0</v>
      </c>
      <c r="BQ37" s="51" t="str">
        <f t="shared" si="33"/>
        <v/>
      </c>
      <c r="BR37" s="51">
        <v>25.689642857142857</v>
      </c>
      <c r="BS37" s="51" t="s">
        <v>277</v>
      </c>
      <c r="BT37" s="51">
        <f t="shared" si="34"/>
        <v>0</v>
      </c>
      <c r="BU37" s="51" t="str">
        <f t="shared" si="35"/>
        <v/>
      </c>
      <c r="BV37" s="51">
        <v>21.952142857142857</v>
      </c>
      <c r="BW37" s="206" t="s">
        <v>277</v>
      </c>
      <c r="BX37" s="51">
        <f t="shared" si="109"/>
        <v>0</v>
      </c>
      <c r="BY37" s="51" t="str">
        <f t="shared" si="110"/>
        <v/>
      </c>
      <c r="BZ37" s="51">
        <v>21.464642857142859</v>
      </c>
      <c r="CA37" s="51" t="s">
        <v>277</v>
      </c>
      <c r="CB37" s="51">
        <f t="shared" si="111"/>
        <v>0</v>
      </c>
      <c r="CC37" s="51" t="str">
        <f t="shared" si="112"/>
        <v/>
      </c>
      <c r="CD37" s="51">
        <v>19.839642857142856</v>
      </c>
      <c r="CE37" s="51" t="s">
        <v>277</v>
      </c>
      <c r="CF37" s="51">
        <f t="shared" si="40"/>
        <v>0</v>
      </c>
      <c r="CG37" s="51" t="str">
        <f t="shared" si="41"/>
        <v/>
      </c>
      <c r="CH37" s="51">
        <v>24.194642857142856</v>
      </c>
      <c r="CI37" s="51" t="s">
        <v>277</v>
      </c>
      <c r="CJ37" s="51">
        <f t="shared" si="144"/>
        <v>0</v>
      </c>
      <c r="CK37" s="51" t="str">
        <f t="shared" si="145"/>
        <v/>
      </c>
      <c r="CL37" s="51">
        <v>26.372142857142858</v>
      </c>
      <c r="CM37" s="51" t="s">
        <v>277</v>
      </c>
      <c r="CN37" s="51">
        <f t="shared" si="113"/>
        <v>0</v>
      </c>
      <c r="CO37" s="51" t="str">
        <f t="shared" si="114"/>
        <v/>
      </c>
      <c r="CP37" s="51">
        <v>27.542142857142863</v>
      </c>
      <c r="CQ37" s="51" t="s">
        <v>277</v>
      </c>
      <c r="CR37" s="51">
        <f t="shared" si="46"/>
        <v>0</v>
      </c>
      <c r="CS37" s="51" t="str">
        <f t="shared" si="47"/>
        <v/>
      </c>
      <c r="CT37" s="51">
        <v>23.787142857142857</v>
      </c>
      <c r="CU37" s="230" t="s">
        <v>277</v>
      </c>
      <c r="CV37" s="51">
        <f t="shared" si="48"/>
        <v>0</v>
      </c>
      <c r="CW37" s="51" t="str">
        <f t="shared" si="49"/>
        <v/>
      </c>
      <c r="CX37" s="51">
        <v>23.674642857142857</v>
      </c>
      <c r="CY37" s="230" t="s">
        <v>277</v>
      </c>
      <c r="CZ37" s="51">
        <f t="shared" si="115"/>
        <v>0</v>
      </c>
      <c r="DA37" s="51" t="str">
        <f t="shared" si="116"/>
        <v/>
      </c>
      <c r="DB37" s="51">
        <v>21.724642857142857</v>
      </c>
      <c r="DC37" s="230" t="s">
        <v>277</v>
      </c>
      <c r="DD37" s="51">
        <f t="shared" si="52"/>
        <v>0</v>
      </c>
      <c r="DE37" s="51" t="str">
        <f t="shared" si="53"/>
        <v/>
      </c>
      <c r="DF37" s="51">
        <v>24.812142857142859</v>
      </c>
      <c r="DG37" s="230" t="s">
        <v>277</v>
      </c>
      <c r="DH37" s="51">
        <f t="shared" si="54"/>
        <v>0</v>
      </c>
      <c r="DI37" s="51" t="str">
        <f t="shared" si="55"/>
        <v/>
      </c>
      <c r="DJ37" s="51">
        <v>30.824642857142862</v>
      </c>
      <c r="DK37" s="51" t="s">
        <v>277</v>
      </c>
      <c r="DL37" s="51">
        <f t="shared" si="56"/>
        <v>0</v>
      </c>
      <c r="DM37" s="51" t="str">
        <f t="shared" si="57"/>
        <v/>
      </c>
      <c r="DN37" s="51">
        <v>24.324642857142859</v>
      </c>
      <c r="DO37" s="51" t="s">
        <v>277</v>
      </c>
      <c r="DP37" s="51">
        <f t="shared" si="58"/>
        <v>0</v>
      </c>
      <c r="DQ37" s="51" t="str">
        <f t="shared" si="59"/>
        <v/>
      </c>
      <c r="DR37" s="51">
        <v>24.324642857142859</v>
      </c>
      <c r="DS37" s="51" t="s">
        <v>277</v>
      </c>
      <c r="DT37" s="51">
        <f t="shared" si="60"/>
        <v>0</v>
      </c>
      <c r="DU37" s="51" t="str">
        <f t="shared" si="61"/>
        <v/>
      </c>
      <c r="DV37" s="51">
        <v>23.67464285714286</v>
      </c>
      <c r="DW37" s="230" t="s">
        <v>277</v>
      </c>
      <c r="DX37" s="51">
        <f t="shared" si="62"/>
        <v>0</v>
      </c>
      <c r="DY37" s="51" t="str">
        <f t="shared" si="63"/>
        <v/>
      </c>
      <c r="DZ37" s="51">
        <v>24.032142857142858</v>
      </c>
      <c r="EA37" s="51" t="s">
        <v>277</v>
      </c>
      <c r="EB37" s="51">
        <f t="shared" si="64"/>
        <v>0</v>
      </c>
      <c r="EC37" s="51" t="str">
        <f t="shared" si="65"/>
        <v/>
      </c>
      <c r="ED37" s="51">
        <f>29.8821428571429-20</f>
        <v>9.8821428571428989</v>
      </c>
      <c r="EE37" s="51" t="s">
        <v>277</v>
      </c>
      <c r="EF37" s="51">
        <f t="shared" si="66"/>
        <v>0</v>
      </c>
      <c r="EG37" s="51" t="str">
        <f t="shared" si="67"/>
        <v/>
      </c>
      <c r="EH37" s="51">
        <v>22.56964285714286</v>
      </c>
      <c r="EI37" s="230" t="s">
        <v>277</v>
      </c>
      <c r="EJ37" s="250">
        <f t="shared" si="68"/>
        <v>0</v>
      </c>
      <c r="EK37" s="51" t="str">
        <f t="shared" si="69"/>
        <v/>
      </c>
      <c r="EL37" s="51">
        <v>29.232142857142861</v>
      </c>
      <c r="EM37" s="250" t="s">
        <v>277</v>
      </c>
      <c r="EN37" s="230">
        <f t="shared" si="70"/>
        <v>0</v>
      </c>
      <c r="EO37" s="51" t="str">
        <f t="shared" si="71"/>
        <v/>
      </c>
      <c r="EP37" s="51">
        <v>26.923214285714284</v>
      </c>
      <c r="EQ37" s="230" t="s">
        <v>277</v>
      </c>
      <c r="ER37" s="51">
        <f t="shared" si="72"/>
        <v>0</v>
      </c>
      <c r="ES37" s="51" t="str">
        <f t="shared" si="73"/>
        <v/>
      </c>
      <c r="ET37" s="51">
        <v>28.548214285714284</v>
      </c>
      <c r="EU37" s="230" t="s">
        <v>277</v>
      </c>
      <c r="EV37" s="51">
        <f t="shared" si="117"/>
        <v>0</v>
      </c>
      <c r="EW37" s="51" t="str">
        <f t="shared" si="75"/>
        <v/>
      </c>
      <c r="EX37" s="51">
        <v>28.385714285714286</v>
      </c>
      <c r="EY37" s="51" t="s">
        <v>277</v>
      </c>
      <c r="EZ37" s="51">
        <f t="shared" si="76"/>
        <v>0</v>
      </c>
      <c r="FA37" s="51" t="str">
        <f t="shared" si="77"/>
        <v/>
      </c>
      <c r="FB37" s="51">
        <v>27.085714285714285</v>
      </c>
      <c r="FC37" s="51" t="s">
        <v>277</v>
      </c>
      <c r="FD37" s="51">
        <f t="shared" si="78"/>
        <v>0</v>
      </c>
      <c r="FE37" s="51" t="str">
        <f t="shared" si="79"/>
        <v/>
      </c>
      <c r="FF37" s="51">
        <v>34.170714285714283</v>
      </c>
      <c r="FG37" s="51" t="s">
        <v>277</v>
      </c>
      <c r="FH37" s="51">
        <f t="shared" si="146"/>
        <v>0</v>
      </c>
      <c r="FI37" s="51" t="str">
        <f t="shared" si="147"/>
        <v/>
      </c>
      <c r="FJ37" s="51">
        <v>30.010714285714286</v>
      </c>
      <c r="FK37" s="230" t="s">
        <v>277</v>
      </c>
      <c r="FL37" s="51">
        <f t="shared" si="82"/>
        <v>0</v>
      </c>
      <c r="FM37" s="51" t="str">
        <f t="shared" si="83"/>
        <v/>
      </c>
      <c r="FN37" s="51">
        <v>26.445178571428571</v>
      </c>
      <c r="FO37" s="51"/>
      <c r="FP37" s="51"/>
      <c r="FQ37" s="51"/>
      <c r="FR37" s="51">
        <f t="shared" si="118"/>
        <v>0</v>
      </c>
      <c r="FS37" s="14">
        <f t="shared" si="119"/>
        <v>0</v>
      </c>
      <c r="FT37">
        <f t="shared" si="120"/>
        <v>0</v>
      </c>
      <c r="FU37" t="s">
        <v>591</v>
      </c>
      <c r="FV37" s="215">
        <f t="shared" si="84"/>
        <v>0</v>
      </c>
      <c r="FW37" s="215">
        <f t="shared" si="85"/>
        <v>0</v>
      </c>
      <c r="FX37" s="215">
        <f t="shared" si="86"/>
        <v>0</v>
      </c>
      <c r="FY37" s="215">
        <f t="shared" si="87"/>
        <v>0</v>
      </c>
      <c r="FZ37" s="215">
        <f t="shared" si="88"/>
        <v>0</v>
      </c>
      <c r="GA37" s="215">
        <f t="shared" si="89"/>
        <v>0</v>
      </c>
      <c r="GB37" s="215">
        <f t="shared" si="90"/>
        <v>0</v>
      </c>
      <c r="GC37" s="215">
        <f t="shared" si="91"/>
        <v>0</v>
      </c>
      <c r="GD37" s="215">
        <f t="shared" si="92"/>
        <v>0</v>
      </c>
      <c r="GE37" s="215">
        <f t="shared" si="93"/>
        <v>0</v>
      </c>
      <c r="GF37" s="215">
        <f t="shared" si="148"/>
        <v>0</v>
      </c>
      <c r="GG37" s="215">
        <f t="shared" si="95"/>
        <v>0</v>
      </c>
      <c r="GH37" s="215">
        <f t="shared" si="96"/>
        <v>0</v>
      </c>
      <c r="GI37" s="215">
        <f t="shared" si="97"/>
        <v>0</v>
      </c>
      <c r="GJ37" s="215">
        <f t="shared" si="98"/>
        <v>0</v>
      </c>
      <c r="GK37" s="215">
        <f t="shared" si="99"/>
        <v>0</v>
      </c>
      <c r="GL37" s="215">
        <f t="shared" si="100"/>
        <v>0</v>
      </c>
      <c r="GM37" s="215">
        <f t="shared" si="101"/>
        <v>0</v>
      </c>
      <c r="GN37" s="215">
        <f t="shared" si="102"/>
        <v>0</v>
      </c>
      <c r="GO37" s="215">
        <f t="shared" si="103"/>
        <v>0</v>
      </c>
      <c r="GP37" s="215">
        <f t="shared" si="104"/>
        <v>0</v>
      </c>
      <c r="GQ37" s="215">
        <f t="shared" si="105"/>
        <v>0</v>
      </c>
      <c r="GR37" s="215">
        <f t="shared" si="106"/>
        <v>0</v>
      </c>
      <c r="GS37" s="215">
        <f t="shared" si="121"/>
        <v>0</v>
      </c>
      <c r="GT37" s="215">
        <f t="shared" si="122"/>
        <v>0</v>
      </c>
      <c r="GU37" s="215">
        <f t="shared" si="123"/>
        <v>0</v>
      </c>
      <c r="GV37" s="215">
        <f t="shared" si="124"/>
        <v>0</v>
      </c>
      <c r="GW37" s="215">
        <f t="shared" si="125"/>
        <v>0</v>
      </c>
      <c r="GX37" s="215">
        <f t="shared" si="126"/>
        <v>0</v>
      </c>
      <c r="GY37" s="215">
        <f t="shared" si="127"/>
        <v>0</v>
      </c>
      <c r="GZ37" s="215">
        <f t="shared" si="128"/>
        <v>0</v>
      </c>
      <c r="HA37" s="215">
        <f t="shared" si="129"/>
        <v>0</v>
      </c>
      <c r="HB37" s="215">
        <f t="shared" si="130"/>
        <v>0</v>
      </c>
      <c r="HC37" s="215">
        <f t="shared" si="131"/>
        <v>0</v>
      </c>
      <c r="HD37" s="215">
        <f t="shared" si="132"/>
        <v>0</v>
      </c>
      <c r="HE37" s="215">
        <f t="shared" si="133"/>
        <v>0</v>
      </c>
      <c r="HF37" s="215">
        <f t="shared" si="134"/>
        <v>0</v>
      </c>
      <c r="HG37" s="215">
        <f t="shared" si="135"/>
        <v>0</v>
      </c>
      <c r="HH37" s="215">
        <f t="shared" si="136"/>
        <v>0</v>
      </c>
      <c r="HI37" s="215">
        <f t="shared" si="137"/>
        <v>0</v>
      </c>
      <c r="HJ37" s="215">
        <f t="shared" si="138"/>
        <v>0</v>
      </c>
      <c r="HK37" s="215">
        <f t="shared" si="139"/>
        <v>0</v>
      </c>
      <c r="HL37" s="211">
        <f t="shared" si="140"/>
        <v>0</v>
      </c>
      <c r="HM37" s="51">
        <f t="shared" si="141"/>
        <v>0</v>
      </c>
      <c r="HN37" s="51"/>
    </row>
    <row r="38" spans="1:222">
      <c r="A38" s="49" t="s">
        <v>61</v>
      </c>
      <c r="B38" s="51">
        <v>14.112942857142858</v>
      </c>
      <c r="C38" s="51" t="s">
        <v>277</v>
      </c>
      <c r="D38" s="51">
        <f t="shared" si="0"/>
        <v>0</v>
      </c>
      <c r="E38" s="51" t="str">
        <f t="shared" si="1"/>
        <v/>
      </c>
      <c r="F38" s="51">
        <v>20.110942857142859</v>
      </c>
      <c r="G38" s="51" t="s">
        <v>277</v>
      </c>
      <c r="H38" s="51">
        <f t="shared" si="2"/>
        <v>0</v>
      </c>
      <c r="I38" s="51" t="str">
        <f t="shared" si="3"/>
        <v/>
      </c>
      <c r="J38" s="51">
        <v>15.845742857142858</v>
      </c>
      <c r="K38" s="51" t="s">
        <v>277</v>
      </c>
      <c r="L38" s="51">
        <f t="shared" si="4"/>
        <v>0</v>
      </c>
      <c r="M38" s="51" t="str">
        <f t="shared" si="5"/>
        <v/>
      </c>
      <c r="N38" s="51">
        <v>15.177742857142857</v>
      </c>
      <c r="O38" s="51" t="s">
        <v>277</v>
      </c>
      <c r="P38" s="51">
        <f t="shared" si="6"/>
        <v>0</v>
      </c>
      <c r="Q38" s="51" t="str">
        <f t="shared" si="7"/>
        <v/>
      </c>
      <c r="R38" s="51">
        <v>15.344742857142856</v>
      </c>
      <c r="S38" s="51" t="s">
        <v>277</v>
      </c>
      <c r="T38" s="51">
        <f t="shared" si="8"/>
        <v>0</v>
      </c>
      <c r="U38" s="51" t="str">
        <f t="shared" si="9"/>
        <v/>
      </c>
      <c r="V38" s="51">
        <v>16.413542857142858</v>
      </c>
      <c r="W38" s="51" t="s">
        <v>277</v>
      </c>
      <c r="X38" s="51">
        <f t="shared" si="10"/>
        <v>0</v>
      </c>
      <c r="Y38" s="51" t="str">
        <f t="shared" si="11"/>
        <v/>
      </c>
      <c r="Z38" s="51">
        <v>16.346742857142857</v>
      </c>
      <c r="AA38" s="51" t="s">
        <v>277</v>
      </c>
      <c r="AB38" s="51">
        <f t="shared" si="12"/>
        <v>0</v>
      </c>
      <c r="AC38" s="51" t="str">
        <f t="shared" si="13"/>
        <v/>
      </c>
      <c r="AD38" s="51">
        <v>17.081542857142857</v>
      </c>
      <c r="AE38" s="51" t="s">
        <v>277</v>
      </c>
      <c r="AF38" s="51">
        <f t="shared" si="14"/>
        <v>0</v>
      </c>
      <c r="AG38" s="51" t="str">
        <f t="shared" si="15"/>
        <v/>
      </c>
      <c r="AH38" s="51">
        <v>16.747542857142857</v>
      </c>
      <c r="AI38" s="51" t="s">
        <v>277</v>
      </c>
      <c r="AJ38" s="51">
        <f t="shared" si="16"/>
        <v>0</v>
      </c>
      <c r="AK38" s="51" t="str">
        <f t="shared" si="17"/>
        <v/>
      </c>
      <c r="AL38" s="51">
        <v>20.087542857142857</v>
      </c>
      <c r="AM38" s="51" t="s">
        <v>277</v>
      </c>
      <c r="AN38" s="51">
        <f t="shared" si="18"/>
        <v>0</v>
      </c>
      <c r="AO38" s="51" t="str">
        <f t="shared" si="19"/>
        <v/>
      </c>
      <c r="AP38" s="51">
        <v>17.41554285714286</v>
      </c>
      <c r="AQ38" s="51" t="s">
        <v>277</v>
      </c>
      <c r="AR38" s="51">
        <f t="shared" si="20"/>
        <v>0</v>
      </c>
      <c r="AS38" s="51" t="str">
        <f t="shared" si="21"/>
        <v/>
      </c>
      <c r="AT38" s="51">
        <v>31.094657142857137</v>
      </c>
      <c r="AU38" s="51" t="s">
        <v>277</v>
      </c>
      <c r="AV38" s="51">
        <f t="shared" si="22"/>
        <v>0</v>
      </c>
      <c r="AW38" s="51" t="str">
        <f t="shared" si="23"/>
        <v/>
      </c>
      <c r="AX38" s="51">
        <v>29.30594285714286</v>
      </c>
      <c r="AY38" s="51" t="s">
        <v>277</v>
      </c>
      <c r="AZ38" s="51">
        <f t="shared" si="24"/>
        <v>0</v>
      </c>
      <c r="BA38" s="51" t="str">
        <f t="shared" si="25"/>
        <v/>
      </c>
      <c r="BB38" s="51">
        <v>22.124942857142855</v>
      </c>
      <c r="BC38" s="51" t="s">
        <v>277</v>
      </c>
      <c r="BD38" s="51">
        <f t="shared" si="107"/>
        <v>0</v>
      </c>
      <c r="BE38" s="51" t="str">
        <f t="shared" si="108"/>
        <v/>
      </c>
      <c r="BF38" s="51">
        <v>20.321342857142856</v>
      </c>
      <c r="BG38" s="51" t="s">
        <v>277</v>
      </c>
      <c r="BH38" s="51">
        <f t="shared" si="28"/>
        <v>0</v>
      </c>
      <c r="BI38" s="51" t="str">
        <f t="shared" si="29"/>
        <v/>
      </c>
      <c r="BJ38" s="51">
        <v>20.755542857142856</v>
      </c>
      <c r="BK38" s="51" t="s">
        <v>277</v>
      </c>
      <c r="BL38" s="51">
        <f t="shared" si="30"/>
        <v>0</v>
      </c>
      <c r="BM38" s="51" t="str">
        <f t="shared" si="31"/>
        <v/>
      </c>
      <c r="BN38" s="51">
        <v>20.922542857142854</v>
      </c>
      <c r="BO38" s="51" t="s">
        <v>277</v>
      </c>
      <c r="BP38" s="51">
        <f t="shared" si="32"/>
        <v>0</v>
      </c>
      <c r="BQ38" s="51" t="str">
        <f t="shared" si="33"/>
        <v/>
      </c>
      <c r="BR38" s="51">
        <v>26.266542857142856</v>
      </c>
      <c r="BS38" s="51" t="s">
        <v>277</v>
      </c>
      <c r="BT38" s="51">
        <f t="shared" si="34"/>
        <v>0</v>
      </c>
      <c r="BU38" s="51" t="str">
        <f t="shared" si="35"/>
        <v/>
      </c>
      <c r="BV38" s="51">
        <v>22.425542857142855</v>
      </c>
      <c r="BW38" s="51" t="s">
        <v>277</v>
      </c>
      <c r="BX38" s="51">
        <f t="shared" si="109"/>
        <v>0</v>
      </c>
      <c r="BY38" s="51" t="str">
        <f t="shared" si="110"/>
        <v/>
      </c>
      <c r="BZ38" s="51">
        <v>21.924542857142853</v>
      </c>
      <c r="CA38" s="51" t="s">
        <v>277</v>
      </c>
      <c r="CB38" s="51">
        <f t="shared" si="111"/>
        <v>0</v>
      </c>
      <c r="CC38" s="51" t="str">
        <f t="shared" si="112"/>
        <v/>
      </c>
      <c r="CD38" s="51">
        <v>20.254542857142855</v>
      </c>
      <c r="CE38" s="51" t="s">
        <v>277</v>
      </c>
      <c r="CF38" s="51">
        <f t="shared" si="40"/>
        <v>0</v>
      </c>
      <c r="CG38" s="51" t="str">
        <f t="shared" si="41"/>
        <v/>
      </c>
      <c r="CH38" s="51">
        <v>24.730142857142855</v>
      </c>
      <c r="CI38" s="51" t="s">
        <v>277</v>
      </c>
      <c r="CJ38" s="51">
        <f t="shared" si="144"/>
        <v>0</v>
      </c>
      <c r="CK38" s="51" t="str">
        <f t="shared" si="145"/>
        <v/>
      </c>
      <c r="CL38" s="51">
        <v>26.967942857142859</v>
      </c>
      <c r="CM38" s="51" t="s">
        <v>277</v>
      </c>
      <c r="CN38" s="51">
        <f t="shared" si="113"/>
        <v>0</v>
      </c>
      <c r="CO38" s="51" t="str">
        <f t="shared" si="114"/>
        <v/>
      </c>
      <c r="CP38" s="51">
        <v>28.170342857142856</v>
      </c>
      <c r="CQ38" s="51" t="s">
        <v>277</v>
      </c>
      <c r="CR38" s="51">
        <f t="shared" si="46"/>
        <v>0</v>
      </c>
      <c r="CS38" s="51" t="str">
        <f t="shared" si="47"/>
        <v/>
      </c>
      <c r="CT38" s="51">
        <v>24.36674285714286</v>
      </c>
      <c r="CU38" s="230" t="s">
        <v>277</v>
      </c>
      <c r="CV38" s="51">
        <f t="shared" si="48"/>
        <v>0</v>
      </c>
      <c r="CW38" s="51" t="str">
        <f t="shared" si="49"/>
        <v/>
      </c>
      <c r="CX38" s="51">
        <v>24.195742857142857</v>
      </c>
      <c r="CY38" s="230" t="s">
        <v>277</v>
      </c>
      <c r="CZ38" s="51">
        <f t="shared" si="115"/>
        <v>0</v>
      </c>
      <c r="DA38" s="51" t="str">
        <f t="shared" si="116"/>
        <v/>
      </c>
      <c r="DB38" s="51">
        <v>22.191742857142856</v>
      </c>
      <c r="DC38" s="230" t="s">
        <v>277</v>
      </c>
      <c r="DD38" s="51">
        <f t="shared" si="52"/>
        <v>0</v>
      </c>
      <c r="DE38" s="51" t="str">
        <f t="shared" si="53"/>
        <v/>
      </c>
      <c r="DF38" s="51">
        <v>25.364742857142858</v>
      </c>
      <c r="DG38" s="230" t="s">
        <v>277</v>
      </c>
      <c r="DH38" s="51">
        <f t="shared" si="54"/>
        <v>0</v>
      </c>
      <c r="DI38" s="51" t="str">
        <f t="shared" si="55"/>
        <v/>
      </c>
      <c r="DJ38" s="51">
        <v>31.543742857142856</v>
      </c>
      <c r="DK38" s="51" t="s">
        <v>277</v>
      </c>
      <c r="DL38" s="51">
        <f t="shared" si="56"/>
        <v>0</v>
      </c>
      <c r="DM38" s="51" t="str">
        <f t="shared" si="57"/>
        <v/>
      </c>
      <c r="DN38" s="51">
        <v>24.863742857142856</v>
      </c>
      <c r="DO38" s="51" t="s">
        <v>277</v>
      </c>
      <c r="DP38" s="51">
        <f t="shared" si="58"/>
        <v>0</v>
      </c>
      <c r="DQ38" s="51" t="str">
        <f t="shared" si="59"/>
        <v/>
      </c>
      <c r="DR38" s="51">
        <v>24.863742857142856</v>
      </c>
      <c r="DS38" s="51" t="s">
        <v>277</v>
      </c>
      <c r="DT38" s="51">
        <f t="shared" si="60"/>
        <v>0</v>
      </c>
      <c r="DU38" s="51" t="str">
        <f t="shared" si="61"/>
        <v/>
      </c>
      <c r="DV38" s="51">
        <v>24.195742857142857</v>
      </c>
      <c r="DW38" s="230" t="s">
        <v>277</v>
      </c>
      <c r="DX38" s="51">
        <f t="shared" si="62"/>
        <v>0</v>
      </c>
      <c r="DY38" s="51" t="str">
        <f t="shared" si="63"/>
        <v/>
      </c>
      <c r="DZ38" s="51">
        <v>24.563142857142861</v>
      </c>
      <c r="EA38" s="51" t="s">
        <v>277</v>
      </c>
      <c r="EB38" s="51">
        <f t="shared" si="64"/>
        <v>0</v>
      </c>
      <c r="EC38" s="51" t="str">
        <f t="shared" si="65"/>
        <v/>
      </c>
      <c r="ED38" s="51">
        <v>30.575142857142858</v>
      </c>
      <c r="EE38" s="51" t="s">
        <v>277</v>
      </c>
      <c r="EF38" s="51">
        <f t="shared" si="66"/>
        <v>0</v>
      </c>
      <c r="EG38" s="51" t="str">
        <f t="shared" si="67"/>
        <v/>
      </c>
      <c r="EH38" s="51">
        <v>23.060142857142857</v>
      </c>
      <c r="EI38" s="230" t="s">
        <v>277</v>
      </c>
      <c r="EJ38" s="250">
        <f t="shared" si="68"/>
        <v>0</v>
      </c>
      <c r="EK38" s="51" t="str">
        <f t="shared" si="69"/>
        <v/>
      </c>
      <c r="EL38" s="51">
        <v>29.907142857142858</v>
      </c>
      <c r="EM38" s="250" t="s">
        <v>277</v>
      </c>
      <c r="EN38" s="230">
        <f t="shared" si="70"/>
        <v>0</v>
      </c>
      <c r="EO38" s="51" t="str">
        <f t="shared" si="71"/>
        <v/>
      </c>
      <c r="EP38" s="51">
        <v>27.494714285714284</v>
      </c>
      <c r="EQ38" s="230" t="s">
        <v>277</v>
      </c>
      <c r="ER38" s="51">
        <f t="shared" si="72"/>
        <v>0</v>
      </c>
      <c r="ES38" s="51" t="str">
        <f t="shared" si="73"/>
        <v/>
      </c>
      <c r="ET38" s="51">
        <v>29.164714285714286</v>
      </c>
      <c r="EU38" s="230" t="s">
        <v>277</v>
      </c>
      <c r="EV38" s="51">
        <f t="shared" si="117"/>
        <v>0</v>
      </c>
      <c r="EW38" s="51" t="str">
        <f t="shared" si="75"/>
        <v/>
      </c>
      <c r="EX38" s="51">
        <v>28.997714285714281</v>
      </c>
      <c r="EY38" s="51" t="s">
        <v>277</v>
      </c>
      <c r="EZ38" s="51">
        <f t="shared" si="76"/>
        <v>0</v>
      </c>
      <c r="FA38" s="51" t="str">
        <f t="shared" si="77"/>
        <v/>
      </c>
      <c r="FB38" s="51">
        <v>27.661714285714286</v>
      </c>
      <c r="FC38" s="51" t="s">
        <v>277</v>
      </c>
      <c r="FD38" s="51">
        <f t="shared" si="78"/>
        <v>0</v>
      </c>
      <c r="FE38" s="51" t="str">
        <f t="shared" si="79"/>
        <v/>
      </c>
      <c r="FF38" s="51">
        <v>34.942914285714288</v>
      </c>
      <c r="FG38" s="51" t="s">
        <v>277</v>
      </c>
      <c r="FH38" s="51">
        <f t="shared" si="146"/>
        <v>0</v>
      </c>
      <c r="FI38" s="51" t="str">
        <f t="shared" si="147"/>
        <v/>
      </c>
      <c r="FJ38" s="51">
        <v>30.667714285714286</v>
      </c>
      <c r="FK38" s="230" t="s">
        <v>277</v>
      </c>
      <c r="FL38" s="51">
        <f t="shared" si="82"/>
        <v>0</v>
      </c>
      <c r="FM38" s="51" t="str">
        <f t="shared" si="83"/>
        <v/>
      </c>
      <c r="FN38" s="51">
        <v>26.995528571428569</v>
      </c>
      <c r="FO38" s="51"/>
      <c r="FP38" s="51"/>
      <c r="FQ38" s="51"/>
      <c r="FR38" s="51">
        <f t="shared" si="118"/>
        <v>0</v>
      </c>
      <c r="FS38" s="14">
        <f t="shared" si="119"/>
        <v>0</v>
      </c>
      <c r="FT38">
        <f t="shared" si="120"/>
        <v>0</v>
      </c>
      <c r="FV38" s="215">
        <f t="shared" si="84"/>
        <v>0</v>
      </c>
      <c r="FW38" s="215">
        <f t="shared" si="85"/>
        <v>0</v>
      </c>
      <c r="FX38" s="215">
        <f t="shared" si="86"/>
        <v>0</v>
      </c>
      <c r="FY38" s="215">
        <f t="shared" si="87"/>
        <v>0</v>
      </c>
      <c r="FZ38" s="215">
        <f t="shared" si="88"/>
        <v>0</v>
      </c>
      <c r="GA38" s="215">
        <f t="shared" si="89"/>
        <v>0</v>
      </c>
      <c r="GB38" s="215">
        <f t="shared" si="90"/>
        <v>0</v>
      </c>
      <c r="GC38" s="215">
        <f t="shared" si="91"/>
        <v>0</v>
      </c>
      <c r="GD38" s="215">
        <f t="shared" si="92"/>
        <v>0</v>
      </c>
      <c r="GE38" s="215">
        <f t="shared" si="93"/>
        <v>0</v>
      </c>
      <c r="GF38" s="215">
        <f t="shared" si="148"/>
        <v>0</v>
      </c>
      <c r="GG38" s="215">
        <f t="shared" si="95"/>
        <v>0</v>
      </c>
      <c r="GH38" s="215">
        <f t="shared" si="96"/>
        <v>0</v>
      </c>
      <c r="GI38" s="215">
        <f t="shared" si="97"/>
        <v>0</v>
      </c>
      <c r="GJ38" s="215">
        <f t="shared" si="98"/>
        <v>0</v>
      </c>
      <c r="GK38" s="215">
        <f t="shared" si="99"/>
        <v>0</v>
      </c>
      <c r="GL38" s="215">
        <f t="shared" si="100"/>
        <v>0</v>
      </c>
      <c r="GM38" s="215">
        <f t="shared" si="101"/>
        <v>0</v>
      </c>
      <c r="GN38" s="215">
        <f t="shared" si="102"/>
        <v>0</v>
      </c>
      <c r="GO38" s="215">
        <f t="shared" si="103"/>
        <v>0</v>
      </c>
      <c r="GP38" s="215">
        <f t="shared" si="104"/>
        <v>0</v>
      </c>
      <c r="GQ38" s="215">
        <f t="shared" si="105"/>
        <v>0</v>
      </c>
      <c r="GR38" s="215">
        <f t="shared" si="106"/>
        <v>0</v>
      </c>
      <c r="GS38" s="215">
        <f t="shared" si="121"/>
        <v>0</v>
      </c>
      <c r="GT38" s="215">
        <f t="shared" si="122"/>
        <v>0</v>
      </c>
      <c r="GU38" s="215">
        <f t="shared" si="123"/>
        <v>0</v>
      </c>
      <c r="GV38" s="215">
        <f t="shared" si="124"/>
        <v>0</v>
      </c>
      <c r="GW38" s="215">
        <f t="shared" si="125"/>
        <v>0</v>
      </c>
      <c r="GX38" s="215">
        <f t="shared" si="126"/>
        <v>0</v>
      </c>
      <c r="GY38" s="215">
        <f t="shared" si="127"/>
        <v>0</v>
      </c>
      <c r="GZ38" s="215">
        <f t="shared" si="128"/>
        <v>0</v>
      </c>
      <c r="HA38" s="215">
        <f t="shared" si="129"/>
        <v>0</v>
      </c>
      <c r="HB38" s="215">
        <f t="shared" si="130"/>
        <v>0</v>
      </c>
      <c r="HC38" s="215">
        <f t="shared" si="131"/>
        <v>0</v>
      </c>
      <c r="HD38" s="215">
        <f t="shared" si="132"/>
        <v>0</v>
      </c>
      <c r="HE38" s="215"/>
      <c r="HF38" s="215">
        <f t="shared" si="134"/>
        <v>0</v>
      </c>
      <c r="HG38" s="215">
        <f t="shared" si="135"/>
        <v>0</v>
      </c>
      <c r="HH38" s="215">
        <f t="shared" si="136"/>
        <v>0</v>
      </c>
      <c r="HI38" s="215">
        <f t="shared" si="137"/>
        <v>0</v>
      </c>
      <c r="HJ38" s="215">
        <f t="shared" si="138"/>
        <v>0</v>
      </c>
      <c r="HK38" s="215">
        <f t="shared" si="139"/>
        <v>0</v>
      </c>
      <c r="HL38" s="211">
        <f t="shared" si="140"/>
        <v>0</v>
      </c>
      <c r="HM38" s="51">
        <f t="shared" si="141"/>
        <v>0</v>
      </c>
    </row>
    <row r="39" spans="1:222" ht="15.75">
      <c r="A39" s="52" t="s">
        <v>278</v>
      </c>
      <c r="B39" s="50">
        <f>SUMIF(C4:C38,"*",B4:B38)</f>
        <v>509</v>
      </c>
      <c r="F39" s="50">
        <f>SUMIF(G4:G38,"*",F4:F38)</f>
        <v>514</v>
      </c>
      <c r="G39" s="51"/>
      <c r="I39" s="51" t="str">
        <f t="shared" si="3"/>
        <v/>
      </c>
      <c r="J39" s="50">
        <f>SUMIF(K4:K38,"*",J4:J38)</f>
        <v>501.00000000000006</v>
      </c>
      <c r="L39" s="51">
        <f t="shared" si="4"/>
        <v>501.00000000000006</v>
      </c>
      <c r="N39" s="50">
        <f>SUMIF(O4:O38,"*",N4:N38)</f>
        <v>480.99999999999994</v>
      </c>
      <c r="R39" s="50">
        <f>SUMIF(S4:S38,"*",R4:R38)</f>
        <v>486.00000000000006</v>
      </c>
      <c r="V39" s="50">
        <f>SUMIF(W4:W38,"*",V4:V38)</f>
        <v>532</v>
      </c>
      <c r="Z39" s="50">
        <f>SUMIF(AA4:AA38,"*",Z4:Z38)</f>
        <v>515.99999999999989</v>
      </c>
      <c r="AD39" s="50">
        <f>SUMIF(AE4:AE38,"*",AD4:AD38)</f>
        <v>538.00000000000011</v>
      </c>
      <c r="AH39" s="50">
        <f>SUMIF(AI4:AI38,"*",AH4:AH38)</f>
        <v>528.00000000000023</v>
      </c>
      <c r="AL39" s="50">
        <f>SUMIF(AM4:AM38,"*",AL4:AL38)</f>
        <v>627.99999999999989</v>
      </c>
      <c r="AP39" s="50">
        <f>SUMIF(AQ4:AQ38,"*",AP4:AP38)</f>
        <v>486.88205714285715</v>
      </c>
      <c r="AT39" s="50">
        <f>SUMIF(AU4:AU38,"*",AT4:AT38)</f>
        <v>801.77317157142863</v>
      </c>
      <c r="AX39" s="50">
        <f>SUMIF(AY4:AY38,"*",AX4:AX38)</f>
        <v>790.08725714285708</v>
      </c>
      <c r="BB39" s="50">
        <f>SUMIF(BC4:BC38,"*",BB4:BB38)</f>
        <v>599.7217571428572</v>
      </c>
      <c r="BF39" s="50">
        <f>SUMIF(BG4:BG38,"*",BF4:BF38)</f>
        <v>560.97995714285696</v>
      </c>
      <c r="BJ39" s="50">
        <f>SUMIF(BK4:BK38,"*",BJ4:BJ38)</f>
        <v>572.05205714285717</v>
      </c>
      <c r="BN39" s="50">
        <f>SUMIF(BO4:BO38,"*",BN4:BN38)</f>
        <v>585.31055714285719</v>
      </c>
      <c r="BR39" s="50">
        <f>SUMIF(BS4:BS38,"*",BR4:BR38)</f>
        <v>712.58255714285724</v>
      </c>
      <c r="BV39" s="50">
        <f>SUMIF(BW4:BW38,"*",BV4:BV38)</f>
        <v>614.63705714285697</v>
      </c>
      <c r="BZ39" s="50">
        <f>SUMIF(CA4:CA38,"*",BZ4:BZ38)</f>
        <v>601.86155714285724</v>
      </c>
      <c r="CD39" s="50">
        <f>SUMIF(CE4:CE38,"*",CD4:CD38)</f>
        <v>559.27655714285709</v>
      </c>
      <c r="CH39" s="50">
        <f>SUMIF(CI4:CI38,"*",CH4:CH38)</f>
        <v>673.40435714285718</v>
      </c>
      <c r="CL39" s="50">
        <f>SUMIF(CM4:CM38,"*",CL4:CL38)</f>
        <v>781.46825714285683</v>
      </c>
      <c r="CP39" s="50">
        <f>SUMIF(CQ4:CQ38,"*",CP4:CP38)</f>
        <v>761.12945714285706</v>
      </c>
      <c r="CT39" s="50">
        <f>SUMIF(CU4:CU38,"*",CT4:CT38)</f>
        <v>624.18771428571415</v>
      </c>
      <c r="CX39" s="50">
        <f>SUMIF(CY4:CY38,"*",CX4:CX38)</f>
        <v>636.8552142857144</v>
      </c>
      <c r="DB39" s="50">
        <f>SUMIF(DC4:DC38,"*",DB4:DB38)</f>
        <v>587.62521428571426</v>
      </c>
      <c r="DF39" s="50">
        <f>SUMIF(DG4:DG38,"*",DF4:DF38)</f>
        <v>665.57271428571448</v>
      </c>
      <c r="DJ39" s="50">
        <f>SUMIF(DK4:DK38,"*",DJ4:DJ38)</f>
        <v>817.3652142857145</v>
      </c>
      <c r="DN39" s="50">
        <f>SUMIF(DO4:DO38,"*",DN4:DN38)</f>
        <v>653.26521428571425</v>
      </c>
      <c r="DR39" s="50">
        <f>SUMIF(DS4:DS38,"*",DR4:DR38)</f>
        <v>653.26521428571414</v>
      </c>
      <c r="DV39" s="50">
        <f>SUMIF(DW4:DW38,"*",DV4:DV38)</f>
        <v>636.8552142857144</v>
      </c>
      <c r="DZ39" s="50">
        <f>SUMIF(EA4:EA38,"*",DZ4:DZ38)</f>
        <v>644.03257142857137</v>
      </c>
      <c r="ED39" s="50">
        <f>SUMIF(EE4:EE38,"*",ED4:ED38)</f>
        <v>773.5707142857143</v>
      </c>
      <c r="EH39" s="50">
        <f>SUMIF(EI4:EI38,"*",EH4:EH38)</f>
        <v>608.95821428571435</v>
      </c>
      <c r="EL39" s="50">
        <f>SUMIF(EM4:EM38,"*",EL4:EL38)</f>
        <v>777.16071428571433</v>
      </c>
      <c r="EP39" s="50">
        <f>SUMIF(EQ4:EQ38,"*",EP4:EP38)</f>
        <v>729.94607142857149</v>
      </c>
      <c r="ET39" s="50">
        <f>SUMIF(EU4:EU38,"*",ET4:ET38)</f>
        <v>770.97107142857135</v>
      </c>
      <c r="EX39" s="50">
        <f>SUMIF(EY4:EY38,"*",EX4:EX38)</f>
        <v>743.42285714285697</v>
      </c>
      <c r="FB39" s="50">
        <f>SUMIF(FC4:FC38,"*",FB4:FB38)</f>
        <v>698.59314285714311</v>
      </c>
      <c r="FF39" s="50">
        <f>SUMIF(FG4:FG38,"*",FF4:FF38)</f>
        <v>799.43031428571442</v>
      </c>
      <c r="FJ39" s="50">
        <f>SUMIF(FK4:FK38,"*",FJ4:FJ38)</f>
        <v>707.43671428571417</v>
      </c>
      <c r="FN39" s="50">
        <f>SUMIF(FO4:FO38,"*",FN4:FN38)</f>
        <v>0</v>
      </c>
      <c r="FR39" s="189">
        <f>SUM(FR4:FR38)</f>
        <v>3894.6240000000025</v>
      </c>
      <c r="FS39" s="14">
        <f t="shared" si="119"/>
        <v>1546165.7280000011</v>
      </c>
      <c r="FT39">
        <f t="shared" si="120"/>
        <v>0</v>
      </c>
      <c r="GK39" s="215"/>
      <c r="GL39" s="215"/>
      <c r="GM39" s="215"/>
      <c r="GN39" s="215"/>
      <c r="GO39" s="215"/>
      <c r="GP39" s="215"/>
      <c r="GQ39" s="215"/>
      <c r="GR39" s="215"/>
      <c r="GS39" s="215"/>
      <c r="GT39" s="215"/>
      <c r="GU39" s="215"/>
      <c r="GV39" s="215"/>
      <c r="GW39" s="215"/>
      <c r="GX39" s="215"/>
      <c r="GY39" s="215"/>
      <c r="GZ39" s="215"/>
      <c r="HA39" s="215"/>
      <c r="HB39" s="215"/>
      <c r="HC39" s="215"/>
      <c r="HD39" s="215"/>
      <c r="HE39" s="215"/>
      <c r="HF39" s="215"/>
      <c r="HG39" s="215"/>
      <c r="HH39" s="215"/>
      <c r="HI39" s="215"/>
      <c r="HJ39" s="215"/>
      <c r="HK39" s="215"/>
      <c r="HL39" s="259">
        <f>SUM(HL7:HL38)</f>
        <v>134.72011614285728</v>
      </c>
      <c r="HM39" s="258">
        <f>SUM(HM4:HM38)</f>
        <v>4029.7232833571456</v>
      </c>
    </row>
    <row r="40" spans="1:222">
      <c r="A40" s="52" t="s">
        <v>236</v>
      </c>
      <c r="B40" s="178">
        <f>SUMIF(C4:C38,"",B4:B38)</f>
        <v>0</v>
      </c>
      <c r="C40" s="51"/>
      <c r="D40" s="51"/>
      <c r="E40" s="51"/>
      <c r="F40" s="178">
        <f>SUMIF(G4:G38,"",F4:F38)</f>
        <v>0</v>
      </c>
      <c r="G40" s="51"/>
      <c r="H40" s="51"/>
      <c r="I40" s="51"/>
      <c r="J40" s="178">
        <f>SUMIF(K4:K38,"",J4:J38)</f>
        <v>0</v>
      </c>
      <c r="K40" s="51"/>
      <c r="L40" s="51"/>
      <c r="M40" s="51"/>
      <c r="N40" s="178">
        <f>SUMIF(O4:O38,"",N4:N38)</f>
        <v>0</v>
      </c>
      <c r="O40" s="51"/>
      <c r="P40" s="51"/>
      <c r="Q40" s="51"/>
      <c r="R40" s="178">
        <f>SUMIF(S4:S38,"",R4:R38)</f>
        <v>0</v>
      </c>
      <c r="S40" s="51"/>
      <c r="T40" s="51"/>
      <c r="U40" s="51"/>
      <c r="V40" s="178">
        <f>SUMIF(W4:W38,"",V4:V38)</f>
        <v>0</v>
      </c>
      <c r="W40" s="51"/>
      <c r="X40" s="51"/>
      <c r="Y40" s="51"/>
      <c r="Z40" s="178">
        <f>SUMIF(AA4:AA38,"",Z4:Z38)</f>
        <v>0</v>
      </c>
      <c r="AA40" s="51"/>
      <c r="AB40" s="51"/>
      <c r="AC40" s="51"/>
      <c r="AD40" s="178">
        <f>SUMIF(AE4:AE38,"",AD4:AD38)</f>
        <v>0</v>
      </c>
      <c r="AE40" s="51"/>
      <c r="AF40" s="51"/>
      <c r="AG40" s="51"/>
      <c r="AH40" s="178">
        <f>SUMIF(AI4:AI38,"",AH4:AH38)</f>
        <v>0</v>
      </c>
      <c r="AI40" s="51"/>
      <c r="AJ40" s="51"/>
      <c r="AK40" s="51"/>
      <c r="AL40" s="178">
        <f>SUMIF(AM4:AM38,"",AL4:AL38)</f>
        <v>0</v>
      </c>
      <c r="AM40" s="51"/>
      <c r="AN40" s="51"/>
      <c r="AO40" s="51"/>
      <c r="AP40" s="178">
        <f>SUMIF(AQ4:AQ38,"",AP4:AP38)</f>
        <v>44.237942857142855</v>
      </c>
      <c r="AQ40" s="51"/>
      <c r="AR40" s="51"/>
      <c r="AS40" s="51"/>
      <c r="AT40" s="178">
        <f>SUMIF(AU4:AU38,"",AT4:AT38)</f>
        <v>130.29242857143001</v>
      </c>
      <c r="AU40" s="51"/>
      <c r="AX40" s="178">
        <f>SUMIF(AY4:AY38,"",AX4:AX38)</f>
        <v>122.13</v>
      </c>
      <c r="BB40" s="178">
        <f>SUMIF(BC4:BC38,"",BB4:BB38)</f>
        <v>82.028242857142857</v>
      </c>
      <c r="BF40" s="178">
        <f>SUMIF(BG4:BG38,"",BF4:BF38)</f>
        <v>74.020042857142855</v>
      </c>
      <c r="BJ40" s="178">
        <f>SUMIF(BK4:BK38,"",BJ4:BJ38)</f>
        <v>75.947942857142877</v>
      </c>
      <c r="BN40" s="178">
        <f>SUMIF(BO4:BO38,"",BN4:BN38)</f>
        <v>79.689442857142865</v>
      </c>
      <c r="BR40" s="178">
        <f>SUMIF(BS4:BS38,"",BR4:BR38)</f>
        <v>100.41744285714287</v>
      </c>
      <c r="BV40" s="178">
        <f>SUMIF(BW4:BW38,"",BV4:BV38)</f>
        <v>83.362942857142869</v>
      </c>
      <c r="BZ40" s="178">
        <f>SUMIF(CA4:CA38,"",BZ4:BZ38)</f>
        <v>81.138442857142863</v>
      </c>
      <c r="CD40" s="178">
        <f>SUMIF(CE4:CE38,"",CD4:CD38)</f>
        <v>73.723442857142857</v>
      </c>
      <c r="CH40" s="178">
        <f>SUMIF(CI4:CI38,"",CH4:CH38)</f>
        <v>93.595642857142863</v>
      </c>
      <c r="CL40" s="178">
        <f>SUMIF(CM4:CM38,"",CL4:CL38)</f>
        <v>120.53174285714287</v>
      </c>
      <c r="CP40" s="178">
        <f>SUMIF(CQ4:CQ38,"",CP4:CP38)</f>
        <v>108.87054285714287</v>
      </c>
      <c r="CT40" s="178">
        <f>SUMIF(CU4:CU38,"",CT4:CT38)</f>
        <v>121.81228571428572</v>
      </c>
      <c r="CX40" s="178">
        <f>SUMIF(CY4:CY38,"",CX4:CX38)</f>
        <v>114.14478571428572</v>
      </c>
      <c r="DB40" s="178">
        <f>SUMIF(DC4:DC38,"",DB4:DB38)</f>
        <v>103.37478571428571</v>
      </c>
      <c r="DF40" s="178">
        <f>SUMIF(DG4:DG38,"",DF4:DF38)</f>
        <v>120.42728571428572</v>
      </c>
      <c r="DJ40" s="178">
        <f>SUMIF(DK4:DK38,"",DJ4:DJ38)</f>
        <v>153.63478571428573</v>
      </c>
      <c r="DN40" s="178">
        <f>SUMIF(DO4:DO38,"",DN4:DN38)</f>
        <v>117.73478571428572</v>
      </c>
      <c r="DR40" s="178">
        <f>SUMIF(DS4:DS38,"",DR4:DR38)</f>
        <v>117.73478571428572</v>
      </c>
      <c r="DV40" s="178">
        <f>SUMIF(DW4:DW38,"",DV4:DV38)</f>
        <v>114.1447857142857</v>
      </c>
      <c r="DZ40" s="178">
        <f>SUMIF(EA4:EA38,"",DZ4:DZ38)</f>
        <v>125.11928571428572</v>
      </c>
      <c r="ED40" s="178">
        <f>SUMIF(EE4:EE38,"",ED4:ED38)</f>
        <v>148.42928571428573</v>
      </c>
      <c r="EH40" s="178">
        <f>SUMIF(EI4:EI38,"",EH4:EH38)</f>
        <v>108.04178571428571</v>
      </c>
      <c r="EL40" s="178">
        <f>SUMIF(EM4:EM38,"",EL4:EL38)</f>
        <v>144.83928571428572</v>
      </c>
      <c r="EP40" s="178">
        <f>SUMIF(EQ4:EQ38,"",EP4:EP38)</f>
        <v>127.05392857142857</v>
      </c>
      <c r="ET40" s="178">
        <f>SUMIF(EU4:EU38,"",ET4:ET38)</f>
        <v>136.02892857142857</v>
      </c>
      <c r="EX40" s="178">
        <f>SUMIF(EY4:EY38,"",EX4:EX38)</f>
        <v>158.57714285714286</v>
      </c>
      <c r="FB40" s="178">
        <f>SUMIF(FC4:FC38,"",FB4:FB38)</f>
        <v>188.40685714285712</v>
      </c>
      <c r="FF40" s="178">
        <f>SUMIF(FG4:FG38,"",FF4:FF38)</f>
        <v>280.5696857142857</v>
      </c>
      <c r="FJ40" s="178">
        <f>SUMIF(FK4:FK38,"",FJ4:FJ38)</f>
        <v>244.56328571428571</v>
      </c>
      <c r="FN40" s="178">
        <f>SUMIF(FO4:FO38,"",FN4:FN38)</f>
        <v>843.50000000000034</v>
      </c>
      <c r="FR40" s="231">
        <f>SUM(AJ40:FJ40)</f>
        <v>3894.6240000000016</v>
      </c>
    </row>
    <row r="41" spans="1:222">
      <c r="A41" s="53" t="s">
        <v>279</v>
      </c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206">
        <f>SUM(AJ40:EL40)</f>
        <v>2759.4241714285731</v>
      </c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226">
        <v>724.23</v>
      </c>
      <c r="FS41" s="16" t="s">
        <v>539</v>
      </c>
      <c r="FT41" s="16"/>
      <c r="FU41" s="16"/>
    </row>
    <row r="42" spans="1:222">
      <c r="A42" s="53" t="s">
        <v>236</v>
      </c>
      <c r="BU42" s="16" t="s">
        <v>538</v>
      </c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>
        <v>2290.3559624894783</v>
      </c>
      <c r="FS42" s="16" t="s">
        <v>537</v>
      </c>
      <c r="FT42" s="16"/>
      <c r="FU42" s="16"/>
    </row>
    <row r="43" spans="1:222">
      <c r="A43" s="53" t="s">
        <v>280</v>
      </c>
      <c r="G43" s="206" t="s">
        <v>505</v>
      </c>
      <c r="H43" s="51">
        <v>7.77</v>
      </c>
      <c r="AV43" s="222">
        <v>25.77</v>
      </c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4"/>
      <c r="BV43" s="224"/>
      <c r="BW43" s="224"/>
      <c r="BX43" s="224"/>
      <c r="BY43" s="224"/>
      <c r="BZ43" s="224"/>
      <c r="CA43" s="224"/>
      <c r="CB43" s="224"/>
      <c r="CC43" s="224"/>
      <c r="CD43" s="224"/>
      <c r="CE43" s="224"/>
      <c r="CF43" s="224"/>
      <c r="CG43" s="224"/>
      <c r="CH43" s="224"/>
      <c r="CI43" s="224"/>
      <c r="CJ43" s="224"/>
      <c r="CK43" s="224"/>
      <c r="CL43" s="224"/>
      <c r="CM43" s="224"/>
      <c r="CN43" s="224"/>
      <c r="CO43" s="224"/>
      <c r="CP43" s="224"/>
      <c r="CQ43" s="224"/>
      <c r="CR43" s="224"/>
      <c r="CS43" s="224"/>
      <c r="CT43" s="224"/>
      <c r="CU43" s="224"/>
      <c r="CV43" s="224"/>
      <c r="CW43" s="224"/>
      <c r="CX43" s="224"/>
      <c r="CY43" s="224"/>
      <c r="CZ43" s="224"/>
      <c r="DA43" s="224"/>
      <c r="DB43" s="224"/>
      <c r="DC43" s="224"/>
      <c r="DD43" s="224"/>
      <c r="DE43" s="224"/>
      <c r="DF43" s="224"/>
      <c r="DG43" s="224"/>
      <c r="DH43" s="224"/>
      <c r="DI43" s="224"/>
      <c r="DJ43" s="224"/>
      <c r="DK43" s="224"/>
      <c r="DL43" s="224"/>
      <c r="DM43" s="224"/>
      <c r="DN43" s="224"/>
      <c r="DO43" s="224"/>
      <c r="DP43" s="224"/>
      <c r="DQ43" s="224"/>
      <c r="DR43" s="224"/>
      <c r="DS43" s="224"/>
      <c r="DT43" s="224"/>
      <c r="DU43" s="224"/>
      <c r="DV43" s="224"/>
      <c r="DW43" s="224"/>
      <c r="DX43" s="224"/>
      <c r="DY43" s="224"/>
      <c r="DZ43" s="224"/>
      <c r="EA43" s="224"/>
      <c r="EB43" s="224"/>
      <c r="EC43" s="224"/>
      <c r="ED43" s="224"/>
      <c r="EE43" s="224"/>
      <c r="EF43" s="224"/>
      <c r="EG43" s="224"/>
      <c r="EH43" s="224"/>
      <c r="EI43" s="224"/>
      <c r="EJ43" s="224"/>
      <c r="EK43" s="224"/>
      <c r="EL43" s="224"/>
      <c r="EM43" s="224"/>
      <c r="EN43" s="224"/>
      <c r="EO43" s="224"/>
      <c r="EP43" s="224"/>
      <c r="EQ43" s="224"/>
      <c r="ER43" s="224"/>
      <c r="ES43" s="224"/>
      <c r="ET43" s="224"/>
      <c r="EU43" s="224"/>
      <c r="EV43" s="224"/>
      <c r="EW43" s="224"/>
      <c r="EX43" s="224"/>
      <c r="EY43" s="224"/>
      <c r="EZ43" s="224"/>
      <c r="FA43" s="224"/>
      <c r="FB43" s="224"/>
      <c r="FC43" s="224"/>
      <c r="FD43" s="224"/>
      <c r="FE43" s="224"/>
      <c r="FF43" s="224"/>
      <c r="FG43" s="224"/>
      <c r="FH43" s="224"/>
      <c r="FI43" s="224"/>
      <c r="FJ43" s="224"/>
      <c r="FK43" s="224"/>
      <c r="FL43" s="224"/>
      <c r="FM43" s="224"/>
      <c r="FN43" s="224"/>
      <c r="FO43" s="224"/>
      <c r="FP43" s="224"/>
      <c r="FQ43" s="224"/>
      <c r="FR43" s="227">
        <v>250</v>
      </c>
      <c r="FS43" s="225">
        <v>45505</v>
      </c>
      <c r="FT43" s="16"/>
      <c r="FU43" s="16"/>
    </row>
    <row r="44" spans="1:222">
      <c r="AL44" s="16" t="s">
        <v>272</v>
      </c>
      <c r="AM44" s="16">
        <v>61.12</v>
      </c>
      <c r="AN44" s="16">
        <f>957.35-974.23</f>
        <v>-16.879999999999995</v>
      </c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>
        <v>25.77</v>
      </c>
      <c r="FS44" s="16" t="s">
        <v>540</v>
      </c>
      <c r="FT44" s="16"/>
      <c r="FU44" s="16"/>
    </row>
    <row r="45" spans="1:222"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223">
        <f>FR44+FR41</f>
        <v>750</v>
      </c>
      <c r="FS45" s="16"/>
      <c r="FT45" s="16"/>
      <c r="FU45" s="16"/>
    </row>
    <row r="67" spans="1:1">
      <c r="A67" t="s">
        <v>348</v>
      </c>
    </row>
    <row r="68" spans="1:1">
      <c r="A68" t="s">
        <v>349</v>
      </c>
    </row>
    <row r="70" spans="1:1">
      <c r="A70" s="49" t="s">
        <v>12</v>
      </c>
    </row>
    <row r="71" spans="1:1">
      <c r="A71" s="49" t="s">
        <v>17</v>
      </c>
    </row>
    <row r="72" spans="1:1">
      <c r="A72" s="49" t="s">
        <v>18</v>
      </c>
    </row>
    <row r="73" spans="1:1">
      <c r="A73" s="49" t="s">
        <v>19</v>
      </c>
    </row>
    <row r="74" spans="1:1">
      <c r="A74" s="49" t="s">
        <v>21</v>
      </c>
    </row>
    <row r="75" spans="1:1">
      <c r="A75" s="49" t="s">
        <v>23</v>
      </c>
    </row>
    <row r="76" spans="1:1">
      <c r="A76" s="49" t="s">
        <v>25</v>
      </c>
    </row>
    <row r="77" spans="1:1">
      <c r="A77" s="49" t="s">
        <v>27</v>
      </c>
    </row>
    <row r="78" spans="1:1">
      <c r="A78" s="49" t="s">
        <v>29</v>
      </c>
    </row>
    <row r="79" spans="1:1">
      <c r="A79" s="49" t="s">
        <v>31</v>
      </c>
    </row>
    <row r="80" spans="1:1">
      <c r="A80" s="49" t="s">
        <v>32</v>
      </c>
    </row>
    <row r="81" spans="1:1">
      <c r="A81" s="49" t="s">
        <v>34</v>
      </c>
    </row>
    <row r="82" spans="1:1">
      <c r="A82" s="49" t="s">
        <v>36</v>
      </c>
    </row>
    <row r="83" spans="1:1">
      <c r="A83" s="49" t="s">
        <v>37</v>
      </c>
    </row>
    <row r="84" spans="1:1">
      <c r="A84" s="49" t="s">
        <v>39</v>
      </c>
    </row>
    <row r="85" spans="1:1">
      <c r="A85" s="49" t="s">
        <v>40</v>
      </c>
    </row>
    <row r="86" spans="1:1">
      <c r="A86" s="49" t="s">
        <v>41</v>
      </c>
    </row>
    <row r="87" spans="1:1">
      <c r="A87" s="49" t="s">
        <v>43</v>
      </c>
    </row>
    <row r="88" spans="1:1">
      <c r="A88" s="49" t="s">
        <v>44</v>
      </c>
    </row>
    <row r="89" spans="1:1">
      <c r="A89" s="49" t="s">
        <v>45</v>
      </c>
    </row>
    <row r="90" spans="1:1">
      <c r="A90" s="49" t="s">
        <v>47</v>
      </c>
    </row>
    <row r="91" spans="1:1">
      <c r="A91" s="49" t="s">
        <v>49</v>
      </c>
    </row>
    <row r="92" spans="1:1">
      <c r="A92" s="49" t="s">
        <v>264</v>
      </c>
    </row>
    <row r="93" spans="1:1">
      <c r="A93" s="49" t="s">
        <v>266</v>
      </c>
    </row>
    <row r="94" spans="1:1">
      <c r="A94" s="49" t="s">
        <v>268</v>
      </c>
    </row>
    <row r="95" spans="1:1">
      <c r="A95" s="49" t="s">
        <v>270</v>
      </c>
    </row>
    <row r="96" spans="1:1">
      <c r="A96" s="49" t="s">
        <v>272</v>
      </c>
    </row>
    <row r="97" spans="1:1">
      <c r="A97" s="49" t="s">
        <v>273</v>
      </c>
    </row>
    <row r="98" spans="1:1">
      <c r="A98" s="49" t="s">
        <v>51</v>
      </c>
    </row>
    <row r="99" spans="1:1">
      <c r="A99" s="49" t="s">
        <v>53</v>
      </c>
    </row>
    <row r="100" spans="1:1">
      <c r="A100" s="49" t="s">
        <v>54</v>
      </c>
    </row>
    <row r="101" spans="1:1">
      <c r="A101" s="49" t="s">
        <v>56</v>
      </c>
    </row>
    <row r="102" spans="1:1">
      <c r="A102" s="49" t="s">
        <v>58</v>
      </c>
    </row>
    <row r="103" spans="1:1">
      <c r="A103" s="49" t="s">
        <v>60</v>
      </c>
    </row>
    <row r="104" spans="1:1">
      <c r="A104" s="49" t="s">
        <v>61</v>
      </c>
    </row>
  </sheetData>
  <mergeCells count="4">
    <mergeCell ref="B1:AW1"/>
    <mergeCell ref="AX1:BE1"/>
    <mergeCell ref="CT1:EO1"/>
    <mergeCell ref="EP1:FE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2B645-32D8-4573-87A8-A17AB806FBE1}">
  <sheetPr codeName="Hoja11"/>
  <dimension ref="A1:L19"/>
  <sheetViews>
    <sheetView workbookViewId="0">
      <selection activeCell="C9" sqref="C9:C19"/>
    </sheetView>
  </sheetViews>
  <sheetFormatPr baseColWidth="10" defaultRowHeight="15"/>
  <sheetData>
    <row r="1" spans="1:12">
      <c r="A1" s="208" t="s">
        <v>83</v>
      </c>
      <c r="B1" s="2" t="s">
        <v>124</v>
      </c>
      <c r="C1" s="2" t="s">
        <v>85</v>
      </c>
      <c r="D1" s="2" t="s">
        <v>121</v>
      </c>
      <c r="E1" s="2" t="s">
        <v>125</v>
      </c>
      <c r="F1" s="2" t="s">
        <v>126</v>
      </c>
      <c r="G1" s="2" t="s">
        <v>453</v>
      </c>
      <c r="H1" s="2" t="s">
        <v>128</v>
      </c>
      <c r="I1" s="2" t="s">
        <v>120</v>
      </c>
      <c r="J1" s="2" t="s">
        <v>146</v>
      </c>
      <c r="K1" s="1" t="s">
        <v>136</v>
      </c>
      <c r="L1" s="1" t="s">
        <v>464</v>
      </c>
    </row>
    <row r="2" spans="1:12" s="2" customFormat="1">
      <c r="A2" s="207">
        <v>19.372689452270265</v>
      </c>
      <c r="B2" s="207">
        <v>32.434417322922144</v>
      </c>
      <c r="C2" s="207">
        <v>31.270114285714286</v>
      </c>
      <c r="D2" s="207">
        <v>26.100799999999996</v>
      </c>
      <c r="E2" s="207">
        <v>32.755369999999999</v>
      </c>
      <c r="F2" s="207">
        <v>39.291299999999993</v>
      </c>
      <c r="G2" s="207">
        <v>35.032799999999995</v>
      </c>
      <c r="H2" s="207">
        <v>49.185200000000002</v>
      </c>
      <c r="I2" s="207">
        <v>31.587899999999998</v>
      </c>
      <c r="J2" s="207">
        <v>43.451899999999988</v>
      </c>
      <c r="K2" s="209">
        <f>SUM(A2:J2)</f>
        <v>340.48249106090663</v>
      </c>
      <c r="L2" s="209">
        <v>53.414665129645137</v>
      </c>
    </row>
    <row r="9" spans="1:12">
      <c r="B9" t="s">
        <v>426</v>
      </c>
      <c r="C9">
        <v>180</v>
      </c>
    </row>
    <row r="10" spans="1:12">
      <c r="B10" t="s">
        <v>435</v>
      </c>
      <c r="C10">
        <v>15</v>
      </c>
    </row>
    <row r="11" spans="1:12">
      <c r="B11" t="s">
        <v>610</v>
      </c>
      <c r="C11">
        <v>190</v>
      </c>
    </row>
    <row r="12" spans="1:12">
      <c r="B12" t="s">
        <v>542</v>
      </c>
      <c r="C12">
        <v>95</v>
      </c>
    </row>
    <row r="13" spans="1:12">
      <c r="B13" t="s">
        <v>448</v>
      </c>
      <c r="C13">
        <v>20</v>
      </c>
    </row>
    <row r="14" spans="1:12">
      <c r="B14" t="s">
        <v>574</v>
      </c>
      <c r="C14">
        <v>40</v>
      </c>
    </row>
    <row r="15" spans="1:12">
      <c r="B15" t="s">
        <v>503</v>
      </c>
      <c r="C15">
        <v>70</v>
      </c>
    </row>
    <row r="16" spans="1:12">
      <c r="B16" t="s">
        <v>158</v>
      </c>
      <c r="C16">
        <v>100</v>
      </c>
    </row>
    <row r="17" spans="2:3">
      <c r="B17" t="s">
        <v>604</v>
      </c>
      <c r="C17">
        <v>150</v>
      </c>
    </row>
    <row r="18" spans="2:3">
      <c r="B18" t="s">
        <v>613</v>
      </c>
      <c r="C18">
        <v>25</v>
      </c>
    </row>
    <row r="19" spans="2:3">
      <c r="B19" t="s">
        <v>396</v>
      </c>
      <c r="C19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2:CT118"/>
  <sheetViews>
    <sheetView view="pageBreakPreview" topLeftCell="O1" zoomScale="60" zoomScaleNormal="100" workbookViewId="0">
      <selection sqref="A1:AJ59"/>
    </sheetView>
  </sheetViews>
  <sheetFormatPr baseColWidth="10" defaultRowHeight="15"/>
  <cols>
    <col min="1" max="1" width="3.140625" customWidth="1"/>
    <col min="2" max="2" width="13.85546875" customWidth="1"/>
    <col min="3" max="3" width="2.85546875" customWidth="1"/>
    <col min="4" max="4" width="46" customWidth="1"/>
    <col min="5" max="5" width="4" customWidth="1"/>
    <col min="6" max="6" width="17.28515625" customWidth="1"/>
    <col min="7" max="7" width="15" customWidth="1"/>
    <col min="8" max="8" width="5.140625" customWidth="1"/>
    <col min="9" max="9" width="8.42578125" customWidth="1"/>
    <col min="10" max="10" width="4" customWidth="1"/>
    <col min="11" max="11" width="13.28515625" customWidth="1"/>
    <col min="12" max="12" width="3.42578125" customWidth="1"/>
    <col min="13" max="13" width="45.85546875" customWidth="1"/>
    <col min="14" max="14" width="3.42578125" customWidth="1"/>
    <col min="15" max="16" width="15.85546875" customWidth="1"/>
    <col min="17" max="17" width="4" customWidth="1"/>
    <col min="19" max="19" width="4" customWidth="1"/>
    <col min="20" max="20" width="13.42578125" customWidth="1"/>
    <col min="21" max="21" width="4" customWidth="1"/>
    <col min="22" max="22" width="45.85546875" customWidth="1"/>
    <col min="23" max="23" width="3.140625" customWidth="1"/>
    <col min="24" max="25" width="15.85546875" customWidth="1"/>
    <col min="26" max="26" width="4.140625" customWidth="1"/>
    <col min="28" max="28" width="3.140625" customWidth="1"/>
    <col min="29" max="29" width="15.85546875" customWidth="1"/>
    <col min="30" max="30" width="3.140625" customWidth="1"/>
    <col min="31" max="31" width="45.85546875" customWidth="1"/>
    <col min="32" max="32" width="3.7109375" customWidth="1"/>
    <col min="33" max="34" width="15.85546875" customWidth="1"/>
    <col min="35" max="35" width="3.140625" customWidth="1"/>
    <col min="37" max="37" width="3.140625" customWidth="1"/>
    <col min="38" max="38" width="15.85546875" customWidth="1"/>
    <col min="39" max="39" width="3.140625" customWidth="1"/>
    <col min="40" max="40" width="45.85546875" customWidth="1"/>
    <col min="41" max="41" width="3.140625" customWidth="1"/>
    <col min="42" max="43" width="15.85546875" customWidth="1"/>
    <col min="44" max="44" width="3.140625" customWidth="1"/>
    <col min="46" max="46" width="3.140625" customWidth="1"/>
    <col min="47" max="47" width="15.85546875" customWidth="1"/>
    <col min="48" max="48" width="3.140625" customWidth="1"/>
    <col min="49" max="49" width="45.85546875" customWidth="1"/>
    <col min="50" max="50" width="3.140625" customWidth="1"/>
    <col min="51" max="52" width="15.85546875" customWidth="1"/>
    <col min="53" max="53" width="3.140625" customWidth="1"/>
    <col min="55" max="55" width="3.140625" customWidth="1"/>
    <col min="56" max="56" width="15.85546875" customWidth="1"/>
    <col min="57" max="57" width="3.140625" customWidth="1"/>
    <col min="58" max="58" width="45.85546875" customWidth="1"/>
    <col min="59" max="59" width="3.140625" customWidth="1"/>
    <col min="60" max="61" width="15.85546875" customWidth="1"/>
    <col min="62" max="62" width="3.140625" customWidth="1"/>
    <col min="64" max="64" width="3.85546875" customWidth="1"/>
    <col min="65" max="65" width="18.85546875" customWidth="1"/>
    <col min="66" max="66" width="3.140625" customWidth="1"/>
    <col min="68" max="68" width="28.140625" customWidth="1"/>
    <col min="69" max="69" width="16.140625" customWidth="1"/>
    <col min="70" max="70" width="17" customWidth="1"/>
    <col min="71" max="71" width="3.42578125" customWidth="1"/>
    <col min="73" max="73" width="3" customWidth="1"/>
    <col min="74" max="74" width="15.85546875" customWidth="1"/>
    <col min="75" max="75" width="2.5703125" customWidth="1"/>
    <col min="77" max="77" width="30.42578125" customWidth="1"/>
    <col min="78" max="78" width="15.85546875" customWidth="1"/>
    <col min="79" max="79" width="17.42578125" customWidth="1"/>
    <col min="80" max="80" width="3.140625" customWidth="1"/>
  </cols>
  <sheetData>
    <row r="2" spans="1:35">
      <c r="B2" t="s">
        <v>614</v>
      </c>
      <c r="C2" s="267" t="s">
        <v>281</v>
      </c>
      <c r="D2" s="267"/>
      <c r="E2" s="267"/>
      <c r="F2" s="267"/>
      <c r="K2" t="s">
        <v>615</v>
      </c>
      <c r="L2" s="267" t="s">
        <v>281</v>
      </c>
      <c r="M2" s="267"/>
      <c r="N2" s="267"/>
      <c r="O2" s="267"/>
      <c r="T2" t="s">
        <v>616</v>
      </c>
      <c r="U2" s="267" t="s">
        <v>281</v>
      </c>
      <c r="V2" s="267"/>
      <c r="W2" s="267"/>
      <c r="X2" s="267"/>
      <c r="AC2" t="s">
        <v>619</v>
      </c>
      <c r="AD2" s="267" t="s">
        <v>281</v>
      </c>
      <c r="AE2" s="267"/>
      <c r="AF2" s="267"/>
      <c r="AG2" s="267"/>
    </row>
    <row r="3" spans="1:35" ht="15.75" thickBot="1"/>
    <row r="4" spans="1:35" ht="15.75" thickTop="1">
      <c r="A4" s="54"/>
      <c r="B4" s="55"/>
      <c r="C4" s="56"/>
      <c r="D4" s="55"/>
      <c r="E4" s="57"/>
      <c r="F4" s="55"/>
      <c r="G4" s="58"/>
      <c r="H4" s="54"/>
      <c r="J4" s="54"/>
      <c r="K4" s="55"/>
      <c r="L4" s="56"/>
      <c r="M4" s="55"/>
      <c r="N4" s="57"/>
      <c r="O4" s="55"/>
      <c r="P4" s="58"/>
      <c r="Q4" s="54"/>
      <c r="S4" s="54"/>
      <c r="T4" s="55"/>
      <c r="U4" s="56"/>
      <c r="V4" s="55"/>
      <c r="W4" s="57"/>
      <c r="X4" s="55"/>
      <c r="Y4" s="58"/>
      <c r="Z4" s="54"/>
      <c r="AB4" s="54"/>
      <c r="AC4" s="55"/>
      <c r="AD4" s="56"/>
      <c r="AE4" s="55"/>
      <c r="AF4" s="57"/>
      <c r="AG4" s="55"/>
      <c r="AH4" s="58"/>
      <c r="AI4" s="54"/>
    </row>
    <row r="5" spans="1:35">
      <c r="A5" s="54"/>
      <c r="B5" s="276" t="s">
        <v>79</v>
      </c>
      <c r="C5" s="277"/>
      <c r="D5" s="276" t="s">
        <v>77</v>
      </c>
      <c r="E5" s="277"/>
      <c r="F5" s="59" t="s">
        <v>282</v>
      </c>
      <c r="G5" s="60" t="s">
        <v>283</v>
      </c>
      <c r="H5" s="54"/>
      <c r="J5" s="54"/>
      <c r="K5" s="276" t="s">
        <v>79</v>
      </c>
      <c r="L5" s="277"/>
      <c r="M5" s="276" t="s">
        <v>77</v>
      </c>
      <c r="N5" s="277"/>
      <c r="O5" s="59" t="s">
        <v>282</v>
      </c>
      <c r="P5" s="60" t="s">
        <v>283</v>
      </c>
      <c r="Q5" s="54"/>
      <c r="S5" s="54"/>
      <c r="T5" s="276" t="s">
        <v>79</v>
      </c>
      <c r="U5" s="277"/>
      <c r="V5" s="276" t="s">
        <v>77</v>
      </c>
      <c r="W5" s="277"/>
      <c r="X5" s="59" t="s">
        <v>282</v>
      </c>
      <c r="Y5" s="60" t="s">
        <v>283</v>
      </c>
      <c r="Z5" s="54"/>
      <c r="AB5" s="54"/>
      <c r="AC5" s="276" t="s">
        <v>79</v>
      </c>
      <c r="AD5" s="277"/>
      <c r="AE5" s="276" t="s">
        <v>77</v>
      </c>
      <c r="AF5" s="277"/>
      <c r="AG5" s="59" t="s">
        <v>282</v>
      </c>
      <c r="AH5" s="60" t="s">
        <v>283</v>
      </c>
      <c r="AI5" s="54"/>
    </row>
    <row r="6" spans="1:35" ht="15.75" thickBot="1">
      <c r="A6" s="54"/>
      <c r="B6" s="61"/>
      <c r="C6" s="62"/>
      <c r="D6" s="61"/>
      <c r="E6" s="63"/>
      <c r="F6" s="61"/>
      <c r="G6" s="64"/>
      <c r="H6" s="54"/>
      <c r="J6" s="54"/>
      <c r="K6" s="61"/>
      <c r="L6" s="62"/>
      <c r="M6" s="61"/>
      <c r="N6" s="63"/>
      <c r="O6" s="61"/>
      <c r="P6" s="64"/>
      <c r="Q6" s="54"/>
      <c r="S6" s="54"/>
      <c r="T6" s="61"/>
      <c r="U6" s="62"/>
      <c r="V6" s="61"/>
      <c r="W6" s="63"/>
      <c r="X6" s="61"/>
      <c r="Y6" s="64"/>
      <c r="Z6" s="54"/>
      <c r="AB6" s="54"/>
      <c r="AC6" s="61"/>
      <c r="AD6" s="62"/>
      <c r="AE6" s="61"/>
      <c r="AF6" s="63"/>
      <c r="AG6" s="61"/>
      <c r="AH6" s="64"/>
      <c r="AI6" s="54"/>
    </row>
    <row r="7" spans="1:35" ht="15.75" thickTop="1">
      <c r="A7" s="65">
        <v>1</v>
      </c>
      <c r="B7" s="66"/>
      <c r="C7" s="67"/>
      <c r="D7" s="68" t="s">
        <v>426</v>
      </c>
      <c r="E7" s="69"/>
      <c r="F7" s="70">
        <v>180</v>
      </c>
      <c r="G7" s="71"/>
      <c r="H7" s="65">
        <v>1</v>
      </c>
      <c r="J7" s="65">
        <v>1</v>
      </c>
      <c r="K7" s="68"/>
      <c r="L7" s="72"/>
      <c r="M7" s="68" t="s">
        <v>426</v>
      </c>
      <c r="N7" s="69"/>
      <c r="O7" s="70">
        <v>180</v>
      </c>
      <c r="P7" s="71"/>
      <c r="Q7" s="65">
        <v>1</v>
      </c>
      <c r="S7" s="65">
        <v>1</v>
      </c>
      <c r="T7" s="68"/>
      <c r="U7" s="72"/>
      <c r="V7" s="68" t="s">
        <v>426</v>
      </c>
      <c r="W7" s="69"/>
      <c r="X7" s="70">
        <v>180</v>
      </c>
      <c r="Y7" s="71"/>
      <c r="Z7" s="65">
        <v>1</v>
      </c>
      <c r="AB7" s="65">
        <v>1</v>
      </c>
      <c r="AC7" s="68"/>
      <c r="AD7" s="72"/>
      <c r="AE7" s="68" t="s">
        <v>426</v>
      </c>
      <c r="AF7" s="69"/>
      <c r="AG7" s="70">
        <v>180</v>
      </c>
      <c r="AH7" s="71"/>
      <c r="AI7" s="65">
        <v>1</v>
      </c>
    </row>
    <row r="8" spans="1:35">
      <c r="A8" s="65">
        <v>2</v>
      </c>
      <c r="B8" s="73"/>
      <c r="C8" s="74"/>
      <c r="D8" s="75" t="s">
        <v>435</v>
      </c>
      <c r="E8" s="76"/>
      <c r="F8" s="77">
        <v>15</v>
      </c>
      <c r="G8" s="78"/>
      <c r="H8" s="65">
        <v>2</v>
      </c>
      <c r="J8" s="65">
        <v>2</v>
      </c>
      <c r="K8" s="75"/>
      <c r="L8" s="79"/>
      <c r="M8" s="75" t="s">
        <v>435</v>
      </c>
      <c r="N8" s="76"/>
      <c r="O8" s="77">
        <v>15</v>
      </c>
      <c r="P8" s="78"/>
      <c r="Q8" s="65">
        <v>2</v>
      </c>
      <c r="S8" s="65">
        <v>2</v>
      </c>
      <c r="T8" s="75"/>
      <c r="U8" s="79"/>
      <c r="V8" s="75" t="s">
        <v>435</v>
      </c>
      <c r="W8" s="76"/>
      <c r="X8" s="77">
        <v>15</v>
      </c>
      <c r="Y8" s="78"/>
      <c r="Z8" s="65">
        <v>2</v>
      </c>
      <c r="AB8" s="65">
        <v>2</v>
      </c>
      <c r="AC8" s="75"/>
      <c r="AD8" s="79"/>
      <c r="AE8" s="75" t="s">
        <v>435</v>
      </c>
      <c r="AF8" s="76"/>
      <c r="AG8" s="77">
        <v>15</v>
      </c>
      <c r="AH8" s="78"/>
      <c r="AI8" s="65">
        <v>2</v>
      </c>
    </row>
    <row r="9" spans="1:35">
      <c r="A9" s="65">
        <v>3</v>
      </c>
      <c r="B9" s="73"/>
      <c r="C9" s="74"/>
      <c r="D9" s="75" t="s">
        <v>603</v>
      </c>
      <c r="E9" s="76"/>
      <c r="F9" s="80">
        <v>185</v>
      </c>
      <c r="G9" s="78"/>
      <c r="H9" s="65">
        <v>3</v>
      </c>
      <c r="J9" s="65">
        <v>3</v>
      </c>
      <c r="K9" s="75"/>
      <c r="L9" s="79"/>
      <c r="M9" s="75" t="s">
        <v>610</v>
      </c>
      <c r="N9" s="76"/>
      <c r="O9" s="80">
        <v>190</v>
      </c>
      <c r="P9" s="78"/>
      <c r="Q9" s="65">
        <v>3</v>
      </c>
      <c r="S9" s="65">
        <v>3</v>
      </c>
      <c r="T9" s="75"/>
      <c r="U9" s="79"/>
      <c r="V9" s="75" t="s">
        <v>610</v>
      </c>
      <c r="W9" s="76"/>
      <c r="X9" s="80">
        <v>190</v>
      </c>
      <c r="Y9" s="78"/>
      <c r="Z9" s="65">
        <v>3</v>
      </c>
      <c r="AB9" s="65">
        <v>3</v>
      </c>
      <c r="AC9" s="75"/>
      <c r="AD9" s="79"/>
      <c r="AE9" s="75" t="s">
        <v>610</v>
      </c>
      <c r="AF9" s="76"/>
      <c r="AG9" s="80">
        <v>190</v>
      </c>
      <c r="AH9" s="78"/>
      <c r="AI9" s="65">
        <v>3</v>
      </c>
    </row>
    <row r="10" spans="1:35">
      <c r="A10" s="65">
        <v>4</v>
      </c>
      <c r="B10" s="81"/>
      <c r="C10" s="82"/>
      <c r="D10" s="83" t="s">
        <v>542</v>
      </c>
      <c r="E10" s="84"/>
      <c r="F10" s="85">
        <v>95</v>
      </c>
      <c r="G10" s="86"/>
      <c r="H10" s="65">
        <v>4</v>
      </c>
      <c r="J10" s="65">
        <v>4</v>
      </c>
      <c r="K10" s="83"/>
      <c r="L10" s="87"/>
      <c r="M10" s="83" t="s">
        <v>542</v>
      </c>
      <c r="N10" s="84"/>
      <c r="O10" s="85">
        <v>95</v>
      </c>
      <c r="P10" s="86"/>
      <c r="Q10" s="65">
        <v>4</v>
      </c>
      <c r="S10" s="65">
        <v>4</v>
      </c>
      <c r="T10" s="83"/>
      <c r="U10" s="87"/>
      <c r="V10" s="83" t="s">
        <v>542</v>
      </c>
      <c r="W10" s="84"/>
      <c r="X10" s="85">
        <v>95</v>
      </c>
      <c r="Y10" s="86"/>
      <c r="Z10" s="65">
        <v>4</v>
      </c>
      <c r="AB10" s="65">
        <v>4</v>
      </c>
      <c r="AC10" s="83"/>
      <c r="AD10" s="87"/>
      <c r="AE10" s="83" t="s">
        <v>542</v>
      </c>
      <c r="AF10" s="84"/>
      <c r="AG10" s="85">
        <v>95</v>
      </c>
      <c r="AH10" s="86"/>
      <c r="AI10" s="65">
        <v>4</v>
      </c>
    </row>
    <row r="11" spans="1:35" ht="15.75" thickBot="1">
      <c r="A11" s="65">
        <v>5</v>
      </c>
      <c r="B11" s="88"/>
      <c r="C11" s="89"/>
      <c r="D11" s="90" t="s">
        <v>448</v>
      </c>
      <c r="E11" s="91"/>
      <c r="F11" s="92">
        <v>20</v>
      </c>
      <c r="G11" s="93"/>
      <c r="H11" s="65">
        <v>5</v>
      </c>
      <c r="J11" s="65">
        <v>5</v>
      </c>
      <c r="K11" s="90"/>
      <c r="L11" s="94"/>
      <c r="M11" s="90" t="s">
        <v>448</v>
      </c>
      <c r="N11" s="91"/>
      <c r="O11" s="92">
        <v>20</v>
      </c>
      <c r="P11" s="93"/>
      <c r="Q11" s="65">
        <v>5</v>
      </c>
      <c r="S11" s="65">
        <v>5</v>
      </c>
      <c r="T11" s="90"/>
      <c r="U11" s="94"/>
      <c r="V11" s="90" t="s">
        <v>448</v>
      </c>
      <c r="W11" s="91"/>
      <c r="X11" s="92">
        <v>20</v>
      </c>
      <c r="Y11" s="93"/>
      <c r="Z11" s="65">
        <v>5</v>
      </c>
      <c r="AB11" s="65">
        <v>5</v>
      </c>
      <c r="AC11" s="90"/>
      <c r="AD11" s="94"/>
      <c r="AE11" s="90" t="s">
        <v>448</v>
      </c>
      <c r="AF11" s="91"/>
      <c r="AG11" s="92">
        <v>20</v>
      </c>
      <c r="AH11" s="93"/>
      <c r="AI11" s="65">
        <v>5</v>
      </c>
    </row>
    <row r="12" spans="1:35">
      <c r="A12" s="65">
        <v>6</v>
      </c>
      <c r="B12" s="66"/>
      <c r="C12" s="67"/>
      <c r="D12" s="68" t="s">
        <v>574</v>
      </c>
      <c r="E12" s="95"/>
      <c r="F12" s="77">
        <v>40</v>
      </c>
      <c r="G12" s="96"/>
      <c r="H12" s="65">
        <v>6</v>
      </c>
      <c r="J12" s="65">
        <v>6</v>
      </c>
      <c r="K12" s="68"/>
      <c r="L12" s="72"/>
      <c r="M12" s="68" t="s">
        <v>574</v>
      </c>
      <c r="N12" s="95"/>
      <c r="O12" s="77">
        <v>40</v>
      </c>
      <c r="P12" s="96"/>
      <c r="Q12" s="65">
        <v>6</v>
      </c>
      <c r="S12" s="65">
        <v>6</v>
      </c>
      <c r="T12" s="68"/>
      <c r="U12" s="72"/>
      <c r="V12" s="68" t="s">
        <v>574</v>
      </c>
      <c r="W12" s="95"/>
      <c r="X12" s="77">
        <v>40</v>
      </c>
      <c r="Y12" s="96"/>
      <c r="Z12" s="65">
        <v>6</v>
      </c>
      <c r="AB12" s="65">
        <v>6</v>
      </c>
      <c r="AC12" s="68"/>
      <c r="AD12" s="72"/>
      <c r="AE12" s="68" t="s">
        <v>574</v>
      </c>
      <c r="AF12" s="95"/>
      <c r="AG12" s="77">
        <v>40</v>
      </c>
      <c r="AH12" s="96"/>
      <c r="AI12" s="65">
        <v>6</v>
      </c>
    </row>
    <row r="13" spans="1:35">
      <c r="A13" s="65">
        <v>7</v>
      </c>
      <c r="B13" s="73"/>
      <c r="C13" s="74"/>
      <c r="D13" s="75" t="s">
        <v>503</v>
      </c>
      <c r="E13" s="95"/>
      <c r="F13" s="80">
        <v>70</v>
      </c>
      <c r="G13" s="78"/>
      <c r="H13" s="65">
        <v>7</v>
      </c>
      <c r="J13" s="65">
        <v>7</v>
      </c>
      <c r="K13" s="75"/>
      <c r="L13" s="79"/>
      <c r="M13" s="75" t="s">
        <v>611</v>
      </c>
      <c r="N13" s="95"/>
      <c r="O13" s="77">
        <v>45</v>
      </c>
      <c r="P13" s="78"/>
      <c r="Q13" s="65">
        <v>7</v>
      </c>
      <c r="S13" s="65">
        <v>7</v>
      </c>
      <c r="T13" s="75"/>
      <c r="U13" s="79"/>
      <c r="V13" s="75" t="s">
        <v>612</v>
      </c>
      <c r="W13" s="95"/>
      <c r="X13" s="77">
        <v>30</v>
      </c>
      <c r="Y13" s="78"/>
      <c r="Z13" s="65">
        <v>7</v>
      </c>
      <c r="AB13" s="65">
        <v>7</v>
      </c>
      <c r="AC13" s="75"/>
      <c r="AD13" s="79"/>
      <c r="AE13" s="75" t="s">
        <v>503</v>
      </c>
      <c r="AF13" s="95"/>
      <c r="AG13" s="77">
        <v>70</v>
      </c>
      <c r="AH13" s="78"/>
      <c r="AI13" s="65">
        <v>7</v>
      </c>
    </row>
    <row r="14" spans="1:35">
      <c r="A14" s="65">
        <v>8</v>
      </c>
      <c r="B14" s="73"/>
      <c r="C14" s="74"/>
      <c r="D14" s="83" t="s">
        <v>158</v>
      </c>
      <c r="E14" s="95"/>
      <c r="F14" s="85">
        <v>100</v>
      </c>
      <c r="G14" s="78"/>
      <c r="H14" s="65">
        <v>8</v>
      </c>
      <c r="J14" s="65">
        <v>8</v>
      </c>
      <c r="K14" s="75"/>
      <c r="L14" s="79"/>
      <c r="M14" s="75" t="s">
        <v>503</v>
      </c>
      <c r="N14" s="95"/>
      <c r="O14" s="80">
        <v>70</v>
      </c>
      <c r="P14" s="78"/>
      <c r="Q14" s="65">
        <v>8</v>
      </c>
      <c r="S14" s="65">
        <v>8</v>
      </c>
      <c r="T14" s="75"/>
      <c r="U14" s="79"/>
      <c r="V14" s="75" t="s">
        <v>503</v>
      </c>
      <c r="W14" s="95"/>
      <c r="X14" s="80">
        <v>70</v>
      </c>
      <c r="Y14" s="78"/>
      <c r="Z14" s="65">
        <v>8</v>
      </c>
      <c r="AB14" s="65">
        <v>8</v>
      </c>
      <c r="AC14" s="75"/>
      <c r="AD14" s="79"/>
      <c r="AE14" s="75" t="s">
        <v>158</v>
      </c>
      <c r="AF14" s="95"/>
      <c r="AG14" s="80">
        <v>100</v>
      </c>
      <c r="AH14" s="78"/>
      <c r="AI14" s="65">
        <v>8</v>
      </c>
    </row>
    <row r="15" spans="1:35">
      <c r="A15" s="65">
        <v>9</v>
      </c>
      <c r="B15" s="81"/>
      <c r="C15" s="82"/>
      <c r="D15" s="68" t="s">
        <v>604</v>
      </c>
      <c r="E15" s="95"/>
      <c r="F15" s="85">
        <v>150</v>
      </c>
      <c r="G15" s="86"/>
      <c r="H15" s="65">
        <v>9</v>
      </c>
      <c r="J15" s="65">
        <v>9</v>
      </c>
      <c r="K15" s="83"/>
      <c r="L15" s="87"/>
      <c r="M15" s="83" t="s">
        <v>158</v>
      </c>
      <c r="N15" s="95"/>
      <c r="O15" s="85">
        <v>100</v>
      </c>
      <c r="P15" s="86"/>
      <c r="Q15" s="65">
        <v>9</v>
      </c>
      <c r="S15" s="65">
        <v>9</v>
      </c>
      <c r="T15" s="83"/>
      <c r="U15" s="87"/>
      <c r="V15" s="83" t="s">
        <v>158</v>
      </c>
      <c r="W15" s="95"/>
      <c r="X15" s="85">
        <v>110</v>
      </c>
      <c r="Y15" s="86"/>
      <c r="Z15" s="65">
        <v>9</v>
      </c>
      <c r="AB15" s="65">
        <v>9</v>
      </c>
      <c r="AC15" s="83"/>
      <c r="AD15" s="87"/>
      <c r="AE15" s="83" t="s">
        <v>604</v>
      </c>
      <c r="AF15" s="95"/>
      <c r="AG15" s="85">
        <v>150</v>
      </c>
      <c r="AH15" s="86"/>
      <c r="AI15" s="65">
        <v>9</v>
      </c>
    </row>
    <row r="16" spans="1:35" ht="15.75" thickBot="1">
      <c r="A16" s="65">
        <v>10</v>
      </c>
      <c r="B16" s="88"/>
      <c r="C16" s="89"/>
      <c r="D16" s="90" t="s">
        <v>396</v>
      </c>
      <c r="E16" s="91"/>
      <c r="F16" s="92">
        <v>2</v>
      </c>
      <c r="G16" s="97"/>
      <c r="H16" s="65">
        <v>10</v>
      </c>
      <c r="J16" s="65">
        <v>10</v>
      </c>
      <c r="K16" s="90"/>
      <c r="L16" s="94"/>
      <c r="M16" s="90" t="s">
        <v>604</v>
      </c>
      <c r="N16" s="91"/>
      <c r="O16" s="92">
        <v>150</v>
      </c>
      <c r="P16" s="97"/>
      <c r="Q16" s="65">
        <v>10</v>
      </c>
      <c r="S16" s="65">
        <v>10</v>
      </c>
      <c r="T16" s="90"/>
      <c r="U16" s="94"/>
      <c r="V16" s="90" t="s">
        <v>604</v>
      </c>
      <c r="W16" s="91"/>
      <c r="X16" s="92">
        <v>150</v>
      </c>
      <c r="Y16" s="97"/>
      <c r="Z16" s="65">
        <v>10</v>
      </c>
      <c r="AB16" s="65">
        <v>10</v>
      </c>
      <c r="AC16" s="90"/>
      <c r="AD16" s="94"/>
      <c r="AE16" s="90" t="s">
        <v>613</v>
      </c>
      <c r="AF16" s="91"/>
      <c r="AG16" s="92">
        <v>25</v>
      </c>
      <c r="AH16" s="97"/>
      <c r="AI16" s="65">
        <v>10</v>
      </c>
    </row>
    <row r="17" spans="1:35">
      <c r="A17" s="65">
        <v>11</v>
      </c>
      <c r="B17" s="66"/>
      <c r="C17" s="67"/>
      <c r="D17" s="83" t="s">
        <v>12</v>
      </c>
      <c r="E17" s="84"/>
      <c r="F17" s="85"/>
      <c r="G17" s="98">
        <v>23.684714285714286</v>
      </c>
      <c r="H17" s="65">
        <v>11</v>
      </c>
      <c r="J17" s="65">
        <v>11</v>
      </c>
      <c r="K17" s="68"/>
      <c r="L17" s="72"/>
      <c r="M17" s="68" t="s">
        <v>396</v>
      </c>
      <c r="N17" s="69"/>
      <c r="O17" s="77">
        <v>2</v>
      </c>
      <c r="P17" s="98"/>
      <c r="Q17" s="65">
        <v>11</v>
      </c>
      <c r="S17" s="65">
        <v>11</v>
      </c>
      <c r="T17" s="68"/>
      <c r="U17" s="72"/>
      <c r="V17" s="68" t="s">
        <v>396</v>
      </c>
      <c r="W17" s="69"/>
      <c r="X17" s="77">
        <v>2</v>
      </c>
      <c r="Y17" s="98"/>
      <c r="Z17" s="65">
        <v>11</v>
      </c>
      <c r="AB17" s="65">
        <v>11</v>
      </c>
      <c r="AC17" s="68"/>
      <c r="AD17" s="72"/>
      <c r="AE17" s="68" t="s">
        <v>396</v>
      </c>
      <c r="AF17" s="69"/>
      <c r="AG17" s="77">
        <v>2</v>
      </c>
      <c r="AH17" s="98"/>
      <c r="AI17" s="65">
        <v>11</v>
      </c>
    </row>
    <row r="18" spans="1:35">
      <c r="A18" s="65">
        <v>12</v>
      </c>
      <c r="B18" s="66"/>
      <c r="C18" s="67"/>
      <c r="D18" s="83" t="s">
        <v>17</v>
      </c>
      <c r="E18" s="84"/>
      <c r="F18" s="85"/>
      <c r="G18" s="98">
        <v>24.184714285714286</v>
      </c>
      <c r="H18" s="65">
        <v>12</v>
      </c>
      <c r="J18" s="65"/>
      <c r="K18" s="68"/>
      <c r="L18" s="72"/>
      <c r="M18" s="68" t="s">
        <v>12</v>
      </c>
      <c r="N18" s="69"/>
      <c r="O18" s="79"/>
      <c r="P18" s="98">
        <v>25.054714285714287</v>
      </c>
      <c r="Q18" s="65">
        <v>12</v>
      </c>
      <c r="S18" s="65">
        <v>12</v>
      </c>
      <c r="T18" s="68"/>
      <c r="U18" s="72"/>
      <c r="V18" s="68" t="s">
        <v>12</v>
      </c>
      <c r="W18" s="69"/>
      <c r="X18" s="79"/>
      <c r="Y18" s="98">
        <v>24.917714285714286</v>
      </c>
      <c r="Z18" s="65">
        <v>12</v>
      </c>
      <c r="AB18" s="65">
        <v>12</v>
      </c>
      <c r="AC18" s="68"/>
      <c r="AD18" s="72"/>
      <c r="AE18" s="68" t="s">
        <v>12</v>
      </c>
      <c r="AF18" s="69"/>
      <c r="AG18" s="79"/>
      <c r="AH18" s="98">
        <v>0</v>
      </c>
      <c r="AI18" s="65">
        <v>12</v>
      </c>
    </row>
    <row r="19" spans="1:35">
      <c r="A19" s="65">
        <v>13</v>
      </c>
      <c r="B19" s="73"/>
      <c r="C19" s="74"/>
      <c r="D19" s="83" t="s">
        <v>18</v>
      </c>
      <c r="E19" s="84"/>
      <c r="F19" s="85"/>
      <c r="G19" s="99">
        <v>22.859214285714284</v>
      </c>
      <c r="H19" s="65">
        <v>13</v>
      </c>
      <c r="J19" s="65">
        <v>12</v>
      </c>
      <c r="K19" s="75"/>
      <c r="L19" s="79"/>
      <c r="M19" s="75" t="s">
        <v>17</v>
      </c>
      <c r="N19" s="76"/>
      <c r="O19" s="79"/>
      <c r="P19" s="99">
        <v>25.554714285714287</v>
      </c>
      <c r="Q19" s="65">
        <v>13</v>
      </c>
      <c r="S19" s="65">
        <v>13</v>
      </c>
      <c r="T19" s="75"/>
      <c r="U19" s="79"/>
      <c r="V19" s="75" t="s">
        <v>17</v>
      </c>
      <c r="W19" s="76"/>
      <c r="X19" s="79"/>
      <c r="Y19" s="99">
        <v>25.417714285714286</v>
      </c>
      <c r="Z19" s="65">
        <v>13</v>
      </c>
      <c r="AB19" s="65">
        <v>13</v>
      </c>
      <c r="AC19" s="75"/>
      <c r="AD19" s="79"/>
      <c r="AE19" s="75" t="s">
        <v>17</v>
      </c>
      <c r="AF19" s="76"/>
      <c r="AG19" s="79"/>
      <c r="AH19" s="99">
        <v>0</v>
      </c>
      <c r="AI19" s="65">
        <v>13</v>
      </c>
    </row>
    <row r="20" spans="1:35">
      <c r="A20" s="65">
        <v>14</v>
      </c>
      <c r="B20" s="73"/>
      <c r="C20" s="74"/>
      <c r="D20" s="75" t="s">
        <v>19</v>
      </c>
      <c r="E20" s="76"/>
      <c r="F20" s="85"/>
      <c r="G20" s="99">
        <v>22.859214285714284</v>
      </c>
      <c r="H20" s="65">
        <v>14</v>
      </c>
      <c r="J20" s="65">
        <v>13</v>
      </c>
      <c r="K20" s="75"/>
      <c r="L20" s="79"/>
      <c r="M20" s="75" t="s">
        <v>18</v>
      </c>
      <c r="N20" s="76"/>
      <c r="O20" s="79"/>
      <c r="P20" s="99">
        <v>24.164214285714284</v>
      </c>
      <c r="Q20" s="65">
        <v>14</v>
      </c>
      <c r="S20" s="65">
        <v>14</v>
      </c>
      <c r="T20" s="75"/>
      <c r="U20" s="79"/>
      <c r="V20" s="75" t="s">
        <v>18</v>
      </c>
      <c r="W20" s="76"/>
      <c r="X20" s="79"/>
      <c r="Y20" s="99">
        <v>24.033714285714286</v>
      </c>
      <c r="Z20" s="65">
        <v>14</v>
      </c>
      <c r="AB20" s="65">
        <v>14</v>
      </c>
      <c r="AC20" s="75"/>
      <c r="AD20" s="79"/>
      <c r="AE20" s="75" t="s">
        <v>18</v>
      </c>
      <c r="AF20" s="76"/>
      <c r="AG20" s="79"/>
      <c r="AH20" s="99">
        <v>0</v>
      </c>
      <c r="AI20" s="65">
        <v>14</v>
      </c>
    </row>
    <row r="21" spans="1:35">
      <c r="A21" s="65">
        <v>15</v>
      </c>
      <c r="B21" s="81"/>
      <c r="C21" s="82"/>
      <c r="D21" s="83" t="s">
        <v>21</v>
      </c>
      <c r="E21" s="84"/>
      <c r="F21" s="85"/>
      <c r="G21" s="100">
        <v>17.144214285714288</v>
      </c>
      <c r="H21" s="65">
        <v>15</v>
      </c>
      <c r="J21" s="65">
        <v>14</v>
      </c>
      <c r="K21" s="83"/>
      <c r="L21" s="87"/>
      <c r="M21" s="83" t="s">
        <v>19</v>
      </c>
      <c r="N21" s="84"/>
      <c r="O21" s="87"/>
      <c r="P21" s="100">
        <v>24.164214285714284</v>
      </c>
      <c r="Q21" s="65">
        <v>15</v>
      </c>
      <c r="S21" s="65">
        <v>15</v>
      </c>
      <c r="T21" s="83"/>
      <c r="U21" s="87"/>
      <c r="V21" s="83" t="s">
        <v>19</v>
      </c>
      <c r="W21" s="84"/>
      <c r="X21" s="87"/>
      <c r="Y21" s="100">
        <v>0</v>
      </c>
      <c r="Z21" s="65">
        <v>15</v>
      </c>
      <c r="AB21" s="65">
        <v>15</v>
      </c>
      <c r="AC21" s="83"/>
      <c r="AD21" s="87"/>
      <c r="AE21" s="83" t="s">
        <v>19</v>
      </c>
      <c r="AF21" s="84"/>
      <c r="AG21" s="87"/>
      <c r="AH21" s="100">
        <v>0</v>
      </c>
      <c r="AI21" s="65">
        <v>15</v>
      </c>
    </row>
    <row r="22" spans="1:35">
      <c r="A22" s="65">
        <v>16</v>
      </c>
      <c r="B22" s="81"/>
      <c r="C22" s="82"/>
      <c r="D22" s="83" t="s">
        <v>23</v>
      </c>
      <c r="E22" s="84"/>
      <c r="F22" s="232"/>
      <c r="G22" s="100">
        <v>17.144214285714288</v>
      </c>
      <c r="H22" s="65">
        <v>16</v>
      </c>
      <c r="J22" s="65"/>
      <c r="K22" s="83"/>
      <c r="L22" s="87"/>
      <c r="M22" s="83" t="s">
        <v>21</v>
      </c>
      <c r="N22" s="84"/>
      <c r="O22" s="87"/>
      <c r="P22" s="100">
        <v>17.999214285714288</v>
      </c>
      <c r="Q22" s="65">
        <v>16</v>
      </c>
      <c r="S22" s="65">
        <v>16</v>
      </c>
      <c r="T22" s="83"/>
      <c r="U22" s="87"/>
      <c r="V22" s="83" t="s">
        <v>21</v>
      </c>
      <c r="W22" s="84"/>
      <c r="X22" s="87"/>
      <c r="Y22" s="100">
        <v>17.913714285714285</v>
      </c>
      <c r="Z22" s="65">
        <v>16</v>
      </c>
      <c r="AB22" s="65">
        <v>16</v>
      </c>
      <c r="AC22" s="83"/>
      <c r="AD22" s="87"/>
      <c r="AE22" s="83" t="s">
        <v>21</v>
      </c>
      <c r="AF22" s="84"/>
      <c r="AG22" s="87"/>
      <c r="AH22" s="100">
        <v>0</v>
      </c>
      <c r="AI22" s="65">
        <v>16</v>
      </c>
    </row>
    <row r="23" spans="1:35" ht="15.75" thickBot="1">
      <c r="A23" s="65">
        <v>17</v>
      </c>
      <c r="B23" s="88"/>
      <c r="C23" s="89"/>
      <c r="D23" s="90" t="s">
        <v>25</v>
      </c>
      <c r="E23" s="91"/>
      <c r="F23" s="94"/>
      <c r="G23" s="97">
        <v>17.144214285714288</v>
      </c>
      <c r="H23" s="65">
        <v>17</v>
      </c>
      <c r="J23" s="65">
        <v>15</v>
      </c>
      <c r="K23" s="90"/>
      <c r="L23" s="94"/>
      <c r="M23" s="90" t="s">
        <v>23</v>
      </c>
      <c r="N23" s="91"/>
      <c r="O23" s="94"/>
      <c r="P23" s="97">
        <v>17.999214285714288</v>
      </c>
      <c r="Q23" s="65">
        <v>17</v>
      </c>
      <c r="S23" s="65">
        <v>17</v>
      </c>
      <c r="T23" s="90"/>
      <c r="U23" s="94"/>
      <c r="V23" s="90" t="s">
        <v>23</v>
      </c>
      <c r="W23" s="91"/>
      <c r="X23" s="94"/>
      <c r="Y23" s="97">
        <v>17.913714285714285</v>
      </c>
      <c r="Z23" s="65">
        <v>17</v>
      </c>
      <c r="AB23" s="65">
        <v>17</v>
      </c>
      <c r="AC23" s="90"/>
      <c r="AD23" s="94"/>
      <c r="AE23" s="90" t="s">
        <v>23</v>
      </c>
      <c r="AF23" s="91"/>
      <c r="AG23" s="94"/>
      <c r="AH23" s="97">
        <v>0</v>
      </c>
      <c r="AI23" s="65">
        <v>17</v>
      </c>
    </row>
    <row r="24" spans="1:35">
      <c r="A24" s="65">
        <v>18</v>
      </c>
      <c r="B24" s="66"/>
      <c r="C24" s="67"/>
      <c r="D24" s="68" t="s">
        <v>27</v>
      </c>
      <c r="E24" s="69"/>
      <c r="F24" s="72"/>
      <c r="G24" s="98">
        <v>17.144214285714288</v>
      </c>
      <c r="H24" s="65">
        <v>18</v>
      </c>
      <c r="J24" s="65">
        <v>16</v>
      </c>
      <c r="K24" s="68"/>
      <c r="L24" s="72"/>
      <c r="M24" s="68" t="s">
        <v>25</v>
      </c>
      <c r="N24" s="69"/>
      <c r="O24" s="72"/>
      <c r="P24" s="98">
        <v>17.999214285714288</v>
      </c>
      <c r="Q24" s="65">
        <v>18</v>
      </c>
      <c r="S24" s="65">
        <v>18</v>
      </c>
      <c r="T24" s="68"/>
      <c r="U24" s="72"/>
      <c r="V24" s="68" t="s">
        <v>25</v>
      </c>
      <c r="W24" s="69"/>
      <c r="X24" s="72"/>
      <c r="Y24" s="98">
        <v>17.913714285714285</v>
      </c>
      <c r="Z24" s="65">
        <v>18</v>
      </c>
      <c r="AB24" s="65">
        <v>18</v>
      </c>
      <c r="AC24" s="68"/>
      <c r="AD24" s="72"/>
      <c r="AE24" s="68" t="s">
        <v>25</v>
      </c>
      <c r="AF24" s="69"/>
      <c r="AG24" s="72"/>
      <c r="AH24" s="98">
        <v>0</v>
      </c>
      <c r="AI24" s="65">
        <v>18</v>
      </c>
    </row>
    <row r="25" spans="1:35">
      <c r="A25" s="65">
        <v>19</v>
      </c>
      <c r="B25" s="73"/>
      <c r="C25" s="74"/>
      <c r="D25" s="75" t="s">
        <v>29</v>
      </c>
      <c r="E25" s="76"/>
      <c r="F25" s="79"/>
      <c r="G25" s="99">
        <v>17.144214285714288</v>
      </c>
      <c r="H25" s="65">
        <v>19</v>
      </c>
      <c r="J25" s="65">
        <v>17</v>
      </c>
      <c r="K25" s="75"/>
      <c r="L25" s="79"/>
      <c r="M25" s="75" t="s">
        <v>27</v>
      </c>
      <c r="N25" s="76"/>
      <c r="O25" s="79"/>
      <c r="P25" s="99">
        <v>17.999214285714288</v>
      </c>
      <c r="Q25" s="65">
        <v>19</v>
      </c>
      <c r="S25" s="65">
        <v>19</v>
      </c>
      <c r="T25" s="75"/>
      <c r="U25" s="79"/>
      <c r="V25" s="75" t="s">
        <v>27</v>
      </c>
      <c r="W25" s="76"/>
      <c r="X25" s="79"/>
      <c r="Y25" s="99">
        <v>17.913714285714285</v>
      </c>
      <c r="Z25" s="65">
        <v>19</v>
      </c>
      <c r="AB25" s="65">
        <v>19</v>
      </c>
      <c r="AC25" s="75"/>
      <c r="AD25" s="79"/>
      <c r="AE25" s="75" t="s">
        <v>27</v>
      </c>
      <c r="AF25" s="76"/>
      <c r="AG25" s="79"/>
      <c r="AH25" s="99">
        <v>0</v>
      </c>
      <c r="AI25" s="65">
        <v>19</v>
      </c>
    </row>
    <row r="26" spans="1:35">
      <c r="A26" s="65">
        <v>20</v>
      </c>
      <c r="B26" s="73"/>
      <c r="C26" s="74"/>
      <c r="D26" s="75" t="s">
        <v>31</v>
      </c>
      <c r="E26" s="76"/>
      <c r="F26" s="79"/>
      <c r="G26" s="99">
        <v>17.144214285714288</v>
      </c>
      <c r="H26" s="65">
        <v>20</v>
      </c>
      <c r="J26" s="65">
        <v>18</v>
      </c>
      <c r="K26" s="75"/>
      <c r="L26" s="79"/>
      <c r="M26" s="75" t="s">
        <v>29</v>
      </c>
      <c r="N26" s="76"/>
      <c r="O26" s="79"/>
      <c r="P26" s="99">
        <v>17.999214285714288</v>
      </c>
      <c r="Q26" s="65">
        <v>20</v>
      </c>
      <c r="S26" s="65">
        <v>20</v>
      </c>
      <c r="T26" s="75"/>
      <c r="U26" s="79"/>
      <c r="V26" s="75" t="s">
        <v>29</v>
      </c>
      <c r="W26" s="76"/>
      <c r="X26" s="79"/>
      <c r="Y26" s="99">
        <v>17.913714285714285</v>
      </c>
      <c r="Z26" s="65">
        <v>20</v>
      </c>
      <c r="AB26" s="65">
        <v>20</v>
      </c>
      <c r="AC26" s="75"/>
      <c r="AD26" s="79"/>
      <c r="AE26" s="75" t="s">
        <v>29</v>
      </c>
      <c r="AF26" s="76"/>
      <c r="AG26" s="79"/>
      <c r="AH26" s="99">
        <v>0</v>
      </c>
      <c r="AI26" s="65">
        <v>20</v>
      </c>
    </row>
    <row r="27" spans="1:35">
      <c r="A27" s="65">
        <v>21</v>
      </c>
      <c r="B27" s="81"/>
      <c r="C27" s="82"/>
      <c r="D27" s="83" t="s">
        <v>32</v>
      </c>
      <c r="E27" s="84"/>
      <c r="F27" s="87"/>
      <c r="G27" s="100">
        <v>17.144214285714288</v>
      </c>
      <c r="H27" s="65">
        <v>21</v>
      </c>
      <c r="J27" s="65">
        <v>19</v>
      </c>
      <c r="K27" s="83"/>
      <c r="L27" s="87"/>
      <c r="M27" s="83" t="s">
        <v>31</v>
      </c>
      <c r="N27" s="84"/>
      <c r="O27" s="87"/>
      <c r="P27" s="100">
        <v>17.999214285714288</v>
      </c>
      <c r="Q27" s="65">
        <v>21</v>
      </c>
      <c r="S27" s="65">
        <v>21</v>
      </c>
      <c r="T27" s="83"/>
      <c r="U27" s="87"/>
      <c r="V27" s="83" t="s">
        <v>31</v>
      </c>
      <c r="W27" s="84"/>
      <c r="X27" s="87"/>
      <c r="Y27" s="100">
        <v>17.913714285714285</v>
      </c>
      <c r="Z27" s="65">
        <v>21</v>
      </c>
      <c r="AB27" s="65">
        <v>21</v>
      </c>
      <c r="AC27" s="83"/>
      <c r="AD27" s="87"/>
      <c r="AE27" s="83" t="s">
        <v>31</v>
      </c>
      <c r="AF27" s="84"/>
      <c r="AG27" s="87"/>
      <c r="AH27" s="100">
        <v>0</v>
      </c>
      <c r="AI27" s="65">
        <v>21</v>
      </c>
    </row>
    <row r="28" spans="1:35" ht="15.75" thickBot="1">
      <c r="A28" s="65">
        <v>22</v>
      </c>
      <c r="B28" s="88"/>
      <c r="C28" s="89"/>
      <c r="D28" s="90" t="s">
        <v>34</v>
      </c>
      <c r="E28" s="91"/>
      <c r="F28" s="94"/>
      <c r="G28" s="97">
        <v>17.144214285714288</v>
      </c>
      <c r="H28" s="65">
        <v>22</v>
      </c>
      <c r="J28" s="65">
        <v>20</v>
      </c>
      <c r="K28" s="90"/>
      <c r="L28" s="94"/>
      <c r="M28" s="90" t="s">
        <v>32</v>
      </c>
      <c r="N28" s="91"/>
      <c r="O28" s="94"/>
      <c r="P28" s="97">
        <v>17.999214285714288</v>
      </c>
      <c r="Q28" s="65">
        <v>22</v>
      </c>
      <c r="S28" s="65">
        <v>22</v>
      </c>
      <c r="T28" s="90"/>
      <c r="U28" s="94"/>
      <c r="V28" s="90" t="s">
        <v>32</v>
      </c>
      <c r="W28" s="91"/>
      <c r="X28" s="94"/>
      <c r="Y28" s="97">
        <v>17.913714285714285</v>
      </c>
      <c r="Z28" s="65">
        <v>22</v>
      </c>
      <c r="AB28" s="65">
        <v>22</v>
      </c>
      <c r="AC28" s="90"/>
      <c r="AD28" s="94"/>
      <c r="AE28" s="90" t="s">
        <v>32</v>
      </c>
      <c r="AF28" s="91"/>
      <c r="AG28" s="94"/>
      <c r="AH28" s="97">
        <v>0</v>
      </c>
      <c r="AI28" s="65">
        <v>22</v>
      </c>
    </row>
    <row r="29" spans="1:35">
      <c r="A29" s="65">
        <v>23</v>
      </c>
      <c r="B29" s="66"/>
      <c r="C29" s="67"/>
      <c r="D29" s="68" t="s">
        <v>36</v>
      </c>
      <c r="E29" s="69"/>
      <c r="F29" s="72"/>
      <c r="G29" s="98">
        <v>17.144214285714288</v>
      </c>
      <c r="H29" s="65">
        <v>23</v>
      </c>
      <c r="J29" s="65">
        <v>21</v>
      </c>
      <c r="K29" s="68"/>
      <c r="L29" s="72"/>
      <c r="M29" s="68" t="s">
        <v>34</v>
      </c>
      <c r="N29" s="69"/>
      <c r="O29" s="72"/>
      <c r="P29" s="98">
        <v>17.999214285714288</v>
      </c>
      <c r="Q29" s="65">
        <v>23</v>
      </c>
      <c r="S29" s="65">
        <v>23</v>
      </c>
      <c r="T29" s="68"/>
      <c r="U29" s="72"/>
      <c r="V29" s="68" t="s">
        <v>34</v>
      </c>
      <c r="W29" s="69"/>
      <c r="X29" s="72"/>
      <c r="Y29" s="98">
        <v>17.913714285714285</v>
      </c>
      <c r="Z29" s="65">
        <v>23</v>
      </c>
      <c r="AB29" s="65">
        <v>23</v>
      </c>
      <c r="AC29" s="68"/>
      <c r="AD29" s="72"/>
      <c r="AE29" s="68" t="s">
        <v>34</v>
      </c>
      <c r="AF29" s="69"/>
      <c r="AG29" s="72"/>
      <c r="AH29" s="98">
        <v>0</v>
      </c>
      <c r="AI29" s="65">
        <v>23</v>
      </c>
    </row>
    <row r="30" spans="1:35">
      <c r="A30" s="65">
        <v>24</v>
      </c>
      <c r="B30" s="73"/>
      <c r="C30" s="74"/>
      <c r="D30" s="75" t="s">
        <v>37</v>
      </c>
      <c r="E30" s="76"/>
      <c r="F30" s="79"/>
      <c r="G30" s="98">
        <v>17.144214285714288</v>
      </c>
      <c r="H30" s="65">
        <v>24</v>
      </c>
      <c r="J30" s="65">
        <v>22</v>
      </c>
      <c r="K30" s="75"/>
      <c r="L30" s="79"/>
      <c r="M30" s="75" t="s">
        <v>36</v>
      </c>
      <c r="N30" s="76"/>
      <c r="O30" s="79"/>
      <c r="P30" s="98">
        <v>17.999214285714288</v>
      </c>
      <c r="Q30" s="65">
        <v>24</v>
      </c>
      <c r="S30" s="65">
        <v>24</v>
      </c>
      <c r="T30" s="75"/>
      <c r="U30" s="79"/>
      <c r="V30" s="75" t="s">
        <v>36</v>
      </c>
      <c r="W30" s="76"/>
      <c r="X30" s="79"/>
      <c r="Y30" s="98">
        <v>17.913714285714285</v>
      </c>
      <c r="Z30" s="65">
        <v>24</v>
      </c>
      <c r="AB30" s="65">
        <v>24</v>
      </c>
      <c r="AC30" s="75"/>
      <c r="AD30" s="79"/>
      <c r="AE30" s="75" t="s">
        <v>36</v>
      </c>
      <c r="AF30" s="76"/>
      <c r="AG30" s="79"/>
      <c r="AH30" s="98">
        <v>0</v>
      </c>
      <c r="AI30" s="65">
        <v>24</v>
      </c>
    </row>
    <row r="31" spans="1:35">
      <c r="A31" s="65">
        <v>25</v>
      </c>
      <c r="B31" s="73"/>
      <c r="C31" s="74"/>
      <c r="D31" s="75" t="s">
        <v>39</v>
      </c>
      <c r="E31" s="76"/>
      <c r="F31" s="79"/>
      <c r="G31" s="101">
        <v>17.144214285714288</v>
      </c>
      <c r="H31" s="65">
        <v>25</v>
      </c>
      <c r="J31" s="65">
        <v>23</v>
      </c>
      <c r="K31" s="75"/>
      <c r="L31" s="79"/>
      <c r="M31" s="75" t="s">
        <v>37</v>
      </c>
      <c r="N31" s="76"/>
      <c r="O31" s="79"/>
      <c r="P31" s="101">
        <v>17.999214285714288</v>
      </c>
      <c r="Q31" s="65">
        <v>25</v>
      </c>
      <c r="S31" s="65">
        <v>25</v>
      </c>
      <c r="T31" s="75"/>
      <c r="U31" s="79"/>
      <c r="V31" s="75" t="s">
        <v>37</v>
      </c>
      <c r="W31" s="76"/>
      <c r="X31" s="79"/>
      <c r="Y31" s="101">
        <v>17.913714285714285</v>
      </c>
      <c r="Z31" s="65">
        <v>25</v>
      </c>
      <c r="AB31" s="65">
        <v>25</v>
      </c>
      <c r="AC31" s="75"/>
      <c r="AD31" s="79"/>
      <c r="AE31" s="75" t="s">
        <v>37</v>
      </c>
      <c r="AF31" s="76"/>
      <c r="AG31" s="79"/>
      <c r="AH31" s="101">
        <v>0</v>
      </c>
      <c r="AI31" s="65">
        <v>25</v>
      </c>
    </row>
    <row r="32" spans="1:35">
      <c r="A32" s="65">
        <v>26</v>
      </c>
      <c r="B32" s="81"/>
      <c r="C32" s="82"/>
      <c r="D32" s="83" t="s">
        <v>40</v>
      </c>
      <c r="E32" s="84"/>
      <c r="F32" s="87"/>
      <c r="G32" s="102">
        <v>17.144214285714288</v>
      </c>
      <c r="H32" s="65">
        <v>26</v>
      </c>
      <c r="J32" s="65">
        <v>24</v>
      </c>
      <c r="K32" s="83"/>
      <c r="L32" s="87"/>
      <c r="M32" s="83" t="s">
        <v>39</v>
      </c>
      <c r="N32" s="84"/>
      <c r="O32" s="87"/>
      <c r="P32" s="102">
        <v>17.999214285714288</v>
      </c>
      <c r="Q32" s="65">
        <v>26</v>
      </c>
      <c r="S32" s="65">
        <v>26</v>
      </c>
      <c r="T32" s="83"/>
      <c r="U32" s="87"/>
      <c r="V32" s="83" t="s">
        <v>39</v>
      </c>
      <c r="W32" s="84"/>
      <c r="X32" s="87"/>
      <c r="Y32" s="102">
        <v>17.913714285714285</v>
      </c>
      <c r="Z32" s="65">
        <v>26</v>
      </c>
      <c r="AB32" s="65">
        <v>26</v>
      </c>
      <c r="AC32" s="83"/>
      <c r="AD32" s="87"/>
      <c r="AE32" s="83" t="s">
        <v>39</v>
      </c>
      <c r="AF32" s="84"/>
      <c r="AG32" s="87"/>
      <c r="AH32" s="102">
        <v>0</v>
      </c>
      <c r="AI32" s="65">
        <v>26</v>
      </c>
    </row>
    <row r="33" spans="1:35" ht="15.75" thickBot="1">
      <c r="A33" s="65">
        <v>27</v>
      </c>
      <c r="B33" s="88"/>
      <c r="C33" s="89"/>
      <c r="D33" s="90" t="s">
        <v>41</v>
      </c>
      <c r="E33" s="91"/>
      <c r="F33" s="94"/>
      <c r="G33" s="103">
        <v>17.144214285714288</v>
      </c>
      <c r="H33" s="65">
        <v>27</v>
      </c>
      <c r="J33" s="65">
        <v>25</v>
      </c>
      <c r="K33" s="90"/>
      <c r="L33" s="94"/>
      <c r="M33" s="90" t="s">
        <v>40</v>
      </c>
      <c r="N33" s="91"/>
      <c r="O33" s="94"/>
      <c r="P33" s="103">
        <v>17.999214285714288</v>
      </c>
      <c r="Q33" s="65">
        <v>27</v>
      </c>
      <c r="S33" s="65">
        <v>27</v>
      </c>
      <c r="T33" s="90"/>
      <c r="U33" s="94"/>
      <c r="V33" s="90" t="s">
        <v>40</v>
      </c>
      <c r="W33" s="91"/>
      <c r="X33" s="94"/>
      <c r="Y33" s="103">
        <v>17.913714285714285</v>
      </c>
      <c r="Z33" s="65">
        <v>27</v>
      </c>
      <c r="AB33" s="65">
        <v>27</v>
      </c>
      <c r="AC33" s="90"/>
      <c r="AD33" s="94"/>
      <c r="AE33" s="90" t="s">
        <v>40</v>
      </c>
      <c r="AF33" s="91"/>
      <c r="AG33" s="94"/>
      <c r="AH33" s="103">
        <v>0</v>
      </c>
      <c r="AI33" s="65">
        <v>27</v>
      </c>
    </row>
    <row r="34" spans="1:35">
      <c r="A34" s="65">
        <v>28</v>
      </c>
      <c r="B34" s="66"/>
      <c r="C34" s="67"/>
      <c r="D34" s="68" t="s">
        <v>43</v>
      </c>
      <c r="E34" s="69"/>
      <c r="F34" s="72"/>
      <c r="G34" s="104">
        <v>17.144214285714288</v>
      </c>
      <c r="H34" s="65">
        <v>28</v>
      </c>
      <c r="J34" s="65">
        <v>26</v>
      </c>
      <c r="K34" s="68"/>
      <c r="L34" s="72"/>
      <c r="M34" s="68" t="s">
        <v>41</v>
      </c>
      <c r="N34" s="69"/>
      <c r="O34" s="72"/>
      <c r="P34" s="104">
        <v>17.999214285714288</v>
      </c>
      <c r="Q34" s="65">
        <v>28</v>
      </c>
      <c r="S34" s="65">
        <v>28</v>
      </c>
      <c r="T34" s="68"/>
      <c r="U34" s="72"/>
      <c r="V34" s="68" t="s">
        <v>41</v>
      </c>
      <c r="W34" s="69"/>
      <c r="X34" s="72"/>
      <c r="Y34" s="104">
        <v>17.913714285714285</v>
      </c>
      <c r="Z34" s="65">
        <v>28</v>
      </c>
      <c r="AB34" s="65">
        <v>28</v>
      </c>
      <c r="AC34" s="68"/>
      <c r="AD34" s="72"/>
      <c r="AE34" s="68" t="s">
        <v>41</v>
      </c>
      <c r="AF34" s="69"/>
      <c r="AG34" s="72"/>
      <c r="AH34" s="104">
        <v>0</v>
      </c>
      <c r="AI34" s="65">
        <v>28</v>
      </c>
    </row>
    <row r="35" spans="1:35">
      <c r="A35" s="65">
        <v>29</v>
      </c>
      <c r="B35" s="73"/>
      <c r="C35" s="74"/>
      <c r="D35" s="75" t="s">
        <v>44</v>
      </c>
      <c r="E35" s="76"/>
      <c r="F35" s="79"/>
      <c r="G35" s="101">
        <v>17.144214285714288</v>
      </c>
      <c r="H35" s="65">
        <v>29</v>
      </c>
      <c r="J35" s="65">
        <v>27</v>
      </c>
      <c r="K35" s="75"/>
      <c r="L35" s="79"/>
      <c r="M35" s="75" t="s">
        <v>43</v>
      </c>
      <c r="N35" s="76"/>
      <c r="O35" s="79"/>
      <c r="P35" s="101">
        <v>17.999214285714288</v>
      </c>
      <c r="Q35" s="65">
        <v>29</v>
      </c>
      <c r="S35" s="65">
        <v>29</v>
      </c>
      <c r="T35" s="75"/>
      <c r="U35" s="79"/>
      <c r="V35" s="75" t="s">
        <v>43</v>
      </c>
      <c r="W35" s="76"/>
      <c r="X35" s="79"/>
      <c r="Y35" s="101">
        <v>17.913714285714285</v>
      </c>
      <c r="Z35" s="65">
        <v>29</v>
      </c>
      <c r="AB35" s="65">
        <v>29</v>
      </c>
      <c r="AC35" s="75"/>
      <c r="AD35" s="79"/>
      <c r="AE35" s="75" t="s">
        <v>43</v>
      </c>
      <c r="AF35" s="76"/>
      <c r="AG35" s="79"/>
      <c r="AH35" s="101">
        <v>0</v>
      </c>
      <c r="AI35" s="65">
        <v>29</v>
      </c>
    </row>
    <row r="36" spans="1:35">
      <c r="A36" s="65">
        <v>30</v>
      </c>
      <c r="B36" s="73"/>
      <c r="C36" s="74"/>
      <c r="D36" s="75" t="s">
        <v>45</v>
      </c>
      <c r="E36" s="76"/>
      <c r="F36" s="79"/>
      <c r="G36" s="101">
        <v>17.144214285714288</v>
      </c>
      <c r="H36" s="65">
        <v>30</v>
      </c>
      <c r="J36" s="65">
        <v>28</v>
      </c>
      <c r="K36" s="75"/>
      <c r="L36" s="79"/>
      <c r="M36" s="75" t="s">
        <v>44</v>
      </c>
      <c r="N36" s="76"/>
      <c r="O36" s="79"/>
      <c r="P36" s="101">
        <v>17.999214285714288</v>
      </c>
      <c r="Q36" s="65">
        <v>30</v>
      </c>
      <c r="S36" s="65">
        <v>30</v>
      </c>
      <c r="T36" s="75"/>
      <c r="U36" s="79"/>
      <c r="V36" s="75" t="s">
        <v>44</v>
      </c>
      <c r="W36" s="76"/>
      <c r="X36" s="79"/>
      <c r="Y36" s="101">
        <v>17.913714285714285</v>
      </c>
      <c r="Z36" s="65">
        <v>30</v>
      </c>
      <c r="AB36" s="65">
        <v>30</v>
      </c>
      <c r="AC36" s="75"/>
      <c r="AD36" s="79"/>
      <c r="AE36" s="75" t="s">
        <v>44</v>
      </c>
      <c r="AF36" s="76"/>
      <c r="AG36" s="79"/>
      <c r="AH36" s="101">
        <v>0</v>
      </c>
      <c r="AI36" s="65">
        <v>30</v>
      </c>
    </row>
    <row r="37" spans="1:35" ht="15.75" thickBot="1">
      <c r="A37" s="65">
        <v>31</v>
      </c>
      <c r="B37" s="105"/>
      <c r="C37" s="62"/>
      <c r="D37" s="106" t="s">
        <v>47</v>
      </c>
      <c r="E37" s="107"/>
      <c r="F37" s="108"/>
      <c r="G37" s="109">
        <v>25.907214285714282</v>
      </c>
      <c r="H37" s="65">
        <v>31</v>
      </c>
      <c r="J37" s="65">
        <v>29</v>
      </c>
      <c r="K37" s="106"/>
      <c r="L37" s="108"/>
      <c r="M37" s="106" t="s">
        <v>45</v>
      </c>
      <c r="N37" s="107"/>
      <c r="O37" s="108"/>
      <c r="P37" s="109">
        <v>17.999214285714288</v>
      </c>
      <c r="Q37" s="65">
        <v>31</v>
      </c>
      <c r="S37" s="65">
        <v>31</v>
      </c>
      <c r="T37" s="106"/>
      <c r="U37" s="108"/>
      <c r="V37" s="106" t="s">
        <v>45</v>
      </c>
      <c r="W37" s="107"/>
      <c r="X37" s="108"/>
      <c r="Y37" s="109">
        <v>17.913714285714285</v>
      </c>
      <c r="Z37" s="65">
        <v>31</v>
      </c>
      <c r="AB37" s="65">
        <v>31</v>
      </c>
      <c r="AC37" s="106"/>
      <c r="AD37" s="108"/>
      <c r="AE37" s="106" t="s">
        <v>45</v>
      </c>
      <c r="AF37" s="107"/>
      <c r="AG37" s="108"/>
      <c r="AH37" s="109">
        <v>0</v>
      </c>
      <c r="AI37" s="65">
        <v>31</v>
      </c>
    </row>
    <row r="38" spans="1:35" ht="15.75" thickTop="1">
      <c r="A38" s="65">
        <v>32</v>
      </c>
      <c r="B38" s="66"/>
      <c r="C38" s="67"/>
      <c r="D38" s="68" t="s">
        <v>49</v>
      </c>
      <c r="E38" s="69"/>
      <c r="F38" s="72"/>
      <c r="G38" s="98">
        <v>25.907214285714282</v>
      </c>
      <c r="H38" s="65">
        <v>32</v>
      </c>
      <c r="J38" s="65">
        <v>30</v>
      </c>
      <c r="K38" s="68"/>
      <c r="L38" s="72"/>
      <c r="M38" s="68" t="s">
        <v>47</v>
      </c>
      <c r="N38" s="69"/>
      <c r="O38" s="72"/>
      <c r="P38" s="98">
        <v>27.452214285714284</v>
      </c>
      <c r="Q38" s="65">
        <v>32</v>
      </c>
      <c r="S38" s="65">
        <v>32</v>
      </c>
      <c r="T38" s="68"/>
      <c r="U38" s="72"/>
      <c r="V38" s="68" t="s">
        <v>47</v>
      </c>
      <c r="W38" s="69"/>
      <c r="X38" s="72"/>
      <c r="Y38" s="98">
        <v>27.297714285714282</v>
      </c>
      <c r="Z38" s="65">
        <v>32</v>
      </c>
      <c r="AB38" s="65">
        <v>32</v>
      </c>
      <c r="AC38" s="68"/>
      <c r="AD38" s="72"/>
      <c r="AE38" s="68" t="s">
        <v>47</v>
      </c>
      <c r="AF38" s="69"/>
      <c r="AG38" s="72"/>
      <c r="AH38" s="98">
        <v>0</v>
      </c>
      <c r="AI38" s="65">
        <v>32</v>
      </c>
    </row>
    <row r="39" spans="1:35">
      <c r="A39" s="65">
        <v>33</v>
      </c>
      <c r="B39" s="73"/>
      <c r="C39" s="74"/>
      <c r="D39" s="75" t="s">
        <v>264</v>
      </c>
      <c r="E39" s="76"/>
      <c r="F39" s="79"/>
      <c r="G39" s="101">
        <v>0</v>
      </c>
      <c r="H39" s="65">
        <v>33</v>
      </c>
      <c r="J39" s="65">
        <v>31</v>
      </c>
      <c r="K39" s="75"/>
      <c r="L39" s="79"/>
      <c r="M39" s="75" t="s">
        <v>49</v>
      </c>
      <c r="N39" s="76"/>
      <c r="O39" s="79"/>
      <c r="P39" s="101">
        <v>27.452214285714284</v>
      </c>
      <c r="Q39" s="65">
        <v>33</v>
      </c>
      <c r="S39" s="65">
        <v>33</v>
      </c>
      <c r="T39" s="75"/>
      <c r="U39" s="79"/>
      <c r="V39" s="75" t="s">
        <v>49</v>
      </c>
      <c r="W39" s="76"/>
      <c r="X39" s="79"/>
      <c r="Y39" s="101">
        <v>27.297714285714282</v>
      </c>
      <c r="Z39" s="65">
        <v>33</v>
      </c>
      <c r="AB39" s="65">
        <v>33</v>
      </c>
      <c r="AC39" s="75"/>
      <c r="AD39" s="79"/>
      <c r="AE39" s="75" t="s">
        <v>49</v>
      </c>
      <c r="AF39" s="76"/>
      <c r="AG39" s="79"/>
      <c r="AH39" s="101">
        <v>0</v>
      </c>
      <c r="AI39" s="65">
        <v>33</v>
      </c>
    </row>
    <row r="40" spans="1:35">
      <c r="A40" s="65">
        <v>34</v>
      </c>
      <c r="B40" s="73"/>
      <c r="C40" s="74"/>
      <c r="D40" s="75" t="s">
        <v>266</v>
      </c>
      <c r="E40" s="76"/>
      <c r="F40" s="79"/>
      <c r="G40" s="101">
        <v>32.193714285714286</v>
      </c>
      <c r="H40" s="65">
        <v>34</v>
      </c>
      <c r="J40" s="65">
        <v>32</v>
      </c>
      <c r="K40" s="75"/>
      <c r="L40" s="79"/>
      <c r="M40" s="75" t="s">
        <v>264</v>
      </c>
      <c r="N40" s="76"/>
      <c r="O40" s="79"/>
      <c r="P40" s="101">
        <v>0</v>
      </c>
      <c r="Q40" s="65">
        <v>34</v>
      </c>
      <c r="S40" s="65">
        <v>34</v>
      </c>
      <c r="T40" s="75"/>
      <c r="U40" s="79"/>
      <c r="V40" s="75" t="s">
        <v>264</v>
      </c>
      <c r="W40" s="76"/>
      <c r="X40" s="79"/>
      <c r="Y40" s="101">
        <v>0</v>
      </c>
      <c r="Z40" s="65">
        <v>34</v>
      </c>
      <c r="AB40" s="65">
        <v>34</v>
      </c>
      <c r="AC40" s="75"/>
      <c r="AD40" s="79"/>
      <c r="AE40" s="75" t="s">
        <v>264</v>
      </c>
      <c r="AF40" s="76"/>
      <c r="AG40" s="79"/>
      <c r="AH40" s="101">
        <v>0</v>
      </c>
      <c r="AI40" s="65">
        <v>34</v>
      </c>
    </row>
    <row r="41" spans="1:35">
      <c r="A41" s="65">
        <v>35</v>
      </c>
      <c r="B41" s="81"/>
      <c r="C41" s="82"/>
      <c r="D41" s="83" t="s">
        <v>268</v>
      </c>
      <c r="E41" s="84"/>
      <c r="F41" s="87"/>
      <c r="G41" s="102">
        <v>22.343214285714286</v>
      </c>
      <c r="H41" s="65">
        <v>35</v>
      </c>
      <c r="J41" s="65">
        <v>33</v>
      </c>
      <c r="K41" s="83"/>
      <c r="L41" s="87"/>
      <c r="M41" s="83" t="s">
        <v>266</v>
      </c>
      <c r="N41" s="84"/>
      <c r="O41" s="87"/>
      <c r="P41" s="102">
        <v>34.233714285714285</v>
      </c>
      <c r="Q41" s="65">
        <v>35</v>
      </c>
      <c r="S41" s="65">
        <v>35</v>
      </c>
      <c r="T41" s="83"/>
      <c r="U41" s="87"/>
      <c r="V41" s="83" t="s">
        <v>266</v>
      </c>
      <c r="W41" s="84"/>
      <c r="X41" s="87"/>
      <c r="Y41" s="102">
        <v>34.029714285714292</v>
      </c>
      <c r="Z41" s="65">
        <v>35</v>
      </c>
      <c r="AB41" s="65">
        <v>35</v>
      </c>
      <c r="AC41" s="83"/>
      <c r="AD41" s="87"/>
      <c r="AE41" s="83" t="s">
        <v>266</v>
      </c>
      <c r="AF41" s="84"/>
      <c r="AG41" s="87"/>
      <c r="AH41" s="102">
        <v>0</v>
      </c>
      <c r="AI41" s="65">
        <v>35</v>
      </c>
    </row>
    <row r="42" spans="1:35" ht="15.75" thickBot="1">
      <c r="A42" s="65">
        <v>36</v>
      </c>
      <c r="B42" s="88"/>
      <c r="C42" s="89"/>
      <c r="D42" s="90" t="s">
        <v>270</v>
      </c>
      <c r="E42" s="91"/>
      <c r="F42" s="94"/>
      <c r="G42" s="103">
        <v>28.439214285714286</v>
      </c>
      <c r="H42" s="65">
        <v>36</v>
      </c>
      <c r="J42" s="65">
        <v>34</v>
      </c>
      <c r="K42" s="90"/>
      <c r="L42" s="94"/>
      <c r="M42" s="90" t="s">
        <v>268</v>
      </c>
      <c r="N42" s="91"/>
      <c r="O42" s="94"/>
      <c r="P42" s="103">
        <v>23.568214285714287</v>
      </c>
      <c r="Q42" s="65">
        <v>36</v>
      </c>
      <c r="S42" s="65">
        <v>36</v>
      </c>
      <c r="T42" s="90"/>
      <c r="U42" s="94"/>
      <c r="V42" s="90" t="s">
        <v>268</v>
      </c>
      <c r="W42" s="91"/>
      <c r="X42" s="94"/>
      <c r="Y42" s="103">
        <v>0</v>
      </c>
      <c r="Z42" s="65">
        <v>36</v>
      </c>
      <c r="AB42" s="65">
        <v>36</v>
      </c>
      <c r="AC42" s="90"/>
      <c r="AD42" s="94"/>
      <c r="AE42" s="90" t="s">
        <v>268</v>
      </c>
      <c r="AF42" s="91"/>
      <c r="AG42" s="94"/>
      <c r="AH42" s="103">
        <v>0</v>
      </c>
      <c r="AI42" s="65">
        <v>36</v>
      </c>
    </row>
    <row r="43" spans="1:35">
      <c r="A43" s="65">
        <v>37</v>
      </c>
      <c r="B43" s="66"/>
      <c r="C43" s="67"/>
      <c r="D43" s="68" t="s">
        <v>272</v>
      </c>
      <c r="E43" s="69"/>
      <c r="F43" s="72"/>
      <c r="G43" s="98">
        <v>0</v>
      </c>
      <c r="H43" s="65">
        <v>37</v>
      </c>
      <c r="J43" s="65">
        <v>35</v>
      </c>
      <c r="K43" s="68"/>
      <c r="L43" s="72"/>
      <c r="M43" s="68" t="s">
        <v>270</v>
      </c>
      <c r="N43" s="69"/>
      <c r="O43" s="72"/>
      <c r="P43" s="98">
        <v>30.144214285714288</v>
      </c>
      <c r="Q43" s="65">
        <v>37</v>
      </c>
      <c r="S43" s="65">
        <v>37</v>
      </c>
      <c r="T43" s="68"/>
      <c r="U43" s="72"/>
      <c r="V43" s="68" t="s">
        <v>270</v>
      </c>
      <c r="W43" s="69"/>
      <c r="X43" s="72"/>
      <c r="Y43" s="98">
        <v>0</v>
      </c>
      <c r="Z43" s="65">
        <v>37</v>
      </c>
      <c r="AB43" s="65">
        <v>37</v>
      </c>
      <c r="AC43" s="68"/>
      <c r="AD43" s="72"/>
      <c r="AE43" s="68" t="s">
        <v>270</v>
      </c>
      <c r="AF43" s="69"/>
      <c r="AG43" s="72"/>
      <c r="AH43" s="98">
        <v>0</v>
      </c>
      <c r="AI43" s="65">
        <v>37</v>
      </c>
    </row>
    <row r="44" spans="1:35">
      <c r="A44" s="65">
        <v>38</v>
      </c>
      <c r="B44" s="73"/>
      <c r="C44" s="74"/>
      <c r="D44" s="75" t="s">
        <v>273</v>
      </c>
      <c r="E44" s="76"/>
      <c r="F44" s="79"/>
      <c r="G44" s="101">
        <v>37.654714285714292</v>
      </c>
      <c r="H44" s="65">
        <v>38</v>
      </c>
      <c r="J44" s="65">
        <v>36</v>
      </c>
      <c r="K44" s="75"/>
      <c r="L44" s="79"/>
      <c r="M44" s="75" t="s">
        <v>272</v>
      </c>
      <c r="N44" s="76"/>
      <c r="O44" s="79"/>
      <c r="P44" s="101">
        <v>0</v>
      </c>
      <c r="Q44" s="65">
        <v>38</v>
      </c>
      <c r="S44" s="65">
        <v>38</v>
      </c>
      <c r="T44" s="75"/>
      <c r="U44" s="79"/>
      <c r="V44" s="75" t="s">
        <v>272</v>
      </c>
      <c r="W44" s="76"/>
      <c r="X44" s="79"/>
      <c r="Y44" s="101">
        <v>0</v>
      </c>
      <c r="Z44" s="65">
        <v>38</v>
      </c>
      <c r="AB44" s="65">
        <v>38</v>
      </c>
      <c r="AC44" s="75"/>
      <c r="AD44" s="79"/>
      <c r="AE44" s="75" t="s">
        <v>272</v>
      </c>
      <c r="AF44" s="76"/>
      <c r="AG44" s="79"/>
      <c r="AH44" s="101">
        <v>0</v>
      </c>
      <c r="AI44" s="65">
        <v>38</v>
      </c>
    </row>
    <row r="45" spans="1:35">
      <c r="A45" s="65">
        <v>39</v>
      </c>
      <c r="B45" s="73"/>
      <c r="C45" s="74"/>
      <c r="D45" s="75" t="s">
        <v>51</v>
      </c>
      <c r="E45" s="76"/>
      <c r="F45" s="79"/>
      <c r="G45" s="101">
        <v>24.827714285714283</v>
      </c>
      <c r="H45" s="65">
        <v>39</v>
      </c>
      <c r="J45" s="65">
        <v>37</v>
      </c>
      <c r="K45" s="75"/>
      <c r="L45" s="79"/>
      <c r="M45" s="75" t="s">
        <v>273</v>
      </c>
      <c r="N45" s="76"/>
      <c r="O45" s="79"/>
      <c r="P45" s="101">
        <v>40.12471428571429</v>
      </c>
      <c r="Q45" s="65">
        <v>39</v>
      </c>
      <c r="S45" s="65">
        <v>39</v>
      </c>
      <c r="T45" s="75"/>
      <c r="U45" s="79"/>
      <c r="V45" s="75" t="s">
        <v>273</v>
      </c>
      <c r="W45" s="76"/>
      <c r="X45" s="79"/>
      <c r="Y45" s="101">
        <v>39.877714285714291</v>
      </c>
      <c r="Z45" s="65">
        <v>39</v>
      </c>
      <c r="AB45" s="65">
        <v>39</v>
      </c>
      <c r="AC45" s="75"/>
      <c r="AD45" s="79"/>
      <c r="AE45" s="75" t="s">
        <v>273</v>
      </c>
      <c r="AF45" s="76"/>
      <c r="AG45" s="79"/>
      <c r="AH45" s="101">
        <v>0</v>
      </c>
      <c r="AI45" s="65">
        <v>39</v>
      </c>
    </row>
    <row r="46" spans="1:35">
      <c r="A46" s="65">
        <v>40</v>
      </c>
      <c r="B46" s="81"/>
      <c r="C46" s="82"/>
      <c r="D46" s="83" t="s">
        <v>53</v>
      </c>
      <c r="E46" s="84"/>
      <c r="F46" s="87"/>
      <c r="G46" s="102">
        <v>24.319714285714284</v>
      </c>
      <c r="H46" s="65">
        <v>40</v>
      </c>
      <c r="J46" s="65">
        <v>38</v>
      </c>
      <c r="K46" s="83"/>
      <c r="L46" s="87"/>
      <c r="M46" s="83" t="s">
        <v>51</v>
      </c>
      <c r="N46" s="84"/>
      <c r="O46" s="87"/>
      <c r="P46" s="102">
        <v>26.287714285714284</v>
      </c>
      <c r="Q46" s="65">
        <v>40</v>
      </c>
      <c r="S46" s="65">
        <v>40</v>
      </c>
      <c r="T46" s="83"/>
      <c r="U46" s="87"/>
      <c r="V46" s="83" t="s">
        <v>51</v>
      </c>
      <c r="W46" s="84"/>
      <c r="X46" s="87"/>
      <c r="Y46" s="102">
        <v>26.141714285714283</v>
      </c>
      <c r="Z46" s="65">
        <v>40</v>
      </c>
      <c r="AB46" s="65">
        <v>40</v>
      </c>
      <c r="AC46" s="83"/>
      <c r="AD46" s="87"/>
      <c r="AE46" s="83" t="s">
        <v>51</v>
      </c>
      <c r="AF46" s="84"/>
      <c r="AG46" s="87"/>
      <c r="AH46" s="102">
        <v>0</v>
      </c>
      <c r="AI46" s="65">
        <v>40</v>
      </c>
    </row>
    <row r="47" spans="1:35" ht="15.75" thickBot="1">
      <c r="A47" s="65">
        <v>41</v>
      </c>
      <c r="B47" s="88"/>
      <c r="C47" s="89"/>
      <c r="D47" s="90" t="s">
        <v>54</v>
      </c>
      <c r="E47" s="91"/>
      <c r="F47" s="94"/>
      <c r="G47" s="103">
        <v>24.827714285714283</v>
      </c>
      <c r="H47" s="65">
        <v>41</v>
      </c>
      <c r="J47" s="65">
        <v>39</v>
      </c>
      <c r="K47" s="90"/>
      <c r="L47" s="94"/>
      <c r="M47" s="90" t="s">
        <v>53</v>
      </c>
      <c r="N47" s="91"/>
      <c r="O47" s="94"/>
      <c r="P47" s="103">
        <v>25.739714285714282</v>
      </c>
      <c r="Q47" s="65">
        <v>41</v>
      </c>
      <c r="S47" s="65">
        <v>41</v>
      </c>
      <c r="T47" s="90"/>
      <c r="U47" s="94"/>
      <c r="V47" s="90" t="s">
        <v>53</v>
      </c>
      <c r="W47" s="91"/>
      <c r="X47" s="94"/>
      <c r="Y47" s="103">
        <v>25.597714285714286</v>
      </c>
      <c r="Z47" s="65">
        <v>41</v>
      </c>
      <c r="AB47" s="65">
        <v>41</v>
      </c>
      <c r="AC47" s="90"/>
      <c r="AD47" s="94"/>
      <c r="AE47" s="90" t="s">
        <v>53</v>
      </c>
      <c r="AF47" s="91"/>
      <c r="AG47" s="94"/>
      <c r="AH47" s="103">
        <v>0</v>
      </c>
      <c r="AI47" s="65">
        <v>41</v>
      </c>
    </row>
    <row r="48" spans="1:35">
      <c r="A48" s="65">
        <v>42</v>
      </c>
      <c r="B48" s="66"/>
      <c r="C48" s="67"/>
      <c r="D48" s="68" t="s">
        <v>56</v>
      </c>
      <c r="E48" s="69"/>
      <c r="F48" s="72"/>
      <c r="G48" s="98">
        <v>26.415214285714285</v>
      </c>
      <c r="H48" s="65">
        <v>42</v>
      </c>
      <c r="J48" s="65">
        <v>40</v>
      </c>
      <c r="K48" s="68"/>
      <c r="L48" s="72"/>
      <c r="M48" s="68" t="s">
        <v>54</v>
      </c>
      <c r="N48" s="69"/>
      <c r="O48" s="72"/>
      <c r="P48" s="98">
        <v>26.287714285714284</v>
      </c>
      <c r="Q48" s="65">
        <v>42</v>
      </c>
      <c r="S48" s="65">
        <v>42</v>
      </c>
      <c r="T48" s="68"/>
      <c r="U48" s="72"/>
      <c r="V48" s="68" t="s">
        <v>54</v>
      </c>
      <c r="W48" s="69"/>
      <c r="X48" s="72"/>
      <c r="Y48" s="98">
        <v>26.141714285714283</v>
      </c>
      <c r="Z48" s="65">
        <v>42</v>
      </c>
      <c r="AB48" s="65">
        <v>42</v>
      </c>
      <c r="AC48" s="68"/>
      <c r="AD48" s="72"/>
      <c r="AE48" s="68" t="s">
        <v>54</v>
      </c>
      <c r="AF48" s="69"/>
      <c r="AG48" s="72"/>
      <c r="AH48" s="98">
        <v>0</v>
      </c>
      <c r="AI48" s="65">
        <v>42</v>
      </c>
    </row>
    <row r="49" spans="1:98">
      <c r="A49" s="65">
        <v>43</v>
      </c>
      <c r="B49" s="66"/>
      <c r="C49" s="67"/>
      <c r="D49" s="68" t="s">
        <v>58</v>
      </c>
      <c r="E49" s="69"/>
      <c r="F49" s="72"/>
      <c r="G49" s="104">
        <v>0</v>
      </c>
      <c r="H49" s="65">
        <v>43</v>
      </c>
      <c r="J49" s="65">
        <v>41</v>
      </c>
      <c r="K49" s="68"/>
      <c r="L49" s="72"/>
      <c r="M49" s="68" t="s">
        <v>56</v>
      </c>
      <c r="N49" s="69"/>
      <c r="O49" s="72"/>
      <c r="P49" s="104">
        <v>28.000214285714286</v>
      </c>
      <c r="Q49" s="65">
        <v>43</v>
      </c>
      <c r="S49" s="65">
        <v>43</v>
      </c>
      <c r="T49" s="68"/>
      <c r="U49" s="72"/>
      <c r="V49" s="68" t="s">
        <v>56</v>
      </c>
      <c r="W49" s="69"/>
      <c r="X49" s="72"/>
      <c r="Y49" s="104">
        <v>27.841714285714286</v>
      </c>
      <c r="Z49" s="65">
        <v>43</v>
      </c>
      <c r="AB49" s="65">
        <v>43</v>
      </c>
      <c r="AC49" s="68"/>
      <c r="AD49" s="72"/>
      <c r="AE49" s="68" t="s">
        <v>56</v>
      </c>
      <c r="AF49" s="69"/>
      <c r="AG49" s="72"/>
      <c r="AH49" s="104">
        <v>0</v>
      </c>
      <c r="AI49" s="65">
        <v>43</v>
      </c>
    </row>
    <row r="50" spans="1:98">
      <c r="A50" s="65">
        <v>44</v>
      </c>
      <c r="B50" s="73"/>
      <c r="C50" s="74"/>
      <c r="D50" s="75" t="s">
        <v>60</v>
      </c>
      <c r="E50" s="76"/>
      <c r="F50" s="79"/>
      <c r="G50" s="101">
        <v>0</v>
      </c>
      <c r="H50" s="65">
        <v>44</v>
      </c>
      <c r="J50" s="65">
        <v>42</v>
      </c>
      <c r="K50" s="75"/>
      <c r="L50" s="79"/>
      <c r="M50" s="75" t="s">
        <v>58</v>
      </c>
      <c r="N50" s="76"/>
      <c r="O50" s="79"/>
      <c r="P50" s="101">
        <v>0</v>
      </c>
      <c r="Q50" s="65">
        <v>44</v>
      </c>
      <c r="S50" s="65">
        <v>44</v>
      </c>
      <c r="T50" s="75"/>
      <c r="U50" s="79"/>
      <c r="V50" s="75" t="s">
        <v>58</v>
      </c>
      <c r="W50" s="76"/>
      <c r="X50" s="79"/>
      <c r="Y50" s="101">
        <v>0</v>
      </c>
      <c r="Z50" s="65">
        <v>44</v>
      </c>
      <c r="AB50" s="65">
        <v>44</v>
      </c>
      <c r="AC50" s="75"/>
      <c r="AD50" s="79"/>
      <c r="AE50" s="75" t="s">
        <v>58</v>
      </c>
      <c r="AF50" s="76"/>
      <c r="AG50" s="79"/>
      <c r="AH50" s="101">
        <v>0</v>
      </c>
      <c r="AI50" s="65">
        <v>44</v>
      </c>
    </row>
    <row r="51" spans="1:98">
      <c r="A51" s="65">
        <v>45</v>
      </c>
      <c r="B51" s="73"/>
      <c r="C51" s="74"/>
      <c r="D51" s="75" t="s">
        <v>61</v>
      </c>
      <c r="E51" s="76"/>
      <c r="F51" s="79"/>
      <c r="G51" s="101">
        <v>27.494714285714284</v>
      </c>
      <c r="H51" s="65">
        <v>45</v>
      </c>
      <c r="J51" s="65">
        <v>43</v>
      </c>
      <c r="K51" s="75"/>
      <c r="L51" s="79"/>
      <c r="M51" s="75" t="s">
        <v>60</v>
      </c>
      <c r="N51" s="76"/>
      <c r="O51" s="79"/>
      <c r="P51" s="101">
        <v>0</v>
      </c>
      <c r="Q51" s="65">
        <v>45</v>
      </c>
      <c r="S51" s="65">
        <v>45</v>
      </c>
      <c r="T51" s="75"/>
      <c r="U51" s="79"/>
      <c r="V51" s="75" t="s">
        <v>60</v>
      </c>
      <c r="W51" s="76"/>
      <c r="X51" s="79"/>
      <c r="Y51" s="101">
        <v>0</v>
      </c>
      <c r="Z51" s="65">
        <v>45</v>
      </c>
      <c r="AB51" s="65">
        <v>45</v>
      </c>
      <c r="AC51" s="75"/>
      <c r="AD51" s="79"/>
      <c r="AE51" s="75" t="s">
        <v>60</v>
      </c>
      <c r="AF51" s="76"/>
      <c r="AG51" s="79"/>
      <c r="AH51" s="101">
        <v>0</v>
      </c>
      <c r="AI51" s="65">
        <v>45</v>
      </c>
    </row>
    <row r="52" spans="1:98" ht="15.75" thickBot="1">
      <c r="A52" s="65">
        <v>46</v>
      </c>
      <c r="B52" s="105"/>
      <c r="C52" s="62"/>
      <c r="D52" s="106"/>
      <c r="E52" s="107"/>
      <c r="F52" s="108"/>
      <c r="G52" s="109"/>
      <c r="H52" s="65">
        <v>46</v>
      </c>
      <c r="J52" s="65">
        <v>44</v>
      </c>
      <c r="K52" s="106"/>
      <c r="L52" s="108"/>
      <c r="M52" s="106" t="s">
        <v>61</v>
      </c>
      <c r="N52" s="107"/>
      <c r="O52" s="108"/>
      <c r="P52" s="109">
        <v>29.164714285714286</v>
      </c>
      <c r="Q52" s="65">
        <v>46</v>
      </c>
      <c r="S52" s="65">
        <v>46</v>
      </c>
      <c r="T52" s="106"/>
      <c r="U52" s="108"/>
      <c r="V52" s="106" t="s">
        <v>61</v>
      </c>
      <c r="W52" s="107"/>
      <c r="X52" s="108"/>
      <c r="Y52" s="109">
        <v>28.997714285714281</v>
      </c>
      <c r="Z52" s="65">
        <v>46</v>
      </c>
      <c r="AB52" s="65">
        <v>46</v>
      </c>
      <c r="AC52" s="106"/>
      <c r="AD52" s="108"/>
      <c r="AE52" s="106" t="s">
        <v>61</v>
      </c>
      <c r="AF52" s="107"/>
      <c r="AG52" s="108"/>
      <c r="AH52" s="109">
        <v>0</v>
      </c>
      <c r="AI52" s="65">
        <v>46</v>
      </c>
    </row>
    <row r="53" spans="1:98" ht="15.75" thickTop="1">
      <c r="F53" s="51">
        <f>SUM(F7:F52)</f>
        <v>857</v>
      </c>
      <c r="G53" s="51">
        <f>SUM(G7:G52)</f>
        <v>668.22564285714293</v>
      </c>
      <c r="O53" s="51">
        <f>SUM(O7:O52)</f>
        <v>907</v>
      </c>
      <c r="P53" s="51">
        <f>SUM(P7:P52)</f>
        <v>705.38064285714279</v>
      </c>
      <c r="X53" s="51">
        <f>SUM(X7:X52)</f>
        <v>902</v>
      </c>
      <c r="Y53" s="51">
        <f>SUM(Y7:Y52)</f>
        <v>624.21199999999999</v>
      </c>
      <c r="AG53" s="51">
        <f>SUM(AG7:AG52)</f>
        <v>887</v>
      </c>
      <c r="AH53" s="51">
        <f>SUM(AH7:AH52)</f>
        <v>0</v>
      </c>
    </row>
    <row r="55" spans="1:98">
      <c r="G55" s="51">
        <f>G53-F53</f>
        <v>-188.77435714285707</v>
      </c>
      <c r="P55" s="51">
        <f>P53-O53</f>
        <v>-201.61935714285721</v>
      </c>
      <c r="Y55" s="51">
        <f>Y53-X53</f>
        <v>-277.78800000000001</v>
      </c>
      <c r="AH55" s="51">
        <f>AH53-AG53</f>
        <v>-887</v>
      </c>
    </row>
    <row r="56" spans="1:98">
      <c r="F56" t="s">
        <v>617</v>
      </c>
      <c r="G56" s="51">
        <f>G57+G55*-1</f>
        <v>2948.19852857143</v>
      </c>
      <c r="O56" t="s">
        <v>617</v>
      </c>
      <c r="P56" s="51">
        <f>P57+P55*-1</f>
        <v>3149.8178857142871</v>
      </c>
      <c r="X56" t="s">
        <v>617</v>
      </c>
      <c r="Y56" s="51">
        <f>Y57+Y55*-1</f>
        <v>3427.6058857142871</v>
      </c>
      <c r="AG56" t="s">
        <v>617</v>
      </c>
      <c r="AH56" s="51">
        <f>AH57+AH55*-1</f>
        <v>4314.6058857142871</v>
      </c>
    </row>
    <row r="57" spans="1:98">
      <c r="F57" t="s">
        <v>618</v>
      </c>
      <c r="G57" s="51">
        <f>Hoja6!ET41</f>
        <v>2759.4241714285731</v>
      </c>
      <c r="O57" t="s">
        <v>618</v>
      </c>
      <c r="P57" s="51">
        <f>G56</f>
        <v>2948.19852857143</v>
      </c>
      <c r="X57" t="s">
        <v>618</v>
      </c>
      <c r="Y57" s="51">
        <f>P56</f>
        <v>3149.8178857142871</v>
      </c>
      <c r="AG57" t="s">
        <v>618</v>
      </c>
      <c r="AH57" s="51">
        <f>Y56</f>
        <v>3427.6058857142871</v>
      </c>
    </row>
    <row r="62" spans="1:98">
      <c r="B62" t="s">
        <v>285</v>
      </c>
      <c r="C62" s="267" t="s">
        <v>281</v>
      </c>
      <c r="D62" s="267"/>
      <c r="E62" s="267"/>
      <c r="F62" s="267"/>
      <c r="K62" t="s">
        <v>286</v>
      </c>
      <c r="L62" s="267" t="s">
        <v>281</v>
      </c>
      <c r="M62" s="267"/>
      <c r="N62" s="267"/>
      <c r="O62" s="267"/>
      <c r="T62" t="s">
        <v>287</v>
      </c>
      <c r="U62" s="267" t="s">
        <v>281</v>
      </c>
      <c r="V62" s="267"/>
      <c r="W62" s="267"/>
      <c r="X62" s="267"/>
      <c r="AC62" t="s">
        <v>288</v>
      </c>
      <c r="AD62" s="267" t="s">
        <v>281</v>
      </c>
      <c r="AE62" s="267"/>
      <c r="AF62" s="267"/>
      <c r="AG62" s="267"/>
      <c r="AL62" t="s">
        <v>289</v>
      </c>
      <c r="AM62" s="267" t="s">
        <v>281</v>
      </c>
      <c r="AN62" s="267"/>
      <c r="AO62" s="267"/>
      <c r="AP62" s="267"/>
      <c r="AU62" t="s">
        <v>290</v>
      </c>
      <c r="AV62" s="267" t="s">
        <v>281</v>
      </c>
      <c r="AW62" s="267"/>
      <c r="AX62" s="267"/>
      <c r="AY62" s="267"/>
      <c r="BD62" t="s">
        <v>291</v>
      </c>
      <c r="BE62" s="267" t="s">
        <v>281</v>
      </c>
      <c r="BF62" s="267"/>
      <c r="BG62" s="267"/>
      <c r="BH62" s="267"/>
      <c r="BM62" t="s">
        <v>292</v>
      </c>
      <c r="BN62" s="267" t="s">
        <v>281</v>
      </c>
      <c r="BO62" s="267"/>
      <c r="BP62" s="267"/>
      <c r="BQ62" s="267"/>
      <c r="BV62" t="s">
        <v>293</v>
      </c>
      <c r="BW62" s="267" t="s">
        <v>281</v>
      </c>
      <c r="BX62" s="267"/>
      <c r="BY62" s="267"/>
      <c r="BZ62" s="267"/>
      <c r="CE62" t="s">
        <v>294</v>
      </c>
      <c r="CF62" s="267" t="s">
        <v>281</v>
      </c>
      <c r="CG62" s="267"/>
      <c r="CH62" s="267"/>
      <c r="CI62" s="267"/>
      <c r="CN62" t="s">
        <v>295</v>
      </c>
      <c r="CO62" s="267" t="s">
        <v>281</v>
      </c>
      <c r="CP62" s="267"/>
      <c r="CQ62" s="267"/>
      <c r="CR62" s="267"/>
    </row>
    <row r="63" spans="1:98" ht="15.75" thickBot="1"/>
    <row r="64" spans="1:98" ht="15.75" thickTop="1">
      <c r="A64" s="54"/>
      <c r="B64" s="110"/>
      <c r="C64" s="111"/>
      <c r="D64" s="110"/>
      <c r="E64" s="111"/>
      <c r="F64" s="112"/>
      <c r="G64" s="113"/>
      <c r="H64" s="54"/>
      <c r="J64" s="54"/>
      <c r="K64" s="110"/>
      <c r="L64" s="111"/>
      <c r="M64" s="110"/>
      <c r="N64" s="111"/>
      <c r="O64" s="112"/>
      <c r="P64" s="113"/>
      <c r="Q64" s="54"/>
      <c r="S64" s="54"/>
      <c r="T64" s="110"/>
      <c r="U64" s="111"/>
      <c r="V64" s="110"/>
      <c r="W64" s="111"/>
      <c r="X64" s="112"/>
      <c r="Y64" s="113"/>
      <c r="Z64" s="54"/>
      <c r="AB64" s="54"/>
      <c r="AC64" s="110"/>
      <c r="AD64" s="111"/>
      <c r="AE64" s="110"/>
      <c r="AF64" s="111"/>
      <c r="AG64" s="112"/>
      <c r="AH64" s="113"/>
      <c r="AI64" s="54"/>
      <c r="AK64" s="54"/>
      <c r="AL64" s="110"/>
      <c r="AM64" s="111"/>
      <c r="AN64" s="110"/>
      <c r="AO64" s="111"/>
      <c r="AP64" s="112"/>
      <c r="AQ64" s="113"/>
      <c r="AR64" s="54"/>
      <c r="AT64" s="54"/>
      <c r="AU64" s="110"/>
      <c r="AV64" s="111"/>
      <c r="AW64" s="110"/>
      <c r="AX64" s="111"/>
      <c r="AY64" s="112"/>
      <c r="AZ64" s="113"/>
      <c r="BA64" s="54"/>
      <c r="BC64" s="54"/>
      <c r="BD64" s="110"/>
      <c r="BE64" s="111"/>
      <c r="BF64" s="110"/>
      <c r="BG64" s="111"/>
      <c r="BH64" s="112"/>
      <c r="BI64" s="113"/>
      <c r="BJ64" s="54"/>
      <c r="BL64" s="54"/>
      <c r="BM64" s="110"/>
      <c r="BN64" s="111"/>
      <c r="BO64" s="110"/>
      <c r="BP64" s="111"/>
      <c r="BQ64" s="112"/>
      <c r="BR64" s="113"/>
      <c r="BS64" s="54"/>
      <c r="BU64" s="54"/>
      <c r="BV64" s="110"/>
      <c r="BW64" s="111"/>
      <c r="BX64" s="110"/>
      <c r="BY64" s="111"/>
      <c r="BZ64" s="112"/>
      <c r="CA64" s="113"/>
      <c r="CB64" s="54"/>
      <c r="CD64" s="54"/>
      <c r="CE64" s="110"/>
      <c r="CF64" s="111"/>
      <c r="CG64" s="110"/>
      <c r="CH64" s="111"/>
      <c r="CI64" s="112"/>
      <c r="CJ64" s="113"/>
      <c r="CK64" s="54"/>
      <c r="CM64" s="54"/>
      <c r="CN64" s="110"/>
      <c r="CO64" s="111"/>
      <c r="CP64" s="110"/>
      <c r="CQ64" s="111"/>
      <c r="CR64" s="112"/>
      <c r="CS64" s="113"/>
      <c r="CT64" s="54"/>
    </row>
    <row r="65" spans="1:98">
      <c r="A65" s="54"/>
      <c r="B65" s="274" t="s">
        <v>79</v>
      </c>
      <c r="C65" s="275"/>
      <c r="D65" s="274" t="s">
        <v>77</v>
      </c>
      <c r="E65" s="275"/>
      <c r="F65" s="114" t="s">
        <v>282</v>
      </c>
      <c r="G65" s="115" t="s">
        <v>283</v>
      </c>
      <c r="H65" s="54"/>
      <c r="J65" s="54"/>
      <c r="K65" s="274" t="s">
        <v>79</v>
      </c>
      <c r="L65" s="275"/>
      <c r="M65" s="274" t="s">
        <v>77</v>
      </c>
      <c r="N65" s="275"/>
      <c r="O65" s="114" t="s">
        <v>282</v>
      </c>
      <c r="P65" s="115" t="s">
        <v>283</v>
      </c>
      <c r="Q65" s="54"/>
      <c r="S65" s="54"/>
      <c r="T65" s="274" t="s">
        <v>79</v>
      </c>
      <c r="U65" s="275"/>
      <c r="V65" s="274" t="s">
        <v>77</v>
      </c>
      <c r="W65" s="275"/>
      <c r="X65" s="114" t="s">
        <v>282</v>
      </c>
      <c r="Y65" s="115" t="s">
        <v>283</v>
      </c>
      <c r="Z65" s="54"/>
      <c r="AB65" s="54"/>
      <c r="AC65" s="274" t="s">
        <v>79</v>
      </c>
      <c r="AD65" s="275"/>
      <c r="AE65" s="274" t="s">
        <v>77</v>
      </c>
      <c r="AF65" s="275"/>
      <c r="AG65" s="114" t="s">
        <v>282</v>
      </c>
      <c r="AH65" s="115" t="s">
        <v>283</v>
      </c>
      <c r="AI65" s="54"/>
      <c r="AK65" s="54"/>
      <c r="AL65" s="274" t="s">
        <v>79</v>
      </c>
      <c r="AM65" s="275"/>
      <c r="AN65" s="274" t="s">
        <v>77</v>
      </c>
      <c r="AO65" s="275"/>
      <c r="AP65" s="114" t="s">
        <v>282</v>
      </c>
      <c r="AQ65" s="115" t="s">
        <v>283</v>
      </c>
      <c r="AR65" s="54"/>
      <c r="AT65" s="54"/>
      <c r="AU65" s="274" t="s">
        <v>79</v>
      </c>
      <c r="AV65" s="275"/>
      <c r="AW65" s="274" t="s">
        <v>77</v>
      </c>
      <c r="AX65" s="275"/>
      <c r="AY65" s="114" t="s">
        <v>282</v>
      </c>
      <c r="AZ65" s="115" t="s">
        <v>283</v>
      </c>
      <c r="BA65" s="54"/>
      <c r="BC65" s="54"/>
      <c r="BD65" s="274" t="s">
        <v>79</v>
      </c>
      <c r="BE65" s="275"/>
      <c r="BF65" s="274" t="s">
        <v>77</v>
      </c>
      <c r="BG65" s="275"/>
      <c r="BH65" s="114" t="s">
        <v>282</v>
      </c>
      <c r="BI65" s="115" t="s">
        <v>283</v>
      </c>
      <c r="BJ65" s="54"/>
      <c r="BL65" s="54"/>
      <c r="BM65" s="274" t="s">
        <v>79</v>
      </c>
      <c r="BN65" s="275"/>
      <c r="BO65" s="274" t="s">
        <v>77</v>
      </c>
      <c r="BP65" s="275"/>
      <c r="BQ65" s="114" t="s">
        <v>282</v>
      </c>
      <c r="BR65" s="115" t="s">
        <v>283</v>
      </c>
      <c r="BS65" s="54"/>
      <c r="BU65" s="54"/>
      <c r="BV65" s="274" t="s">
        <v>79</v>
      </c>
      <c r="BW65" s="275"/>
      <c r="BX65" s="274" t="s">
        <v>77</v>
      </c>
      <c r="BY65" s="275"/>
      <c r="BZ65" s="114" t="s">
        <v>282</v>
      </c>
      <c r="CA65" s="115" t="s">
        <v>283</v>
      </c>
      <c r="CB65" s="54"/>
      <c r="CD65" s="54"/>
      <c r="CE65" s="274" t="s">
        <v>79</v>
      </c>
      <c r="CF65" s="275"/>
      <c r="CG65" s="274" t="s">
        <v>77</v>
      </c>
      <c r="CH65" s="275"/>
      <c r="CI65" s="114" t="s">
        <v>282</v>
      </c>
      <c r="CJ65" s="115" t="s">
        <v>283</v>
      </c>
      <c r="CK65" s="54"/>
      <c r="CM65" s="54"/>
      <c r="CN65" s="274" t="s">
        <v>79</v>
      </c>
      <c r="CO65" s="275"/>
      <c r="CP65" s="274" t="s">
        <v>77</v>
      </c>
      <c r="CQ65" s="275"/>
      <c r="CR65" s="114" t="s">
        <v>282</v>
      </c>
      <c r="CS65" s="115" t="s">
        <v>283</v>
      </c>
      <c r="CT65" s="54"/>
    </row>
    <row r="66" spans="1:98" ht="15.75" thickBot="1">
      <c r="A66" s="54"/>
      <c r="B66" s="116"/>
      <c r="C66" s="117"/>
      <c r="D66" s="116"/>
      <c r="E66" s="117"/>
      <c r="F66" s="118"/>
      <c r="G66" s="119"/>
      <c r="H66" s="54"/>
      <c r="J66" s="54"/>
      <c r="K66" s="116"/>
      <c r="L66" s="117"/>
      <c r="M66" s="116"/>
      <c r="N66" s="117"/>
      <c r="O66" s="118"/>
      <c r="P66" s="119"/>
      <c r="Q66" s="54"/>
      <c r="S66" s="54"/>
      <c r="T66" s="116"/>
      <c r="U66" s="117"/>
      <c r="V66" s="116"/>
      <c r="W66" s="117"/>
      <c r="X66" s="118"/>
      <c r="Y66" s="119"/>
      <c r="Z66" s="54"/>
      <c r="AB66" s="54"/>
      <c r="AC66" s="116"/>
      <c r="AD66" s="117"/>
      <c r="AE66" s="116"/>
      <c r="AF66" s="117"/>
      <c r="AG66" s="118"/>
      <c r="AH66" s="119"/>
      <c r="AI66" s="54"/>
      <c r="AK66" s="54"/>
      <c r="AL66" s="116"/>
      <c r="AM66" s="117"/>
      <c r="AN66" s="116"/>
      <c r="AO66" s="117"/>
      <c r="AP66" s="118"/>
      <c r="AQ66" s="119"/>
      <c r="AR66" s="54"/>
      <c r="AT66" s="54"/>
      <c r="AU66" s="116"/>
      <c r="AV66" s="117"/>
      <c r="AW66" s="116"/>
      <c r="AX66" s="117"/>
      <c r="AY66" s="118"/>
      <c r="AZ66" s="119"/>
      <c r="BA66" s="54"/>
      <c r="BC66" s="54"/>
      <c r="BD66" s="116"/>
      <c r="BE66" s="117"/>
      <c r="BF66" s="116"/>
      <c r="BG66" s="117"/>
      <c r="BH66" s="118"/>
      <c r="BI66" s="119"/>
      <c r="BJ66" s="54"/>
      <c r="BL66" s="54"/>
      <c r="BM66" s="116"/>
      <c r="BN66" s="117"/>
      <c r="BO66" s="116"/>
      <c r="BP66" s="117"/>
      <c r="BQ66" s="118"/>
      <c r="BR66" s="119"/>
      <c r="BS66" s="54"/>
      <c r="BU66" s="54"/>
      <c r="BV66" s="116"/>
      <c r="BW66" s="117"/>
      <c r="BX66" s="116"/>
      <c r="BY66" s="117"/>
      <c r="BZ66" s="118"/>
      <c r="CA66" s="119"/>
      <c r="CB66" s="54"/>
      <c r="CD66" s="54"/>
      <c r="CE66" s="116"/>
      <c r="CF66" s="117"/>
      <c r="CG66" s="116"/>
      <c r="CH66" s="117"/>
      <c r="CI66" s="118"/>
      <c r="CJ66" s="119"/>
      <c r="CK66" s="54"/>
      <c r="CM66" s="54"/>
      <c r="CN66" s="116"/>
      <c r="CO66" s="117"/>
      <c r="CP66" s="116"/>
      <c r="CQ66" s="117"/>
      <c r="CR66" s="118"/>
      <c r="CS66" s="119"/>
      <c r="CT66" s="54"/>
    </row>
    <row r="67" spans="1:98" ht="15.75" thickTop="1">
      <c r="A67" s="65">
        <v>1</v>
      </c>
      <c r="B67" s="120"/>
      <c r="C67" s="121"/>
      <c r="D67" s="122" t="s">
        <v>84</v>
      </c>
      <c r="E67" s="123"/>
      <c r="F67" s="124">
        <v>0</v>
      </c>
      <c r="G67" s="125"/>
      <c r="H67" s="65">
        <v>1</v>
      </c>
      <c r="J67" s="65">
        <v>1</v>
      </c>
      <c r="K67" s="120"/>
      <c r="L67" s="121"/>
      <c r="M67" s="122" t="s">
        <v>84</v>
      </c>
      <c r="N67" s="123"/>
      <c r="O67" s="124">
        <v>800000</v>
      </c>
      <c r="P67" s="125"/>
      <c r="Q67" s="65">
        <v>1</v>
      </c>
      <c r="S67" s="65">
        <v>1</v>
      </c>
      <c r="T67" s="120"/>
      <c r="U67" s="121"/>
      <c r="V67" s="122" t="s">
        <v>84</v>
      </c>
      <c r="W67" s="123"/>
      <c r="X67" s="124">
        <v>1308000</v>
      </c>
      <c r="Y67" s="125"/>
      <c r="Z67" s="65">
        <v>1</v>
      </c>
      <c r="AB67" s="65">
        <v>1</v>
      </c>
      <c r="AC67" s="120"/>
      <c r="AD67" s="121"/>
      <c r="AE67" s="122" t="s">
        <v>84</v>
      </c>
      <c r="AF67" s="123"/>
      <c r="AG67" s="124">
        <v>1308000</v>
      </c>
      <c r="AH67" s="125"/>
      <c r="AI67" s="65">
        <v>1</v>
      </c>
      <c r="AK67" s="65">
        <v>1</v>
      </c>
      <c r="AL67" s="120"/>
      <c r="AM67" s="121"/>
      <c r="AN67" s="122" t="s">
        <v>84</v>
      </c>
      <c r="AO67" s="123"/>
      <c r="AP67" s="124">
        <v>2555000</v>
      </c>
      <c r="AQ67" s="125"/>
      <c r="AR67" s="65">
        <v>1</v>
      </c>
      <c r="AT67" s="65">
        <v>1</v>
      </c>
      <c r="AU67" s="120"/>
      <c r="AV67" s="121"/>
      <c r="AW67" s="122" t="s">
        <v>84</v>
      </c>
      <c r="AX67" s="123"/>
      <c r="AY67" s="124">
        <v>2555000</v>
      </c>
      <c r="AZ67" s="125"/>
      <c r="BA67" s="65">
        <v>1</v>
      </c>
      <c r="BC67" s="65">
        <v>1</v>
      </c>
      <c r="BD67" s="120"/>
      <c r="BE67" s="121"/>
      <c r="BF67" s="122" t="s">
        <v>84</v>
      </c>
      <c r="BG67" s="123"/>
      <c r="BH67" s="124">
        <v>5196000</v>
      </c>
      <c r="BI67" s="125"/>
      <c r="BJ67" s="65">
        <v>1</v>
      </c>
      <c r="BL67" s="65">
        <v>1</v>
      </c>
      <c r="BM67" s="120"/>
      <c r="BN67" s="121"/>
      <c r="BO67" s="122" t="s">
        <v>84</v>
      </c>
      <c r="BP67" s="123"/>
      <c r="BQ67" s="124">
        <v>1308000</v>
      </c>
      <c r="BR67" s="125"/>
      <c r="BS67" s="65">
        <v>1</v>
      </c>
      <c r="BU67" s="65">
        <v>1</v>
      </c>
      <c r="BV67" s="120"/>
      <c r="BW67" s="121"/>
      <c r="BX67" s="122" t="s">
        <v>84</v>
      </c>
      <c r="BY67" s="123"/>
      <c r="BZ67" s="124">
        <v>1308000</v>
      </c>
      <c r="CA67" s="125"/>
      <c r="CB67" s="65">
        <v>1</v>
      </c>
      <c r="CD67" s="65">
        <v>1</v>
      </c>
      <c r="CE67" s="120"/>
      <c r="CF67" s="121"/>
      <c r="CG67" s="122" t="s">
        <v>84</v>
      </c>
      <c r="CH67" s="123"/>
      <c r="CI67" s="124">
        <v>1308000</v>
      </c>
      <c r="CJ67" s="125"/>
      <c r="CK67" s="65">
        <v>1</v>
      </c>
      <c r="CM67" s="65">
        <v>1</v>
      </c>
      <c r="CN67" s="120"/>
      <c r="CO67" s="121"/>
      <c r="CP67" s="122" t="s">
        <v>84</v>
      </c>
      <c r="CQ67" s="123"/>
      <c r="CR67" s="124">
        <v>1308000</v>
      </c>
      <c r="CS67" s="125"/>
      <c r="CT67" s="65">
        <v>1</v>
      </c>
    </row>
    <row r="68" spans="1:98">
      <c r="A68" s="65">
        <v>2</v>
      </c>
      <c r="B68" s="126"/>
      <c r="C68" s="127"/>
      <c r="D68" s="128" t="s">
        <v>88</v>
      </c>
      <c r="E68" s="129"/>
      <c r="F68" s="130">
        <v>0</v>
      </c>
      <c r="G68" s="129"/>
      <c r="H68" s="65">
        <v>2</v>
      </c>
      <c r="J68" s="65">
        <v>2</v>
      </c>
      <c r="K68" s="126"/>
      <c r="L68" s="127"/>
      <c r="M68" s="128" t="s">
        <v>88</v>
      </c>
      <c r="N68" s="129"/>
      <c r="O68" s="130">
        <v>360000</v>
      </c>
      <c r="P68" s="129"/>
      <c r="Q68" s="65">
        <v>2</v>
      </c>
      <c r="S68" s="65">
        <v>2</v>
      </c>
      <c r="T68" s="126"/>
      <c r="U68" s="127"/>
      <c r="V68" s="128" t="s">
        <v>88</v>
      </c>
      <c r="W68" s="129"/>
      <c r="X68" s="130">
        <v>519999.99</v>
      </c>
      <c r="Y68" s="129"/>
      <c r="Z68" s="65">
        <v>2</v>
      </c>
      <c r="AB68" s="65">
        <v>2</v>
      </c>
      <c r="AC68" s="126"/>
      <c r="AD68" s="127"/>
      <c r="AE68" s="128" t="s">
        <v>88</v>
      </c>
      <c r="AF68" s="129"/>
      <c r="AG68" s="130">
        <v>520000</v>
      </c>
      <c r="AH68" s="129"/>
      <c r="AI68" s="65">
        <v>2</v>
      </c>
      <c r="AK68" s="65">
        <v>2</v>
      </c>
      <c r="AL68" s="126"/>
      <c r="AM68" s="127"/>
      <c r="AN68" s="128" t="s">
        <v>88</v>
      </c>
      <c r="AO68" s="129"/>
      <c r="AP68" s="130">
        <v>2540000</v>
      </c>
      <c r="AQ68" s="129"/>
      <c r="AR68" s="65">
        <v>2</v>
      </c>
      <c r="AT68" s="65">
        <v>2</v>
      </c>
      <c r="AU68" s="126"/>
      <c r="AV68" s="127"/>
      <c r="AW68" s="128" t="s">
        <v>88</v>
      </c>
      <c r="AX68" s="129"/>
      <c r="AY68" s="130">
        <v>4300000</v>
      </c>
      <c r="AZ68" s="129"/>
      <c r="BA68" s="65">
        <v>2</v>
      </c>
      <c r="BC68" s="65">
        <v>2</v>
      </c>
      <c r="BD68" s="126"/>
      <c r="BE68" s="127"/>
      <c r="BF68" s="128" t="s">
        <v>88</v>
      </c>
      <c r="BG68" s="129"/>
      <c r="BH68" s="130">
        <v>3100000</v>
      </c>
      <c r="BI68" s="129"/>
      <c r="BJ68" s="65">
        <v>2</v>
      </c>
      <c r="BL68" s="65">
        <v>2</v>
      </c>
      <c r="BM68" s="126"/>
      <c r="BN68" s="127"/>
      <c r="BO68" s="128" t="s">
        <v>88</v>
      </c>
      <c r="BP68" s="129"/>
      <c r="BQ68" s="130">
        <v>519999.99</v>
      </c>
      <c r="BR68" s="129"/>
      <c r="BS68" s="65">
        <v>2</v>
      </c>
      <c r="BU68" s="65">
        <v>2</v>
      </c>
      <c r="BV68" s="126"/>
      <c r="BW68" s="127"/>
      <c r="BX68" s="128" t="s">
        <v>88</v>
      </c>
      <c r="BY68" s="129"/>
      <c r="BZ68" s="130">
        <v>519999.99</v>
      </c>
      <c r="CA68" s="129"/>
      <c r="CB68" s="65">
        <v>2</v>
      </c>
      <c r="CD68" s="65">
        <v>2</v>
      </c>
      <c r="CE68" s="126"/>
      <c r="CF68" s="127"/>
      <c r="CG68" s="128" t="s">
        <v>88</v>
      </c>
      <c r="CH68" s="129"/>
      <c r="CI68" s="130">
        <v>519999.99</v>
      </c>
      <c r="CJ68" s="129"/>
      <c r="CK68" s="65">
        <v>2</v>
      </c>
      <c r="CM68" s="65">
        <v>2</v>
      </c>
      <c r="CN68" s="126"/>
      <c r="CO68" s="127"/>
      <c r="CP68" s="128" t="s">
        <v>88</v>
      </c>
      <c r="CQ68" s="129"/>
      <c r="CR68" s="130">
        <v>519999.99</v>
      </c>
      <c r="CS68" s="129"/>
      <c r="CT68" s="65">
        <v>2</v>
      </c>
    </row>
    <row r="69" spans="1:98">
      <c r="A69" s="65">
        <v>3</v>
      </c>
      <c r="B69" s="126"/>
      <c r="C69" s="127"/>
      <c r="D69" s="128" t="s">
        <v>92</v>
      </c>
      <c r="E69" s="129"/>
      <c r="F69" s="131">
        <v>4000</v>
      </c>
      <c r="G69" s="129"/>
      <c r="H69" s="65">
        <v>3</v>
      </c>
      <c r="J69" s="65">
        <v>3</v>
      </c>
      <c r="K69" s="126"/>
      <c r="L69" s="127"/>
      <c r="M69" s="128" t="s">
        <v>92</v>
      </c>
      <c r="N69" s="129"/>
      <c r="O69" s="131">
        <v>4000</v>
      </c>
      <c r="P69" s="129"/>
      <c r="Q69" s="65">
        <v>3</v>
      </c>
      <c r="S69" s="65">
        <v>3</v>
      </c>
      <c r="T69" s="126"/>
      <c r="U69" s="127"/>
      <c r="V69" s="128" t="s">
        <v>92</v>
      </c>
      <c r="W69" s="129"/>
      <c r="X69" s="131">
        <v>4000</v>
      </c>
      <c r="Y69" s="129"/>
      <c r="Z69" s="65">
        <v>3</v>
      </c>
      <c r="AB69" s="65">
        <v>3</v>
      </c>
      <c r="AC69" s="126"/>
      <c r="AD69" s="127"/>
      <c r="AE69" s="128" t="s">
        <v>92</v>
      </c>
      <c r="AF69" s="129"/>
      <c r="AG69" s="131">
        <v>3339.8</v>
      </c>
      <c r="AH69" s="129"/>
      <c r="AI69" s="65">
        <v>3</v>
      </c>
      <c r="AK69" s="65">
        <v>3</v>
      </c>
      <c r="AL69" s="126"/>
      <c r="AM69" s="127"/>
      <c r="AN69" s="128" t="s">
        <v>92</v>
      </c>
      <c r="AO69" s="129"/>
      <c r="AP69" s="131">
        <v>3175.18</v>
      </c>
      <c r="AQ69" s="129"/>
      <c r="AR69" s="65">
        <v>3</v>
      </c>
      <c r="AT69" s="65">
        <v>3</v>
      </c>
      <c r="AU69" s="126"/>
      <c r="AV69" s="127"/>
      <c r="AW69" s="128" t="s">
        <v>92</v>
      </c>
      <c r="AX69" s="129"/>
      <c r="AY69" s="131">
        <v>3347.7</v>
      </c>
      <c r="AZ69" s="129"/>
      <c r="BA69" s="65">
        <v>3</v>
      </c>
      <c r="BC69" s="65">
        <v>3</v>
      </c>
      <c r="BD69" s="126"/>
      <c r="BE69" s="127"/>
      <c r="BF69" s="128" t="s">
        <v>92</v>
      </c>
      <c r="BG69" s="129"/>
      <c r="BH69" s="131">
        <v>3374</v>
      </c>
      <c r="BI69" s="129"/>
      <c r="BJ69" s="65">
        <v>3</v>
      </c>
      <c r="BL69" s="65">
        <v>3</v>
      </c>
      <c r="BM69" s="126"/>
      <c r="BN69" s="127"/>
      <c r="BO69" s="128" t="s">
        <v>92</v>
      </c>
      <c r="BP69" s="129"/>
      <c r="BQ69" s="131">
        <v>4000</v>
      </c>
      <c r="BR69" s="129"/>
      <c r="BS69" s="65">
        <v>3</v>
      </c>
      <c r="BU69" s="65">
        <v>3</v>
      </c>
      <c r="BV69" s="126"/>
      <c r="BW69" s="127"/>
      <c r="BX69" s="128" t="s">
        <v>92</v>
      </c>
      <c r="BY69" s="129"/>
      <c r="BZ69" s="131">
        <v>4000</v>
      </c>
      <c r="CA69" s="129"/>
      <c r="CB69" s="65">
        <v>3</v>
      </c>
      <c r="CD69" s="65">
        <v>3</v>
      </c>
      <c r="CE69" s="126"/>
      <c r="CF69" s="127"/>
      <c r="CG69" s="128" t="s">
        <v>92</v>
      </c>
      <c r="CH69" s="129"/>
      <c r="CI69" s="131">
        <v>4000</v>
      </c>
      <c r="CJ69" s="129"/>
      <c r="CK69" s="65">
        <v>3</v>
      </c>
      <c r="CM69" s="65">
        <v>3</v>
      </c>
      <c r="CN69" s="126"/>
      <c r="CO69" s="127"/>
      <c r="CP69" s="128" t="s">
        <v>92</v>
      </c>
      <c r="CQ69" s="129"/>
      <c r="CR69" s="131">
        <v>4000</v>
      </c>
      <c r="CS69" s="129"/>
      <c r="CT69" s="65">
        <v>3</v>
      </c>
    </row>
    <row r="70" spans="1:98">
      <c r="A70" s="65">
        <v>4</v>
      </c>
      <c r="B70" s="132"/>
      <c r="C70" s="133"/>
      <c r="D70" s="134" t="s">
        <v>95</v>
      </c>
      <c r="E70" s="135"/>
      <c r="F70" s="136">
        <v>0</v>
      </c>
      <c r="G70" s="135"/>
      <c r="H70" s="65">
        <v>4</v>
      </c>
      <c r="J70" s="65">
        <v>4</v>
      </c>
      <c r="K70" s="132"/>
      <c r="L70" s="133"/>
      <c r="M70" s="134" t="s">
        <v>95</v>
      </c>
      <c r="N70" s="135"/>
      <c r="O70" s="136">
        <v>0</v>
      </c>
      <c r="P70" s="135"/>
      <c r="Q70" s="65">
        <v>4</v>
      </c>
      <c r="S70" s="65">
        <v>4</v>
      </c>
      <c r="T70" s="132"/>
      <c r="U70" s="133"/>
      <c r="V70" s="134" t="s">
        <v>95</v>
      </c>
      <c r="W70" s="135"/>
      <c r="X70" s="136">
        <v>48000</v>
      </c>
      <c r="Y70" s="135"/>
      <c r="Z70" s="65">
        <v>4</v>
      </c>
      <c r="AB70" s="65">
        <v>4</v>
      </c>
      <c r="AC70" s="132"/>
      <c r="AD70" s="133"/>
      <c r="AE70" s="134" t="s">
        <v>95</v>
      </c>
      <c r="AF70" s="135"/>
      <c r="AG70" s="136">
        <v>0</v>
      </c>
      <c r="AH70" s="135"/>
      <c r="AI70" s="65">
        <v>4</v>
      </c>
      <c r="AK70" s="65">
        <v>4</v>
      </c>
      <c r="AL70" s="132"/>
      <c r="AM70" s="133"/>
      <c r="AN70" s="134" t="s">
        <v>95</v>
      </c>
      <c r="AO70" s="135"/>
      <c r="AP70" s="136">
        <v>35738</v>
      </c>
      <c r="AQ70" s="135"/>
      <c r="AR70" s="65">
        <v>4</v>
      </c>
      <c r="AT70" s="65">
        <v>4</v>
      </c>
      <c r="AU70" s="132"/>
      <c r="AV70" s="133"/>
      <c r="AW70" s="134" t="s">
        <v>95</v>
      </c>
      <c r="AX70" s="135"/>
      <c r="AY70" s="136">
        <v>0</v>
      </c>
      <c r="AZ70" s="135"/>
      <c r="BA70" s="65">
        <v>4</v>
      </c>
      <c r="BC70" s="65">
        <v>4</v>
      </c>
      <c r="BD70" s="132"/>
      <c r="BE70" s="133"/>
      <c r="BF70" s="134" t="s">
        <v>95</v>
      </c>
      <c r="BG70" s="135"/>
      <c r="BH70" s="136">
        <v>0</v>
      </c>
      <c r="BI70" s="135"/>
      <c r="BJ70" s="65">
        <v>4</v>
      </c>
      <c r="BL70" s="65">
        <v>4</v>
      </c>
      <c r="BM70" s="132"/>
      <c r="BN70" s="133"/>
      <c r="BO70" s="134" t="s">
        <v>95</v>
      </c>
      <c r="BP70" s="135"/>
      <c r="BQ70" s="136">
        <v>48000</v>
      </c>
      <c r="BR70" s="135"/>
      <c r="BS70" s="65">
        <v>4</v>
      </c>
      <c r="BU70" s="65">
        <v>4</v>
      </c>
      <c r="BV70" s="132"/>
      <c r="BW70" s="133"/>
      <c r="BX70" s="134" t="s">
        <v>95</v>
      </c>
      <c r="BY70" s="135"/>
      <c r="BZ70" s="136">
        <v>48000</v>
      </c>
      <c r="CA70" s="135"/>
      <c r="CB70" s="65">
        <v>4</v>
      </c>
      <c r="CD70" s="65">
        <v>4</v>
      </c>
      <c r="CE70" s="132"/>
      <c r="CF70" s="133"/>
      <c r="CG70" s="134" t="s">
        <v>95</v>
      </c>
      <c r="CH70" s="135"/>
      <c r="CI70" s="136">
        <v>48000</v>
      </c>
      <c r="CJ70" s="135"/>
      <c r="CK70" s="65">
        <v>4</v>
      </c>
      <c r="CM70" s="65">
        <v>4</v>
      </c>
      <c r="CN70" s="132"/>
      <c r="CO70" s="133"/>
      <c r="CP70" s="134" t="s">
        <v>95</v>
      </c>
      <c r="CQ70" s="135"/>
      <c r="CR70" s="136">
        <v>48000</v>
      </c>
      <c r="CS70" s="135"/>
      <c r="CT70" s="65">
        <v>4</v>
      </c>
    </row>
    <row r="71" spans="1:98" ht="15.75" thickBot="1">
      <c r="A71" s="65">
        <v>5</v>
      </c>
      <c r="B71" s="132"/>
      <c r="C71" s="133"/>
      <c r="D71" s="134" t="s">
        <v>100</v>
      </c>
      <c r="E71" s="135"/>
      <c r="F71" s="137">
        <v>13701</v>
      </c>
      <c r="G71" s="138"/>
      <c r="H71" s="65">
        <v>5</v>
      </c>
      <c r="J71" s="65">
        <v>5</v>
      </c>
      <c r="K71" s="132"/>
      <c r="L71" s="133"/>
      <c r="M71" s="134" t="s">
        <v>100</v>
      </c>
      <c r="N71" s="135"/>
      <c r="O71" s="137">
        <v>2500</v>
      </c>
      <c r="P71" s="138"/>
      <c r="Q71" s="65">
        <v>5</v>
      </c>
      <c r="S71" s="65">
        <v>5</v>
      </c>
      <c r="T71" s="132"/>
      <c r="U71" s="133"/>
      <c r="V71" s="134" t="s">
        <v>100</v>
      </c>
      <c r="W71" s="135"/>
      <c r="X71" s="137">
        <v>10000</v>
      </c>
      <c r="Y71" s="138"/>
      <c r="Z71" s="65">
        <v>5</v>
      </c>
      <c r="AB71" s="65">
        <v>5</v>
      </c>
      <c r="AC71" s="132"/>
      <c r="AD71" s="133"/>
      <c r="AE71" s="134" t="s">
        <v>100</v>
      </c>
      <c r="AF71" s="135"/>
      <c r="AG71" s="137">
        <v>6500</v>
      </c>
      <c r="AH71" s="138"/>
      <c r="AI71" s="65">
        <v>5</v>
      </c>
      <c r="AK71" s="65">
        <v>5</v>
      </c>
      <c r="AL71" s="132"/>
      <c r="AM71" s="133"/>
      <c r="AN71" s="134" t="s">
        <v>100</v>
      </c>
      <c r="AO71" s="135"/>
      <c r="AP71" s="137">
        <v>232000</v>
      </c>
      <c r="AQ71" s="138"/>
      <c r="AR71" s="65">
        <v>5</v>
      </c>
      <c r="AT71" s="65">
        <v>5</v>
      </c>
      <c r="AU71" s="132"/>
      <c r="AV71" s="133"/>
      <c r="AW71" s="134" t="s">
        <v>100</v>
      </c>
      <c r="AX71" s="135"/>
      <c r="AY71" s="137">
        <v>100000</v>
      </c>
      <c r="AZ71" s="138"/>
      <c r="BA71" s="65">
        <v>5</v>
      </c>
      <c r="BC71" s="65">
        <v>5</v>
      </c>
      <c r="BD71" s="132"/>
      <c r="BE71" s="133"/>
      <c r="BF71" s="134" t="s">
        <v>100</v>
      </c>
      <c r="BG71" s="135"/>
      <c r="BH71" s="137">
        <v>0</v>
      </c>
      <c r="BI71" s="138"/>
      <c r="BJ71" s="65">
        <v>5</v>
      </c>
      <c r="BL71" s="65">
        <v>5</v>
      </c>
      <c r="BM71" s="132"/>
      <c r="BN71" s="133"/>
      <c r="BO71" s="134" t="s">
        <v>100</v>
      </c>
      <c r="BP71" s="135"/>
      <c r="BQ71" s="137">
        <v>10000</v>
      </c>
      <c r="BR71" s="138"/>
      <c r="BS71" s="65">
        <v>5</v>
      </c>
      <c r="BU71" s="65">
        <v>5</v>
      </c>
      <c r="BV71" s="132"/>
      <c r="BW71" s="133"/>
      <c r="BX71" s="134" t="s">
        <v>100</v>
      </c>
      <c r="BY71" s="135"/>
      <c r="BZ71" s="137">
        <v>10000</v>
      </c>
      <c r="CA71" s="138"/>
      <c r="CB71" s="65">
        <v>5</v>
      </c>
      <c r="CD71" s="65">
        <v>5</v>
      </c>
      <c r="CE71" s="132"/>
      <c r="CF71" s="133"/>
      <c r="CG71" s="134" t="s">
        <v>100</v>
      </c>
      <c r="CH71" s="135"/>
      <c r="CI71" s="137">
        <v>10000</v>
      </c>
      <c r="CJ71" s="138"/>
      <c r="CK71" s="65">
        <v>5</v>
      </c>
      <c r="CM71" s="65">
        <v>5</v>
      </c>
      <c r="CN71" s="132"/>
      <c r="CO71" s="133"/>
      <c r="CP71" s="134" t="s">
        <v>100</v>
      </c>
      <c r="CQ71" s="135"/>
      <c r="CR71" s="137">
        <v>10000</v>
      </c>
      <c r="CS71" s="138"/>
      <c r="CT71" s="65">
        <v>5</v>
      </c>
    </row>
    <row r="72" spans="1:98">
      <c r="A72" s="65">
        <v>6</v>
      </c>
      <c r="B72" s="139"/>
      <c r="C72" s="140"/>
      <c r="D72" s="141" t="s">
        <v>101</v>
      </c>
      <c r="E72" s="142"/>
      <c r="F72" s="143">
        <v>30000</v>
      </c>
      <c r="G72" s="142"/>
      <c r="H72" s="65">
        <v>6</v>
      </c>
      <c r="J72" s="65">
        <v>6</v>
      </c>
      <c r="K72" s="139"/>
      <c r="L72" s="140"/>
      <c r="M72" s="141" t="s">
        <v>101</v>
      </c>
      <c r="N72" s="142"/>
      <c r="O72" s="143">
        <v>2546.64</v>
      </c>
      <c r="P72" s="142"/>
      <c r="Q72" s="65">
        <v>6</v>
      </c>
      <c r="S72" s="65">
        <v>6</v>
      </c>
      <c r="T72" s="139"/>
      <c r="U72" s="140"/>
      <c r="V72" s="141" t="s">
        <v>101</v>
      </c>
      <c r="W72" s="142"/>
      <c r="X72" s="143">
        <v>2475.9</v>
      </c>
      <c r="Y72" s="142"/>
      <c r="Z72" s="65">
        <v>6</v>
      </c>
      <c r="AB72" s="65">
        <v>6</v>
      </c>
      <c r="AC72" s="139"/>
      <c r="AD72" s="140"/>
      <c r="AE72" s="141" t="s">
        <v>101</v>
      </c>
      <c r="AF72" s="142"/>
      <c r="AG72" s="143">
        <v>20000</v>
      </c>
      <c r="AH72" s="142"/>
      <c r="AI72" s="65">
        <v>6</v>
      </c>
      <c r="AK72" s="65">
        <v>6</v>
      </c>
      <c r="AL72" s="139"/>
      <c r="AM72" s="140"/>
      <c r="AN72" s="141" t="s">
        <v>101</v>
      </c>
      <c r="AO72" s="142"/>
      <c r="AP72" s="143">
        <v>20000</v>
      </c>
      <c r="AQ72" s="142"/>
      <c r="AR72" s="65">
        <v>6</v>
      </c>
      <c r="AT72" s="65">
        <v>6</v>
      </c>
      <c r="AU72" s="139"/>
      <c r="AV72" s="140"/>
      <c r="AW72" s="141" t="s">
        <v>101</v>
      </c>
      <c r="AX72" s="142"/>
      <c r="AY72" s="143">
        <v>40000</v>
      </c>
      <c r="AZ72" s="144"/>
      <c r="BA72" s="65">
        <v>6</v>
      </c>
      <c r="BC72" s="65">
        <v>6</v>
      </c>
      <c r="BD72" s="139"/>
      <c r="BE72" s="140"/>
      <c r="BF72" s="141" t="s">
        <v>101</v>
      </c>
      <c r="BG72" s="142"/>
      <c r="BH72" s="143">
        <v>0</v>
      </c>
      <c r="BI72" s="142"/>
      <c r="BJ72" s="65">
        <v>6</v>
      </c>
      <c r="BL72" s="65">
        <v>6</v>
      </c>
      <c r="BM72" s="139"/>
      <c r="BN72" s="140"/>
      <c r="BO72" s="141" t="s">
        <v>101</v>
      </c>
      <c r="BP72" s="142"/>
      <c r="BQ72" s="143">
        <v>2475.9</v>
      </c>
      <c r="BR72" s="142"/>
      <c r="BS72" s="65">
        <v>6</v>
      </c>
      <c r="BU72" s="65">
        <v>6</v>
      </c>
      <c r="BV72" s="139"/>
      <c r="BW72" s="140"/>
      <c r="BX72" s="141" t="s">
        <v>101</v>
      </c>
      <c r="BY72" s="142"/>
      <c r="BZ72" s="143">
        <v>2475.9</v>
      </c>
      <c r="CA72" s="142"/>
      <c r="CB72" s="65">
        <v>6</v>
      </c>
      <c r="CD72" s="65">
        <v>6</v>
      </c>
      <c r="CE72" s="139"/>
      <c r="CF72" s="140"/>
      <c r="CG72" s="141" t="s">
        <v>101</v>
      </c>
      <c r="CH72" s="142"/>
      <c r="CI72" s="143">
        <v>2475.9</v>
      </c>
      <c r="CJ72" s="142"/>
      <c r="CK72" s="65">
        <v>6</v>
      </c>
      <c r="CM72" s="65">
        <v>6</v>
      </c>
      <c r="CN72" s="139"/>
      <c r="CO72" s="140"/>
      <c r="CP72" s="141" t="s">
        <v>101</v>
      </c>
      <c r="CQ72" s="142"/>
      <c r="CR72" s="143">
        <v>2475.9</v>
      </c>
      <c r="CS72" s="142"/>
      <c r="CT72" s="65">
        <v>6</v>
      </c>
    </row>
    <row r="73" spans="1:98">
      <c r="A73" s="65">
        <v>7</v>
      </c>
      <c r="B73" s="126"/>
      <c r="C73" s="127"/>
      <c r="D73" s="128" t="s">
        <v>112</v>
      </c>
      <c r="E73" s="129"/>
      <c r="F73" s="130">
        <v>0</v>
      </c>
      <c r="G73" s="129"/>
      <c r="H73" s="65">
        <v>7</v>
      </c>
      <c r="J73" s="65">
        <v>7</v>
      </c>
      <c r="K73" s="126"/>
      <c r="L73" s="127"/>
      <c r="M73" s="128" t="s">
        <v>112</v>
      </c>
      <c r="N73" s="129"/>
      <c r="O73" s="130">
        <v>1659200</v>
      </c>
      <c r="P73" s="129"/>
      <c r="Q73" s="65">
        <v>7</v>
      </c>
      <c r="S73" s="65">
        <v>7</v>
      </c>
      <c r="T73" s="126"/>
      <c r="U73" s="127"/>
      <c r="V73" s="128" t="s">
        <v>112</v>
      </c>
      <c r="W73" s="129"/>
      <c r="X73" s="130">
        <v>440000</v>
      </c>
      <c r="Y73" s="129"/>
      <c r="Z73" s="65">
        <v>7</v>
      </c>
      <c r="AB73" s="65">
        <v>7</v>
      </c>
      <c r="AC73" s="126"/>
      <c r="AD73" s="127"/>
      <c r="AE73" s="128" t="s">
        <v>112</v>
      </c>
      <c r="AF73" s="129"/>
      <c r="AG73" s="130">
        <v>1305000</v>
      </c>
      <c r="AH73" s="129"/>
      <c r="AI73" s="65">
        <v>7</v>
      </c>
      <c r="AK73" s="65">
        <v>7</v>
      </c>
      <c r="AL73" s="126"/>
      <c r="AM73" s="127"/>
      <c r="AN73" s="128" t="s">
        <v>112</v>
      </c>
      <c r="AO73" s="129"/>
      <c r="AP73" s="130">
        <v>3372000</v>
      </c>
      <c r="AQ73" s="129"/>
      <c r="AR73" s="65">
        <v>7</v>
      </c>
      <c r="AT73" s="65">
        <v>7</v>
      </c>
      <c r="AU73" s="126"/>
      <c r="AV73" s="127"/>
      <c r="AW73" s="128" t="s">
        <v>112</v>
      </c>
      <c r="AX73" s="129"/>
      <c r="AY73" s="130">
        <v>5232000</v>
      </c>
      <c r="AZ73" s="145"/>
      <c r="BA73" s="65">
        <v>7</v>
      </c>
      <c r="BC73" s="65">
        <v>7</v>
      </c>
      <c r="BD73" s="126"/>
      <c r="BE73" s="127"/>
      <c r="BF73" s="128" t="s">
        <v>112</v>
      </c>
      <c r="BG73" s="129"/>
      <c r="BH73" s="130">
        <v>1620000</v>
      </c>
      <c r="BI73" s="129"/>
      <c r="BJ73" s="65">
        <v>7</v>
      </c>
      <c r="BL73" s="65">
        <v>7</v>
      </c>
      <c r="BM73" s="126"/>
      <c r="BN73" s="127"/>
      <c r="BO73" s="128" t="s">
        <v>112</v>
      </c>
      <c r="BP73" s="129"/>
      <c r="BQ73" s="130">
        <v>440000</v>
      </c>
      <c r="BR73" s="129"/>
      <c r="BS73" s="65">
        <v>7</v>
      </c>
      <c r="BU73" s="65">
        <v>7</v>
      </c>
      <c r="BV73" s="126"/>
      <c r="BW73" s="127"/>
      <c r="BX73" s="128" t="s">
        <v>112</v>
      </c>
      <c r="BY73" s="129"/>
      <c r="BZ73" s="130">
        <v>440000</v>
      </c>
      <c r="CA73" s="129"/>
      <c r="CB73" s="65">
        <v>7</v>
      </c>
      <c r="CD73" s="65">
        <v>7</v>
      </c>
      <c r="CE73" s="126"/>
      <c r="CF73" s="127"/>
      <c r="CG73" s="128" t="s">
        <v>112</v>
      </c>
      <c r="CH73" s="129"/>
      <c r="CI73" s="130">
        <v>440000</v>
      </c>
      <c r="CJ73" s="129"/>
      <c r="CK73" s="65">
        <v>7</v>
      </c>
      <c r="CM73" s="65">
        <v>7</v>
      </c>
      <c r="CN73" s="126"/>
      <c r="CO73" s="127"/>
      <c r="CP73" s="128" t="s">
        <v>112</v>
      </c>
      <c r="CQ73" s="129"/>
      <c r="CR73" s="130">
        <v>440000</v>
      </c>
      <c r="CS73" s="129"/>
      <c r="CT73" s="65">
        <v>7</v>
      </c>
    </row>
    <row r="74" spans="1:98">
      <c r="A74" s="65">
        <v>8</v>
      </c>
      <c r="B74" s="126"/>
      <c r="C74" s="127"/>
      <c r="D74" s="128" t="s">
        <v>114</v>
      </c>
      <c r="E74" s="129"/>
      <c r="F74" s="131">
        <v>0</v>
      </c>
      <c r="G74" s="129"/>
      <c r="H74" s="65">
        <v>8</v>
      </c>
      <c r="J74" s="65">
        <v>8</v>
      </c>
      <c r="K74" s="126"/>
      <c r="L74" s="127"/>
      <c r="M74" s="128" t="s">
        <v>12</v>
      </c>
      <c r="N74" s="129"/>
      <c r="O74" s="131"/>
      <c r="P74" s="146">
        <v>97757.012000000002</v>
      </c>
      <c r="Q74" s="65">
        <v>8</v>
      </c>
      <c r="S74" s="65">
        <v>8</v>
      </c>
      <c r="T74" s="126"/>
      <c r="U74" s="127"/>
      <c r="V74" s="128" t="s">
        <v>12</v>
      </c>
      <c r="W74" s="129"/>
      <c r="X74" s="131"/>
      <c r="Y74" s="146" t="e">
        <f>IF(#REF!="*",#REF!,"")</f>
        <v>#REF!</v>
      </c>
      <c r="Z74" s="65">
        <v>8</v>
      </c>
      <c r="AB74" s="65">
        <v>8</v>
      </c>
      <c r="AC74" s="126"/>
      <c r="AD74" s="127"/>
      <c r="AE74" s="128" t="s">
        <v>132</v>
      </c>
      <c r="AF74" s="129"/>
      <c r="AG74" s="131">
        <v>160476.8705022831</v>
      </c>
      <c r="AH74" s="146"/>
      <c r="AI74" s="65">
        <v>8</v>
      </c>
      <c r="AK74" s="65">
        <v>8</v>
      </c>
      <c r="AL74" s="126"/>
      <c r="AM74" s="127"/>
      <c r="AN74" s="128" t="s">
        <v>132</v>
      </c>
      <c r="AO74" s="129"/>
      <c r="AP74" s="130">
        <v>241972</v>
      </c>
      <c r="AQ74" s="146"/>
      <c r="AR74" s="65">
        <v>8</v>
      </c>
      <c r="AT74" s="65">
        <v>8</v>
      </c>
      <c r="AU74" s="126"/>
      <c r="AV74" s="127"/>
      <c r="AW74" s="128" t="s">
        <v>12</v>
      </c>
      <c r="AX74" s="129"/>
      <c r="AY74" s="131"/>
      <c r="AZ74" s="145" t="e">
        <f>IF(VLOOKUP(AW74,#REF!,27,FALSE)="*",VLOOKUP(AW74,#REF!,26,FALSE),"")</f>
        <v>#REF!</v>
      </c>
      <c r="BA74" s="65">
        <v>8</v>
      </c>
      <c r="BC74" s="65">
        <v>8</v>
      </c>
      <c r="BD74" s="126"/>
      <c r="BE74" s="127"/>
      <c r="BF74" s="128" t="s">
        <v>12</v>
      </c>
      <c r="BG74" s="129"/>
      <c r="BH74" s="131"/>
      <c r="BI74" s="146"/>
      <c r="BJ74" s="65">
        <v>8</v>
      </c>
      <c r="BL74" s="65">
        <v>8</v>
      </c>
      <c r="BM74" s="126"/>
      <c r="BN74" s="127"/>
      <c r="BO74" s="128" t="s">
        <v>12</v>
      </c>
      <c r="BP74" s="129"/>
      <c r="BQ74" s="131"/>
      <c r="BR74" s="146"/>
      <c r="BS74" s="65">
        <v>8</v>
      </c>
      <c r="BU74" s="65">
        <v>8</v>
      </c>
      <c r="BV74" s="126"/>
      <c r="BW74" s="127"/>
      <c r="BX74" s="128" t="s">
        <v>12</v>
      </c>
      <c r="BY74" s="129"/>
      <c r="BZ74" s="131"/>
      <c r="CA74" s="146"/>
      <c r="CB74" s="65">
        <v>8</v>
      </c>
      <c r="CD74" s="65">
        <v>8</v>
      </c>
      <c r="CE74" s="126"/>
      <c r="CF74" s="127"/>
      <c r="CG74" s="128" t="s">
        <v>12</v>
      </c>
      <c r="CH74" s="129"/>
      <c r="CI74" s="131"/>
      <c r="CJ74" s="146"/>
      <c r="CK74" s="65">
        <v>8</v>
      </c>
      <c r="CM74" s="65">
        <v>8</v>
      </c>
      <c r="CN74" s="126"/>
      <c r="CO74" s="127"/>
      <c r="CP74" s="128" t="s">
        <v>12</v>
      </c>
      <c r="CQ74" s="129"/>
      <c r="CR74" s="131"/>
      <c r="CS74" s="146"/>
      <c r="CT74" s="65">
        <v>8</v>
      </c>
    </row>
    <row r="75" spans="1:98">
      <c r="A75" s="65">
        <v>9</v>
      </c>
      <c r="B75" s="132"/>
      <c r="C75" s="133"/>
      <c r="D75" s="134" t="s">
        <v>117</v>
      </c>
      <c r="E75" s="135"/>
      <c r="F75" s="136">
        <v>0</v>
      </c>
      <c r="G75" s="135"/>
      <c r="H75" s="65">
        <v>9</v>
      </c>
      <c r="J75" s="65">
        <v>9</v>
      </c>
      <c r="K75" s="132"/>
      <c r="L75" s="133"/>
      <c r="M75" s="134" t="s">
        <v>17</v>
      </c>
      <c r="N75" s="135"/>
      <c r="O75" s="136"/>
      <c r="P75" s="147">
        <v>97757.012000000002</v>
      </c>
      <c r="Q75" s="65">
        <v>9</v>
      </c>
      <c r="S75" s="65">
        <v>9</v>
      </c>
      <c r="T75" s="132"/>
      <c r="U75" s="133"/>
      <c r="V75" s="134" t="s">
        <v>17</v>
      </c>
      <c r="W75" s="135"/>
      <c r="X75" s="136"/>
      <c r="Y75" s="146" t="e">
        <f>IF(#REF!="*",#REF!,"")</f>
        <v>#REF!</v>
      </c>
      <c r="Z75" s="65">
        <v>9</v>
      </c>
      <c r="AB75" s="65">
        <v>9</v>
      </c>
      <c r="AC75" s="132"/>
      <c r="AD75" s="133"/>
      <c r="AE75" s="134" t="s">
        <v>296</v>
      </c>
      <c r="AF75" s="135"/>
      <c r="AG75" s="136">
        <v>8387323.75</v>
      </c>
      <c r="AH75" s="147"/>
      <c r="AI75" s="65">
        <v>9</v>
      </c>
      <c r="AK75" s="65">
        <v>9</v>
      </c>
      <c r="AL75" s="132"/>
      <c r="AM75" s="133"/>
      <c r="AN75" s="134" t="s">
        <v>133</v>
      </c>
      <c r="AO75" s="135"/>
      <c r="AP75" s="136">
        <v>4128930</v>
      </c>
      <c r="AQ75" s="147"/>
      <c r="AR75" s="65">
        <v>9</v>
      </c>
      <c r="AT75" s="65">
        <v>9</v>
      </c>
      <c r="AU75" s="132"/>
      <c r="AV75" s="133"/>
      <c r="AW75" s="134" t="s">
        <v>17</v>
      </c>
      <c r="AX75" s="135"/>
      <c r="AY75" s="136"/>
      <c r="AZ75" s="148" t="e">
        <f>IF(VLOOKUP(AW75,#REF!,27,FALSE)="*",VLOOKUP(AW75,#REF!,26,FALSE),"")</f>
        <v>#REF!</v>
      </c>
      <c r="BA75" s="65">
        <v>9</v>
      </c>
      <c r="BC75" s="65">
        <v>9</v>
      </c>
      <c r="BD75" s="132"/>
      <c r="BE75" s="133"/>
      <c r="BF75" s="134" t="s">
        <v>17</v>
      </c>
      <c r="BG75" s="135"/>
      <c r="BH75" s="136"/>
      <c r="BI75" s="147"/>
      <c r="BJ75" s="65">
        <v>9</v>
      </c>
      <c r="BL75" s="65">
        <v>9</v>
      </c>
      <c r="BM75" s="132"/>
      <c r="BN75" s="133"/>
      <c r="BO75" s="134" t="s">
        <v>17</v>
      </c>
      <c r="BP75" s="135"/>
      <c r="BQ75" s="136"/>
      <c r="BR75" s="147"/>
      <c r="BS75" s="65">
        <v>9</v>
      </c>
      <c r="BU75" s="65">
        <v>9</v>
      </c>
      <c r="BV75" s="132"/>
      <c r="BW75" s="133"/>
      <c r="BX75" s="134" t="s">
        <v>17</v>
      </c>
      <c r="BY75" s="135"/>
      <c r="BZ75" s="136"/>
      <c r="CA75" s="147"/>
      <c r="CB75" s="65">
        <v>9</v>
      </c>
      <c r="CD75" s="65">
        <v>9</v>
      </c>
      <c r="CE75" s="132"/>
      <c r="CF75" s="133"/>
      <c r="CG75" s="134" t="s">
        <v>17</v>
      </c>
      <c r="CH75" s="135"/>
      <c r="CI75" s="136"/>
      <c r="CJ75" s="147"/>
      <c r="CK75" s="65">
        <v>9</v>
      </c>
      <c r="CM75" s="65">
        <v>9</v>
      </c>
      <c r="CN75" s="132"/>
      <c r="CO75" s="133"/>
      <c r="CP75" s="134" t="s">
        <v>17</v>
      </c>
      <c r="CQ75" s="135"/>
      <c r="CR75" s="136"/>
      <c r="CS75" s="147"/>
      <c r="CT75" s="65">
        <v>9</v>
      </c>
    </row>
    <row r="76" spans="1:98" ht="15.75" thickBot="1">
      <c r="A76" s="65">
        <v>10</v>
      </c>
      <c r="B76" s="149"/>
      <c r="C76" s="150"/>
      <c r="D76" s="151" t="s">
        <v>12</v>
      </c>
      <c r="E76" s="152"/>
      <c r="F76" s="153"/>
      <c r="G76" s="154">
        <v>147129.947766</v>
      </c>
      <c r="H76" s="65">
        <v>10</v>
      </c>
      <c r="J76" s="65">
        <v>10</v>
      </c>
      <c r="K76" s="149"/>
      <c r="L76" s="150"/>
      <c r="M76" s="151" t="s">
        <v>18</v>
      </c>
      <c r="N76" s="152"/>
      <c r="O76" s="153"/>
      <c r="P76" s="154">
        <v>94073.851999999984</v>
      </c>
      <c r="Q76" s="65">
        <v>10</v>
      </c>
      <c r="S76" s="65">
        <v>10</v>
      </c>
      <c r="T76" s="149"/>
      <c r="U76" s="150"/>
      <c r="V76" s="151" t="s">
        <v>18</v>
      </c>
      <c r="W76" s="152"/>
      <c r="X76" s="153"/>
      <c r="Y76" s="154" t="e">
        <f>IF(#REF!="*",#REF!,"")</f>
        <v>#REF!</v>
      </c>
      <c r="Z76" s="65">
        <v>10</v>
      </c>
      <c r="AB76" s="65">
        <v>10</v>
      </c>
      <c r="AC76" s="149"/>
      <c r="AD76" s="150"/>
      <c r="AE76" s="151" t="s">
        <v>12</v>
      </c>
      <c r="AF76" s="152"/>
      <c r="AG76" s="153"/>
      <c r="AH76" s="155">
        <v>341323.54752176261</v>
      </c>
      <c r="AI76" s="65">
        <v>10</v>
      </c>
      <c r="AK76" s="65">
        <v>10</v>
      </c>
      <c r="AL76" s="149"/>
      <c r="AM76" s="150"/>
      <c r="AN76" s="151" t="s">
        <v>12</v>
      </c>
      <c r="AO76" s="152"/>
      <c r="AP76" s="153"/>
      <c r="AQ76" s="155">
        <v>380181.53593199997</v>
      </c>
      <c r="AR76" s="65">
        <v>10</v>
      </c>
      <c r="AT76" s="65">
        <v>10</v>
      </c>
      <c r="AU76" s="149"/>
      <c r="AV76" s="150"/>
      <c r="AW76" s="151" t="s">
        <v>18</v>
      </c>
      <c r="AX76" s="152"/>
      <c r="AY76" s="153"/>
      <c r="AZ76" s="155" t="e">
        <f>IF(VLOOKUP(AW76,#REF!,27,FALSE)="*",VLOOKUP(AW76,#REF!,26,FALSE),"")</f>
        <v>#REF!</v>
      </c>
      <c r="BA76" s="65">
        <v>10</v>
      </c>
      <c r="BC76" s="65">
        <v>10</v>
      </c>
      <c r="BD76" s="149"/>
      <c r="BE76" s="150"/>
      <c r="BF76" s="151" t="s">
        <v>18</v>
      </c>
      <c r="BG76" s="152"/>
      <c r="BH76" s="153"/>
      <c r="BI76" s="154"/>
      <c r="BJ76" s="65">
        <v>10</v>
      </c>
      <c r="BL76" s="65">
        <v>10</v>
      </c>
      <c r="BM76" s="149"/>
      <c r="BN76" s="150"/>
      <c r="BO76" s="151" t="s">
        <v>18</v>
      </c>
      <c r="BP76" s="152"/>
      <c r="BQ76" s="153"/>
      <c r="BR76" s="154"/>
      <c r="BS76" s="65">
        <v>10</v>
      </c>
      <c r="BU76" s="65">
        <v>10</v>
      </c>
      <c r="BV76" s="149"/>
      <c r="BW76" s="150"/>
      <c r="BX76" s="151" t="s">
        <v>18</v>
      </c>
      <c r="BY76" s="152"/>
      <c r="BZ76" s="153"/>
      <c r="CA76" s="154"/>
      <c r="CB76" s="65">
        <v>10</v>
      </c>
      <c r="CD76" s="65">
        <v>10</v>
      </c>
      <c r="CE76" s="149"/>
      <c r="CF76" s="150"/>
      <c r="CG76" s="151" t="s">
        <v>18</v>
      </c>
      <c r="CH76" s="152"/>
      <c r="CI76" s="153"/>
      <c r="CJ76" s="154"/>
      <c r="CK76" s="65">
        <v>10</v>
      </c>
      <c r="CM76" s="65">
        <v>10</v>
      </c>
      <c r="CN76" s="149"/>
      <c r="CO76" s="150"/>
      <c r="CP76" s="151" t="s">
        <v>18</v>
      </c>
      <c r="CQ76" s="152"/>
      <c r="CR76" s="153"/>
      <c r="CS76" s="154"/>
      <c r="CT76" s="65">
        <v>10</v>
      </c>
    </row>
    <row r="77" spans="1:98">
      <c r="A77" s="65">
        <v>11</v>
      </c>
      <c r="B77" s="139"/>
      <c r="C77" s="140"/>
      <c r="D77" s="141" t="s">
        <v>17</v>
      </c>
      <c r="E77" s="142"/>
      <c r="F77" s="143"/>
      <c r="G77" s="156">
        <v>147129.947766</v>
      </c>
      <c r="H77" s="65">
        <v>11</v>
      </c>
      <c r="J77" s="65">
        <v>11</v>
      </c>
      <c r="K77" s="139"/>
      <c r="L77" s="140"/>
      <c r="M77" s="141" t="s">
        <v>19</v>
      </c>
      <c r="N77" s="142"/>
      <c r="O77" s="143"/>
      <c r="P77" s="156">
        <v>94073.851999999984</v>
      </c>
      <c r="Q77" s="65">
        <v>11</v>
      </c>
      <c r="S77" s="65">
        <v>11</v>
      </c>
      <c r="T77" s="139"/>
      <c r="U77" s="140"/>
      <c r="V77" s="141" t="s">
        <v>19</v>
      </c>
      <c r="W77" s="142"/>
      <c r="X77" s="143"/>
      <c r="Y77" s="156" t="e">
        <f>IF(#REF!="*",#REF!,"")</f>
        <v>#REF!</v>
      </c>
      <c r="Z77" s="65">
        <v>11</v>
      </c>
      <c r="AB77" s="65">
        <v>11</v>
      </c>
      <c r="AC77" s="139"/>
      <c r="AD77" s="140"/>
      <c r="AE77" s="141" t="s">
        <v>17</v>
      </c>
      <c r="AF77" s="142"/>
      <c r="AG77" s="143"/>
      <c r="AH77" s="144">
        <v>341323.54752176261</v>
      </c>
      <c r="AI77" s="65">
        <v>11</v>
      </c>
      <c r="AK77" s="65">
        <v>11</v>
      </c>
      <c r="AL77" s="139"/>
      <c r="AM77" s="140"/>
      <c r="AN77" s="141" t="s">
        <v>17</v>
      </c>
      <c r="AO77" s="142"/>
      <c r="AP77" s="143"/>
      <c r="AQ77" s="144">
        <v>380181.53593199997</v>
      </c>
      <c r="AR77" s="65">
        <v>11</v>
      </c>
      <c r="AT77" s="65">
        <v>11</v>
      </c>
      <c r="AU77" s="139"/>
      <c r="AV77" s="140"/>
      <c r="AW77" s="141" t="s">
        <v>19</v>
      </c>
      <c r="AX77" s="142"/>
      <c r="AY77" s="143"/>
      <c r="AZ77" s="144" t="e">
        <f>IF(VLOOKUP(AW77,#REF!,27,FALSE)="*",VLOOKUP(AW77,#REF!,26,FALSE),"")</f>
        <v>#REF!</v>
      </c>
      <c r="BA77" s="65">
        <v>11</v>
      </c>
      <c r="BC77" s="65">
        <v>11</v>
      </c>
      <c r="BD77" s="139"/>
      <c r="BE77" s="140"/>
      <c r="BF77" s="141" t="s">
        <v>19</v>
      </c>
      <c r="BG77" s="142"/>
      <c r="BH77" s="143"/>
      <c r="BI77" s="156"/>
      <c r="BJ77" s="65">
        <v>11</v>
      </c>
      <c r="BL77" s="65">
        <v>11</v>
      </c>
      <c r="BM77" s="139"/>
      <c r="BN77" s="140"/>
      <c r="BO77" s="141" t="s">
        <v>19</v>
      </c>
      <c r="BP77" s="142"/>
      <c r="BQ77" s="143"/>
      <c r="BR77" s="156"/>
      <c r="BS77" s="65">
        <v>11</v>
      </c>
      <c r="BU77" s="65">
        <v>11</v>
      </c>
      <c r="BV77" s="139"/>
      <c r="BW77" s="140"/>
      <c r="BX77" s="141" t="s">
        <v>19</v>
      </c>
      <c r="BY77" s="142"/>
      <c r="BZ77" s="143"/>
      <c r="CA77" s="156"/>
      <c r="CB77" s="65">
        <v>11</v>
      </c>
      <c r="CD77" s="65">
        <v>11</v>
      </c>
      <c r="CE77" s="139"/>
      <c r="CF77" s="140"/>
      <c r="CG77" s="141" t="s">
        <v>19</v>
      </c>
      <c r="CH77" s="142"/>
      <c r="CI77" s="143"/>
      <c r="CJ77" s="156"/>
      <c r="CK77" s="65">
        <v>11</v>
      </c>
      <c r="CM77" s="65">
        <v>11</v>
      </c>
      <c r="CN77" s="139"/>
      <c r="CO77" s="140"/>
      <c r="CP77" s="141" t="s">
        <v>19</v>
      </c>
      <c r="CQ77" s="142"/>
      <c r="CR77" s="143"/>
      <c r="CS77" s="156"/>
      <c r="CT77" s="65">
        <v>11</v>
      </c>
    </row>
    <row r="78" spans="1:98">
      <c r="A78" s="65">
        <v>12</v>
      </c>
      <c r="B78" s="126"/>
      <c r="C78" s="127"/>
      <c r="D78" s="128" t="s">
        <v>18</v>
      </c>
      <c r="E78" s="129"/>
      <c r="F78" s="130"/>
      <c r="G78" s="146">
        <v>93169.402798999974</v>
      </c>
      <c r="H78" s="65">
        <v>12</v>
      </c>
      <c r="J78" s="65">
        <v>12</v>
      </c>
      <c r="K78" s="126"/>
      <c r="L78" s="127"/>
      <c r="M78" s="128" t="s">
        <v>21</v>
      </c>
      <c r="N78" s="129"/>
      <c r="O78" s="130"/>
      <c r="P78" s="146">
        <v>68575.051999999996</v>
      </c>
      <c r="Q78" s="65">
        <v>12</v>
      </c>
      <c r="S78" s="65">
        <v>12</v>
      </c>
      <c r="T78" s="126"/>
      <c r="U78" s="127"/>
      <c r="V78" s="128" t="s">
        <v>21</v>
      </c>
      <c r="W78" s="129"/>
      <c r="X78" s="130"/>
      <c r="Y78" s="146" t="e">
        <f>IF(#REF!="*",#REF!,"")</f>
        <v>#REF!</v>
      </c>
      <c r="Z78" s="65">
        <v>12</v>
      </c>
      <c r="AB78" s="65">
        <v>12</v>
      </c>
      <c r="AC78" s="126"/>
      <c r="AD78" s="127"/>
      <c r="AE78" s="128" t="s">
        <v>18</v>
      </c>
      <c r="AF78" s="129"/>
      <c r="AG78" s="130"/>
      <c r="AH78" s="145">
        <v>326125.71497510956</v>
      </c>
      <c r="AI78" s="65">
        <v>12</v>
      </c>
      <c r="AK78" s="65">
        <v>12</v>
      </c>
      <c r="AL78" s="126"/>
      <c r="AM78" s="127"/>
      <c r="AN78" s="128" t="s">
        <v>18</v>
      </c>
      <c r="AO78" s="129"/>
      <c r="AP78" s="130"/>
      <c r="AQ78" s="145">
        <v>363140.08</v>
      </c>
      <c r="AR78" s="65">
        <v>12</v>
      </c>
      <c r="AT78" s="65">
        <v>12</v>
      </c>
      <c r="AU78" s="126"/>
      <c r="AV78" s="127"/>
      <c r="AW78" s="128" t="s">
        <v>21</v>
      </c>
      <c r="AX78" s="129"/>
      <c r="AY78" s="130"/>
      <c r="AZ78" s="145" t="e">
        <f>IF(VLOOKUP(AW78,#REF!,27,FALSE)="*",VLOOKUP(AW78,#REF!,26,FALSE),"")</f>
        <v>#REF!</v>
      </c>
      <c r="BA78" s="65">
        <v>12</v>
      </c>
      <c r="BC78" s="65">
        <v>12</v>
      </c>
      <c r="BD78" s="126"/>
      <c r="BE78" s="127"/>
      <c r="BF78" s="128" t="s">
        <v>21</v>
      </c>
      <c r="BG78" s="129"/>
      <c r="BH78" s="130"/>
      <c r="BI78" s="146"/>
      <c r="BJ78" s="65">
        <v>12</v>
      </c>
      <c r="BL78" s="65">
        <v>12</v>
      </c>
      <c r="BM78" s="126"/>
      <c r="BN78" s="127"/>
      <c r="BO78" s="128" t="s">
        <v>21</v>
      </c>
      <c r="BP78" s="129"/>
      <c r="BQ78" s="130"/>
      <c r="BR78" s="146"/>
      <c r="BS78" s="65">
        <v>12</v>
      </c>
      <c r="BU78" s="65">
        <v>12</v>
      </c>
      <c r="BV78" s="126"/>
      <c r="BW78" s="127"/>
      <c r="BX78" s="128" t="s">
        <v>21</v>
      </c>
      <c r="BY78" s="129"/>
      <c r="BZ78" s="130"/>
      <c r="CA78" s="146"/>
      <c r="CB78" s="65">
        <v>12</v>
      </c>
      <c r="CD78" s="65">
        <v>12</v>
      </c>
      <c r="CE78" s="126"/>
      <c r="CF78" s="127"/>
      <c r="CG78" s="128" t="s">
        <v>21</v>
      </c>
      <c r="CH78" s="129"/>
      <c r="CI78" s="130"/>
      <c r="CJ78" s="146"/>
      <c r="CK78" s="65">
        <v>12</v>
      </c>
      <c r="CM78" s="65">
        <v>12</v>
      </c>
      <c r="CN78" s="126"/>
      <c r="CO78" s="127"/>
      <c r="CP78" s="128" t="s">
        <v>21</v>
      </c>
      <c r="CQ78" s="129"/>
      <c r="CR78" s="130"/>
      <c r="CS78" s="146"/>
      <c r="CT78" s="65">
        <v>12</v>
      </c>
    </row>
    <row r="79" spans="1:98">
      <c r="A79" s="65">
        <v>13</v>
      </c>
      <c r="B79" s="126"/>
      <c r="C79" s="127"/>
      <c r="D79" s="128" t="s">
        <v>19</v>
      </c>
      <c r="E79" s="129"/>
      <c r="F79" s="131"/>
      <c r="G79" s="146">
        <v>141169.40279899997</v>
      </c>
      <c r="H79" s="65">
        <v>13</v>
      </c>
      <c r="J79" s="65">
        <v>13</v>
      </c>
      <c r="K79" s="126"/>
      <c r="L79" s="127"/>
      <c r="M79" s="128" t="s">
        <v>23</v>
      </c>
      <c r="N79" s="129"/>
      <c r="O79" s="131"/>
      <c r="P79" s="146">
        <v>68575.051999999996</v>
      </c>
      <c r="Q79" s="65">
        <v>13</v>
      </c>
      <c r="S79" s="65">
        <v>13</v>
      </c>
      <c r="T79" s="126"/>
      <c r="U79" s="127"/>
      <c r="V79" s="128" t="s">
        <v>23</v>
      </c>
      <c r="W79" s="129"/>
      <c r="X79" s="131"/>
      <c r="Y79" s="146" t="e">
        <f>IF(#REF!="*",#REF!,"")</f>
        <v>#REF!</v>
      </c>
      <c r="Z79" s="65">
        <v>13</v>
      </c>
      <c r="AB79" s="65">
        <v>13</v>
      </c>
      <c r="AC79" s="126"/>
      <c r="AD79" s="127"/>
      <c r="AE79" s="128" t="s">
        <v>19</v>
      </c>
      <c r="AF79" s="129"/>
      <c r="AG79" s="131"/>
      <c r="AH79" s="145">
        <v>326125.71497510956</v>
      </c>
      <c r="AI79" s="65">
        <v>13</v>
      </c>
      <c r="AK79" s="65">
        <v>13</v>
      </c>
      <c r="AL79" s="126"/>
      <c r="AM79" s="127"/>
      <c r="AN79" s="128" t="s">
        <v>19</v>
      </c>
      <c r="AO79" s="129"/>
      <c r="AP79" s="131"/>
      <c r="AQ79" s="145">
        <v>363140.076198</v>
      </c>
      <c r="AR79" s="65">
        <v>13</v>
      </c>
      <c r="AT79" s="65">
        <v>13</v>
      </c>
      <c r="AU79" s="126"/>
      <c r="AV79" s="127"/>
      <c r="AW79" s="128" t="s">
        <v>23</v>
      </c>
      <c r="AX79" s="129"/>
      <c r="AY79" s="131"/>
      <c r="AZ79" s="145" t="e">
        <f>IF(VLOOKUP(AW79,#REF!,27,FALSE)="*",VLOOKUP(AW79,#REF!,26,FALSE),"")</f>
        <v>#REF!</v>
      </c>
      <c r="BA79" s="65">
        <v>13</v>
      </c>
      <c r="BC79" s="65">
        <v>13</v>
      </c>
      <c r="BD79" s="126"/>
      <c r="BE79" s="127"/>
      <c r="BF79" s="128" t="s">
        <v>23</v>
      </c>
      <c r="BG79" s="129"/>
      <c r="BH79" s="131"/>
      <c r="BI79" s="146"/>
      <c r="BJ79" s="65">
        <v>13</v>
      </c>
      <c r="BL79" s="65">
        <v>13</v>
      </c>
      <c r="BM79" s="126"/>
      <c r="BN79" s="127"/>
      <c r="BO79" s="128" t="s">
        <v>23</v>
      </c>
      <c r="BP79" s="129"/>
      <c r="BQ79" s="131"/>
      <c r="BR79" s="146"/>
      <c r="BS79" s="65">
        <v>13</v>
      </c>
      <c r="BU79" s="65">
        <v>13</v>
      </c>
      <c r="BV79" s="126"/>
      <c r="BW79" s="127"/>
      <c r="BX79" s="128" t="s">
        <v>23</v>
      </c>
      <c r="BY79" s="129"/>
      <c r="BZ79" s="131"/>
      <c r="CA79" s="146"/>
      <c r="CB79" s="65">
        <v>13</v>
      </c>
      <c r="CD79" s="65">
        <v>13</v>
      </c>
      <c r="CE79" s="126"/>
      <c r="CF79" s="127"/>
      <c r="CG79" s="128" t="s">
        <v>23</v>
      </c>
      <c r="CH79" s="129"/>
      <c r="CI79" s="131"/>
      <c r="CJ79" s="146"/>
      <c r="CK79" s="65">
        <v>13</v>
      </c>
      <c r="CM79" s="65">
        <v>13</v>
      </c>
      <c r="CN79" s="126"/>
      <c r="CO79" s="127"/>
      <c r="CP79" s="128" t="s">
        <v>23</v>
      </c>
      <c r="CQ79" s="129"/>
      <c r="CR79" s="131"/>
      <c r="CS79" s="146"/>
      <c r="CT79" s="65">
        <v>13</v>
      </c>
    </row>
    <row r="80" spans="1:98">
      <c r="A80" s="65">
        <v>14</v>
      </c>
      <c r="B80" s="132"/>
      <c r="C80" s="133"/>
      <c r="D80" s="134" t="s">
        <v>21</v>
      </c>
      <c r="E80" s="135"/>
      <c r="F80" s="136"/>
      <c r="G80" s="147">
        <v>99904.091488999999</v>
      </c>
      <c r="H80" s="65">
        <v>14</v>
      </c>
      <c r="J80" s="65">
        <v>14</v>
      </c>
      <c r="K80" s="132"/>
      <c r="L80" s="133"/>
      <c r="M80" s="134" t="s">
        <v>25</v>
      </c>
      <c r="N80" s="135"/>
      <c r="O80" s="136"/>
      <c r="P80" s="147">
        <v>68447.72</v>
      </c>
      <c r="Q80" s="65">
        <v>14</v>
      </c>
      <c r="S80" s="65">
        <v>14</v>
      </c>
      <c r="T80" s="132"/>
      <c r="U80" s="133"/>
      <c r="V80" s="134" t="s">
        <v>25</v>
      </c>
      <c r="W80" s="135"/>
      <c r="X80" s="136"/>
      <c r="Y80" s="147" t="e">
        <f>IF(#REF!="*",#REF!,"")</f>
        <v>#REF!</v>
      </c>
      <c r="Z80" s="65">
        <v>14</v>
      </c>
      <c r="AB80" s="65">
        <v>14</v>
      </c>
      <c r="AC80" s="132"/>
      <c r="AD80" s="133"/>
      <c r="AE80" s="134" t="s">
        <v>21</v>
      </c>
      <c r="AF80" s="135"/>
      <c r="AG80" s="136"/>
      <c r="AH80" s="148">
        <v>220909.95119058905</v>
      </c>
      <c r="AI80" s="65">
        <v>14</v>
      </c>
      <c r="AK80" s="65">
        <v>14</v>
      </c>
      <c r="AL80" s="132"/>
      <c r="AM80" s="133"/>
      <c r="AN80" s="134" t="s">
        <v>21</v>
      </c>
      <c r="AO80" s="135"/>
      <c r="AP80" s="136"/>
      <c r="AQ80" s="148">
        <v>245160.73957800004</v>
      </c>
      <c r="AR80" s="65">
        <v>14</v>
      </c>
      <c r="AT80" s="65">
        <v>14</v>
      </c>
      <c r="AU80" s="132"/>
      <c r="AV80" s="133"/>
      <c r="AW80" s="134" t="s">
        <v>25</v>
      </c>
      <c r="AX80" s="135"/>
      <c r="AY80" s="136"/>
      <c r="AZ80" s="148" t="e">
        <f>IF(VLOOKUP(AW80,#REF!,27,FALSE)="*",VLOOKUP(AW80,#REF!,26,FALSE),"")</f>
        <v>#REF!</v>
      </c>
      <c r="BA80" s="65">
        <v>14</v>
      </c>
      <c r="BC80" s="65">
        <v>14</v>
      </c>
      <c r="BD80" s="132"/>
      <c r="BE80" s="133"/>
      <c r="BF80" s="134" t="s">
        <v>25</v>
      </c>
      <c r="BG80" s="135"/>
      <c r="BH80" s="136"/>
      <c r="BI80" s="147"/>
      <c r="BJ80" s="65">
        <v>14</v>
      </c>
      <c r="BL80" s="65">
        <v>14</v>
      </c>
      <c r="BM80" s="132"/>
      <c r="BN80" s="133"/>
      <c r="BO80" s="134" t="s">
        <v>25</v>
      </c>
      <c r="BP80" s="135"/>
      <c r="BQ80" s="136"/>
      <c r="BR80" s="147"/>
      <c r="BS80" s="65">
        <v>14</v>
      </c>
      <c r="BU80" s="65">
        <v>14</v>
      </c>
      <c r="BV80" s="132"/>
      <c r="BW80" s="133"/>
      <c r="BX80" s="134" t="s">
        <v>25</v>
      </c>
      <c r="BY80" s="135"/>
      <c r="BZ80" s="136"/>
      <c r="CA80" s="147"/>
      <c r="CB80" s="65">
        <v>14</v>
      </c>
      <c r="CD80" s="65">
        <v>14</v>
      </c>
      <c r="CE80" s="132"/>
      <c r="CF80" s="133"/>
      <c r="CG80" s="134" t="s">
        <v>25</v>
      </c>
      <c r="CH80" s="135"/>
      <c r="CI80" s="136"/>
      <c r="CJ80" s="147"/>
      <c r="CK80" s="65">
        <v>14</v>
      </c>
      <c r="CM80" s="65">
        <v>14</v>
      </c>
      <c r="CN80" s="132"/>
      <c r="CO80" s="133"/>
      <c r="CP80" s="134" t="s">
        <v>25</v>
      </c>
      <c r="CQ80" s="135"/>
      <c r="CR80" s="136"/>
      <c r="CS80" s="147"/>
      <c r="CT80" s="65">
        <v>14</v>
      </c>
    </row>
    <row r="81" spans="1:98" ht="15.75" thickBot="1">
      <c r="A81" s="65">
        <v>15</v>
      </c>
      <c r="B81" s="149"/>
      <c r="C81" s="150"/>
      <c r="D81" s="151" t="s">
        <v>23</v>
      </c>
      <c r="E81" s="152"/>
      <c r="F81" s="153"/>
      <c r="G81" s="154">
        <v>99904.091488999999</v>
      </c>
      <c r="H81" s="65">
        <v>15</v>
      </c>
      <c r="J81" s="65">
        <v>15</v>
      </c>
      <c r="K81" s="149"/>
      <c r="L81" s="150"/>
      <c r="M81" s="151" t="s">
        <v>27</v>
      </c>
      <c r="N81" s="152"/>
      <c r="O81" s="153"/>
      <c r="P81" s="154">
        <v>68575.051999999996</v>
      </c>
      <c r="Q81" s="65">
        <v>15</v>
      </c>
      <c r="S81" s="65">
        <v>15</v>
      </c>
      <c r="T81" s="149"/>
      <c r="U81" s="150"/>
      <c r="V81" s="151" t="s">
        <v>27</v>
      </c>
      <c r="W81" s="152"/>
      <c r="X81" s="153"/>
      <c r="Y81" s="154" t="e">
        <f>IF(#REF!="*",#REF!,"")</f>
        <v>#REF!</v>
      </c>
      <c r="Z81" s="65">
        <v>15</v>
      </c>
      <c r="AB81" s="65">
        <v>15</v>
      </c>
      <c r="AC81" s="149"/>
      <c r="AD81" s="150"/>
      <c r="AE81" s="151" t="s">
        <v>23</v>
      </c>
      <c r="AF81" s="152"/>
      <c r="AG81" s="153"/>
      <c r="AH81" s="155">
        <v>220909.95119058905</v>
      </c>
      <c r="AI81" s="65">
        <v>15</v>
      </c>
      <c r="AK81" s="65">
        <v>15</v>
      </c>
      <c r="AL81" s="149"/>
      <c r="AM81" s="150"/>
      <c r="AN81" s="151" t="s">
        <v>23</v>
      </c>
      <c r="AO81" s="152"/>
      <c r="AP81" s="153"/>
      <c r="AQ81" s="155">
        <v>245160.73957800004</v>
      </c>
      <c r="AR81" s="65">
        <v>15</v>
      </c>
      <c r="AT81" s="65">
        <v>15</v>
      </c>
      <c r="AU81" s="149"/>
      <c r="AV81" s="150"/>
      <c r="AW81" s="151" t="s">
        <v>27</v>
      </c>
      <c r="AX81" s="152"/>
      <c r="AY81" s="153"/>
      <c r="AZ81" s="155" t="e">
        <f>IF(VLOOKUP(AW81,#REF!,27,FALSE)="*",VLOOKUP(AW81,#REF!,26,FALSE),"")</f>
        <v>#REF!</v>
      </c>
      <c r="BA81" s="65">
        <v>15</v>
      </c>
      <c r="BC81" s="65">
        <v>15</v>
      </c>
      <c r="BD81" s="149"/>
      <c r="BE81" s="150"/>
      <c r="BF81" s="151" t="s">
        <v>27</v>
      </c>
      <c r="BG81" s="152"/>
      <c r="BH81" s="153"/>
      <c r="BI81" s="154"/>
      <c r="BJ81" s="65">
        <v>15</v>
      </c>
      <c r="BL81" s="65">
        <v>15</v>
      </c>
      <c r="BM81" s="149"/>
      <c r="BN81" s="150"/>
      <c r="BO81" s="151" t="s">
        <v>27</v>
      </c>
      <c r="BP81" s="152"/>
      <c r="BQ81" s="153"/>
      <c r="BR81" s="154"/>
      <c r="BS81" s="65">
        <v>15</v>
      </c>
      <c r="BU81" s="65">
        <v>15</v>
      </c>
      <c r="BV81" s="149"/>
      <c r="BW81" s="150"/>
      <c r="BX81" s="151" t="s">
        <v>27</v>
      </c>
      <c r="BY81" s="152"/>
      <c r="BZ81" s="153"/>
      <c r="CA81" s="154"/>
      <c r="CB81" s="65">
        <v>15</v>
      </c>
      <c r="CD81" s="65">
        <v>15</v>
      </c>
      <c r="CE81" s="149"/>
      <c r="CF81" s="150"/>
      <c r="CG81" s="151" t="s">
        <v>27</v>
      </c>
      <c r="CH81" s="152"/>
      <c r="CI81" s="153"/>
      <c r="CJ81" s="154"/>
      <c r="CK81" s="65">
        <v>15</v>
      </c>
      <c r="CM81" s="65">
        <v>15</v>
      </c>
      <c r="CN81" s="149"/>
      <c r="CO81" s="150"/>
      <c r="CP81" s="151" t="s">
        <v>27</v>
      </c>
      <c r="CQ81" s="152"/>
      <c r="CR81" s="153"/>
      <c r="CS81" s="154"/>
      <c r="CT81" s="65">
        <v>15</v>
      </c>
    </row>
    <row r="82" spans="1:98">
      <c r="A82" s="65">
        <v>16</v>
      </c>
      <c r="B82" s="139"/>
      <c r="C82" s="140"/>
      <c r="D82" s="141" t="s">
        <v>25</v>
      </c>
      <c r="E82" s="142"/>
      <c r="F82" s="143"/>
      <c r="G82" s="156">
        <v>88293.671489</v>
      </c>
      <c r="H82" s="65">
        <v>16</v>
      </c>
      <c r="J82" s="65">
        <v>16</v>
      </c>
      <c r="K82" s="139"/>
      <c r="L82" s="140"/>
      <c r="M82" s="141" t="s">
        <v>29</v>
      </c>
      <c r="N82" s="142"/>
      <c r="O82" s="143"/>
      <c r="P82" s="156">
        <v>68575.051999999996</v>
      </c>
      <c r="Q82" s="65">
        <v>16</v>
      </c>
      <c r="S82" s="65">
        <v>16</v>
      </c>
      <c r="T82" s="139"/>
      <c r="U82" s="140"/>
      <c r="V82" s="141" t="s">
        <v>29</v>
      </c>
      <c r="W82" s="142"/>
      <c r="X82" s="143"/>
      <c r="Y82" s="156" t="e">
        <f>IF(#REF!="*",#REF!,"")</f>
        <v>#REF!</v>
      </c>
      <c r="Z82" s="65">
        <v>16</v>
      </c>
      <c r="AB82" s="65">
        <v>16</v>
      </c>
      <c r="AC82" s="139"/>
      <c r="AD82" s="140"/>
      <c r="AE82" s="141" t="s">
        <v>25</v>
      </c>
      <c r="AF82" s="142"/>
      <c r="AG82" s="143"/>
      <c r="AH82" s="144">
        <v>219909.95119058905</v>
      </c>
      <c r="AI82" s="65">
        <v>16</v>
      </c>
      <c r="AK82" s="65">
        <v>16</v>
      </c>
      <c r="AL82" s="139"/>
      <c r="AM82" s="140"/>
      <c r="AN82" s="141" t="s">
        <v>25</v>
      </c>
      <c r="AO82" s="142"/>
      <c r="AP82" s="143"/>
      <c r="AQ82" s="144">
        <v>244160.74</v>
      </c>
      <c r="AR82" s="65">
        <v>16</v>
      </c>
      <c r="AT82" s="65">
        <v>16</v>
      </c>
      <c r="AU82" s="139"/>
      <c r="AV82" s="140"/>
      <c r="AW82" s="141" t="s">
        <v>29</v>
      </c>
      <c r="AX82" s="142"/>
      <c r="AY82" s="143"/>
      <c r="AZ82" s="144" t="e">
        <f>IF(VLOOKUP(AW82,#REF!,27,FALSE)="*",VLOOKUP(AW82,#REF!,26,FALSE),"")</f>
        <v>#REF!</v>
      </c>
      <c r="BA82" s="65">
        <v>16</v>
      </c>
      <c r="BC82" s="65">
        <v>16</v>
      </c>
      <c r="BD82" s="139"/>
      <c r="BE82" s="140"/>
      <c r="BF82" s="141" t="s">
        <v>29</v>
      </c>
      <c r="BG82" s="142"/>
      <c r="BH82" s="143"/>
      <c r="BI82" s="156"/>
      <c r="BJ82" s="65">
        <v>16</v>
      </c>
      <c r="BL82" s="65">
        <v>16</v>
      </c>
      <c r="BM82" s="139"/>
      <c r="BN82" s="140"/>
      <c r="BO82" s="141" t="s">
        <v>29</v>
      </c>
      <c r="BP82" s="142"/>
      <c r="BQ82" s="143"/>
      <c r="BR82" s="156"/>
      <c r="BS82" s="65">
        <v>16</v>
      </c>
      <c r="BU82" s="65">
        <v>16</v>
      </c>
      <c r="BV82" s="139"/>
      <c r="BW82" s="140"/>
      <c r="BX82" s="141" t="s">
        <v>29</v>
      </c>
      <c r="BY82" s="142"/>
      <c r="BZ82" s="143"/>
      <c r="CA82" s="156"/>
      <c r="CB82" s="65">
        <v>16</v>
      </c>
      <c r="CD82" s="65">
        <v>16</v>
      </c>
      <c r="CE82" s="139"/>
      <c r="CF82" s="140"/>
      <c r="CG82" s="141" t="s">
        <v>29</v>
      </c>
      <c r="CH82" s="142"/>
      <c r="CI82" s="143"/>
      <c r="CJ82" s="156"/>
      <c r="CK82" s="65">
        <v>16</v>
      </c>
      <c r="CM82" s="65">
        <v>16</v>
      </c>
      <c r="CN82" s="139"/>
      <c r="CO82" s="140"/>
      <c r="CP82" s="141" t="s">
        <v>29</v>
      </c>
      <c r="CQ82" s="142"/>
      <c r="CR82" s="143"/>
      <c r="CS82" s="156"/>
      <c r="CT82" s="65">
        <v>16</v>
      </c>
    </row>
    <row r="83" spans="1:98">
      <c r="A83" s="65">
        <v>17</v>
      </c>
      <c r="B83" s="126"/>
      <c r="C83" s="127"/>
      <c r="D83" s="128" t="s">
        <v>27</v>
      </c>
      <c r="E83" s="129"/>
      <c r="F83" s="130"/>
      <c r="G83" s="146">
        <v>59904.091488999999</v>
      </c>
      <c r="H83" s="65">
        <v>17</v>
      </c>
      <c r="J83" s="65">
        <v>17</v>
      </c>
      <c r="K83" s="126"/>
      <c r="L83" s="127"/>
      <c r="M83" s="128" t="s">
        <v>31</v>
      </c>
      <c r="N83" s="129"/>
      <c r="O83" s="130"/>
      <c r="P83" s="146">
        <v>68575.051999999996</v>
      </c>
      <c r="Q83" s="65">
        <v>17</v>
      </c>
      <c r="S83" s="65">
        <v>17</v>
      </c>
      <c r="T83" s="126"/>
      <c r="U83" s="127"/>
      <c r="V83" s="128" t="s">
        <v>31</v>
      </c>
      <c r="W83" s="129"/>
      <c r="X83" s="130"/>
      <c r="Y83" s="146" t="e">
        <f>IF(#REF!="*",#REF!,"")</f>
        <v>#REF!</v>
      </c>
      <c r="Z83" s="65">
        <v>17</v>
      </c>
      <c r="AB83" s="65">
        <v>17</v>
      </c>
      <c r="AC83" s="126"/>
      <c r="AD83" s="127"/>
      <c r="AE83" s="128" t="s">
        <v>27</v>
      </c>
      <c r="AF83" s="129"/>
      <c r="AG83" s="130"/>
      <c r="AH83" s="145">
        <v>220909.95119058905</v>
      </c>
      <c r="AI83" s="65">
        <v>17</v>
      </c>
      <c r="AK83" s="65">
        <v>17</v>
      </c>
      <c r="AL83" s="126"/>
      <c r="AM83" s="127"/>
      <c r="AN83" s="128" t="s">
        <v>27</v>
      </c>
      <c r="AO83" s="129"/>
      <c r="AP83" s="130"/>
      <c r="AQ83" s="145">
        <v>245160.73957800004</v>
      </c>
      <c r="AR83" s="65">
        <v>17</v>
      </c>
      <c r="AT83" s="65">
        <v>17</v>
      </c>
      <c r="AU83" s="126"/>
      <c r="AV83" s="127"/>
      <c r="AW83" s="128" t="s">
        <v>31</v>
      </c>
      <c r="AX83" s="129"/>
      <c r="AY83" s="130"/>
      <c r="AZ83" s="145" t="e">
        <f>IF(VLOOKUP(AW83,#REF!,27,FALSE)="*",VLOOKUP(AW83,#REF!,26,FALSE),"")</f>
        <v>#REF!</v>
      </c>
      <c r="BA83" s="65">
        <v>17</v>
      </c>
      <c r="BC83" s="65">
        <v>17</v>
      </c>
      <c r="BD83" s="126"/>
      <c r="BE83" s="127"/>
      <c r="BF83" s="128" t="s">
        <v>31</v>
      </c>
      <c r="BG83" s="129"/>
      <c r="BH83" s="130"/>
      <c r="BI83" s="146"/>
      <c r="BJ83" s="65">
        <v>17</v>
      </c>
      <c r="BL83" s="65">
        <v>17</v>
      </c>
      <c r="BM83" s="126"/>
      <c r="BN83" s="127"/>
      <c r="BO83" s="128" t="s">
        <v>31</v>
      </c>
      <c r="BP83" s="129"/>
      <c r="BQ83" s="130"/>
      <c r="BR83" s="146"/>
      <c r="BS83" s="65">
        <v>17</v>
      </c>
      <c r="BU83" s="65">
        <v>17</v>
      </c>
      <c r="BV83" s="126"/>
      <c r="BW83" s="127"/>
      <c r="BX83" s="128" t="s">
        <v>31</v>
      </c>
      <c r="BY83" s="129"/>
      <c r="BZ83" s="130"/>
      <c r="CA83" s="146"/>
      <c r="CB83" s="65">
        <v>17</v>
      </c>
      <c r="CD83" s="65">
        <v>17</v>
      </c>
      <c r="CE83" s="126"/>
      <c r="CF83" s="127"/>
      <c r="CG83" s="128" t="s">
        <v>31</v>
      </c>
      <c r="CH83" s="129"/>
      <c r="CI83" s="130"/>
      <c r="CJ83" s="146"/>
      <c r="CK83" s="65">
        <v>17</v>
      </c>
      <c r="CM83" s="65">
        <v>17</v>
      </c>
      <c r="CN83" s="126"/>
      <c r="CO83" s="127"/>
      <c r="CP83" s="128" t="s">
        <v>31</v>
      </c>
      <c r="CQ83" s="129"/>
      <c r="CR83" s="130"/>
      <c r="CS83" s="146"/>
      <c r="CT83" s="65">
        <v>17</v>
      </c>
    </row>
    <row r="84" spans="1:98">
      <c r="A84" s="65">
        <v>18</v>
      </c>
      <c r="B84" s="126"/>
      <c r="C84" s="127"/>
      <c r="D84" s="128" t="s">
        <v>29</v>
      </c>
      <c r="E84" s="129"/>
      <c r="F84" s="131"/>
      <c r="G84" s="146">
        <v>99904.091488999999</v>
      </c>
      <c r="H84" s="65">
        <v>18</v>
      </c>
      <c r="J84" s="65">
        <v>18</v>
      </c>
      <c r="K84" s="126"/>
      <c r="L84" s="127"/>
      <c r="M84" s="128" t="s">
        <v>32</v>
      </c>
      <c r="N84" s="129"/>
      <c r="O84" s="131"/>
      <c r="P84" s="146">
        <v>68575.051999999996</v>
      </c>
      <c r="Q84" s="65">
        <v>18</v>
      </c>
      <c r="S84" s="65">
        <v>18</v>
      </c>
      <c r="T84" s="126"/>
      <c r="U84" s="127"/>
      <c r="V84" s="128" t="s">
        <v>32</v>
      </c>
      <c r="W84" s="129"/>
      <c r="X84" s="131"/>
      <c r="Y84" s="146" t="e">
        <f>IF(#REF!="*",#REF!,"")</f>
        <v>#REF!</v>
      </c>
      <c r="Z84" s="65">
        <v>18</v>
      </c>
      <c r="AB84" s="65">
        <v>18</v>
      </c>
      <c r="AC84" s="126"/>
      <c r="AD84" s="127"/>
      <c r="AE84" s="128" t="s">
        <v>29</v>
      </c>
      <c r="AF84" s="129"/>
      <c r="AG84" s="131"/>
      <c r="AH84" s="145">
        <v>220909.95119058905</v>
      </c>
      <c r="AI84" s="65">
        <v>18</v>
      </c>
      <c r="AK84" s="65">
        <v>18</v>
      </c>
      <c r="AL84" s="126"/>
      <c r="AM84" s="127"/>
      <c r="AN84" s="128" t="s">
        <v>29</v>
      </c>
      <c r="AO84" s="129"/>
      <c r="AP84" s="131"/>
      <c r="AQ84" s="145">
        <v>245160.73957800004</v>
      </c>
      <c r="AR84" s="65">
        <v>18</v>
      </c>
      <c r="AT84" s="65">
        <v>18</v>
      </c>
      <c r="AU84" s="126"/>
      <c r="AV84" s="127"/>
      <c r="AW84" s="128" t="s">
        <v>32</v>
      </c>
      <c r="AX84" s="129"/>
      <c r="AY84" s="131"/>
      <c r="AZ84" s="145" t="e">
        <f>IF(VLOOKUP(AW84,#REF!,27,FALSE)="*",VLOOKUP(AW84,#REF!,26,FALSE),"")</f>
        <v>#REF!</v>
      </c>
      <c r="BA84" s="65">
        <v>18</v>
      </c>
      <c r="BC84" s="65">
        <v>18</v>
      </c>
      <c r="BD84" s="126"/>
      <c r="BE84" s="127"/>
      <c r="BF84" s="128" t="s">
        <v>32</v>
      </c>
      <c r="BG84" s="129"/>
      <c r="BH84" s="131"/>
      <c r="BI84" s="146"/>
      <c r="BJ84" s="65">
        <v>18</v>
      </c>
      <c r="BL84" s="65">
        <v>18</v>
      </c>
      <c r="BM84" s="126"/>
      <c r="BN84" s="127"/>
      <c r="BO84" s="128" t="s">
        <v>32</v>
      </c>
      <c r="BP84" s="129"/>
      <c r="BQ84" s="131"/>
      <c r="BR84" s="146"/>
      <c r="BS84" s="65">
        <v>18</v>
      </c>
      <c r="BU84" s="65">
        <v>18</v>
      </c>
      <c r="BV84" s="126"/>
      <c r="BW84" s="127"/>
      <c r="BX84" s="128" t="s">
        <v>32</v>
      </c>
      <c r="BY84" s="129"/>
      <c r="BZ84" s="131"/>
      <c r="CA84" s="146"/>
      <c r="CB84" s="65">
        <v>18</v>
      </c>
      <c r="CD84" s="65">
        <v>18</v>
      </c>
      <c r="CE84" s="126"/>
      <c r="CF84" s="127"/>
      <c r="CG84" s="128" t="s">
        <v>32</v>
      </c>
      <c r="CH84" s="129"/>
      <c r="CI84" s="131"/>
      <c r="CJ84" s="146"/>
      <c r="CK84" s="65">
        <v>18</v>
      </c>
      <c r="CM84" s="65">
        <v>18</v>
      </c>
      <c r="CN84" s="126"/>
      <c r="CO84" s="127"/>
      <c r="CP84" s="128" t="s">
        <v>32</v>
      </c>
      <c r="CQ84" s="129"/>
      <c r="CR84" s="131"/>
      <c r="CS84" s="146"/>
      <c r="CT84" s="65">
        <v>18</v>
      </c>
    </row>
    <row r="85" spans="1:98">
      <c r="A85" s="65">
        <v>19</v>
      </c>
      <c r="B85" s="132"/>
      <c r="C85" s="133"/>
      <c r="D85" s="134" t="s">
        <v>31</v>
      </c>
      <c r="E85" s="135"/>
      <c r="F85" s="136"/>
      <c r="G85" s="147">
        <v>99904.091488999999</v>
      </c>
      <c r="H85" s="65">
        <v>19</v>
      </c>
      <c r="J85" s="65">
        <v>19</v>
      </c>
      <c r="K85" s="132"/>
      <c r="L85" s="133"/>
      <c r="M85" s="134" t="s">
        <v>34</v>
      </c>
      <c r="N85" s="135"/>
      <c r="O85" s="136"/>
      <c r="P85" s="147">
        <v>68575.051999999996</v>
      </c>
      <c r="Q85" s="65">
        <v>19</v>
      </c>
      <c r="S85" s="65">
        <v>19</v>
      </c>
      <c r="T85" s="132"/>
      <c r="U85" s="133"/>
      <c r="V85" s="134" t="s">
        <v>34</v>
      </c>
      <c r="W85" s="135"/>
      <c r="X85" s="136"/>
      <c r="Y85" s="147" t="e">
        <f>IF(#REF!="*",#REF!,"")</f>
        <v>#REF!</v>
      </c>
      <c r="Z85" s="65">
        <v>19</v>
      </c>
      <c r="AB85" s="65">
        <v>19</v>
      </c>
      <c r="AC85" s="132"/>
      <c r="AD85" s="133"/>
      <c r="AE85" s="134" t="s">
        <v>31</v>
      </c>
      <c r="AF85" s="135"/>
      <c r="AG85" s="136"/>
      <c r="AH85" s="148">
        <v>220909.95119058905</v>
      </c>
      <c r="AI85" s="65">
        <v>19</v>
      </c>
      <c r="AK85" s="65">
        <v>19</v>
      </c>
      <c r="AL85" s="132"/>
      <c r="AM85" s="133"/>
      <c r="AN85" s="134" t="s">
        <v>31</v>
      </c>
      <c r="AO85" s="135"/>
      <c r="AP85" s="136"/>
      <c r="AQ85" s="148">
        <v>245160.73957800004</v>
      </c>
      <c r="AR85" s="65">
        <v>19</v>
      </c>
      <c r="AT85" s="65">
        <v>19</v>
      </c>
      <c r="AU85" s="132"/>
      <c r="AV85" s="133"/>
      <c r="AW85" s="134" t="s">
        <v>34</v>
      </c>
      <c r="AX85" s="135"/>
      <c r="AY85" s="136"/>
      <c r="AZ85" s="148" t="e">
        <f>IF(VLOOKUP(AW85,#REF!,27,FALSE)="*",VLOOKUP(AW85,#REF!,26,FALSE),"")</f>
        <v>#REF!</v>
      </c>
      <c r="BA85" s="65">
        <v>19</v>
      </c>
      <c r="BC85" s="65">
        <v>19</v>
      </c>
      <c r="BD85" s="132"/>
      <c r="BE85" s="133"/>
      <c r="BF85" s="134" t="s">
        <v>34</v>
      </c>
      <c r="BG85" s="135"/>
      <c r="BH85" s="136"/>
      <c r="BI85" s="147"/>
      <c r="BJ85" s="65">
        <v>19</v>
      </c>
      <c r="BL85" s="65">
        <v>19</v>
      </c>
      <c r="BM85" s="132"/>
      <c r="BN85" s="133"/>
      <c r="BO85" s="134" t="s">
        <v>34</v>
      </c>
      <c r="BP85" s="135"/>
      <c r="BQ85" s="136"/>
      <c r="BR85" s="147"/>
      <c r="BS85" s="65">
        <v>19</v>
      </c>
      <c r="BU85" s="65">
        <v>19</v>
      </c>
      <c r="BV85" s="132"/>
      <c r="BW85" s="133"/>
      <c r="BX85" s="134" t="s">
        <v>34</v>
      </c>
      <c r="BY85" s="135"/>
      <c r="BZ85" s="136"/>
      <c r="CA85" s="147"/>
      <c r="CB85" s="65">
        <v>19</v>
      </c>
      <c r="CD85" s="65">
        <v>19</v>
      </c>
      <c r="CE85" s="132"/>
      <c r="CF85" s="133"/>
      <c r="CG85" s="134" t="s">
        <v>34</v>
      </c>
      <c r="CH85" s="135"/>
      <c r="CI85" s="136"/>
      <c r="CJ85" s="147"/>
      <c r="CK85" s="65">
        <v>19</v>
      </c>
      <c r="CM85" s="65">
        <v>19</v>
      </c>
      <c r="CN85" s="132"/>
      <c r="CO85" s="133"/>
      <c r="CP85" s="134" t="s">
        <v>34</v>
      </c>
      <c r="CQ85" s="135"/>
      <c r="CR85" s="136"/>
      <c r="CS85" s="147"/>
      <c r="CT85" s="65">
        <v>19</v>
      </c>
    </row>
    <row r="86" spans="1:98" ht="15.75" thickBot="1">
      <c r="A86" s="65">
        <v>20</v>
      </c>
      <c r="B86" s="149"/>
      <c r="C86" s="150"/>
      <c r="D86" s="151" t="s">
        <v>32</v>
      </c>
      <c r="E86" s="152"/>
      <c r="F86" s="153"/>
      <c r="G86" s="154">
        <v>99904.091488999999</v>
      </c>
      <c r="H86" s="65">
        <v>20</v>
      </c>
      <c r="J86" s="65">
        <v>20</v>
      </c>
      <c r="K86" s="149"/>
      <c r="L86" s="150"/>
      <c r="M86" s="151" t="s">
        <v>36</v>
      </c>
      <c r="N86" s="152"/>
      <c r="O86" s="153"/>
      <c r="P86" s="154">
        <v>68447.72</v>
      </c>
      <c r="Q86" s="65">
        <v>20</v>
      </c>
      <c r="S86" s="65">
        <v>20</v>
      </c>
      <c r="T86" s="149"/>
      <c r="U86" s="150"/>
      <c r="V86" s="151" t="s">
        <v>36</v>
      </c>
      <c r="W86" s="152"/>
      <c r="X86" s="153"/>
      <c r="Y86" s="154" t="e">
        <f>IF(#REF!="*",#REF!,"")</f>
        <v>#REF!</v>
      </c>
      <c r="Z86" s="65">
        <v>20</v>
      </c>
      <c r="AB86" s="65">
        <v>20</v>
      </c>
      <c r="AC86" s="149"/>
      <c r="AD86" s="150"/>
      <c r="AE86" s="151" t="s">
        <v>32</v>
      </c>
      <c r="AF86" s="152"/>
      <c r="AG86" s="153"/>
      <c r="AH86" s="155">
        <v>220909.95119058905</v>
      </c>
      <c r="AI86" s="65">
        <v>20</v>
      </c>
      <c r="AK86" s="65">
        <v>20</v>
      </c>
      <c r="AL86" s="149"/>
      <c r="AM86" s="150"/>
      <c r="AN86" s="151" t="s">
        <v>32</v>
      </c>
      <c r="AO86" s="152"/>
      <c r="AP86" s="153"/>
      <c r="AQ86" s="155">
        <v>245160.73957800004</v>
      </c>
      <c r="AR86" s="65">
        <v>20</v>
      </c>
      <c r="AT86" s="65">
        <v>20</v>
      </c>
      <c r="AU86" s="149"/>
      <c r="AV86" s="150"/>
      <c r="AW86" s="151" t="s">
        <v>36</v>
      </c>
      <c r="AX86" s="152"/>
      <c r="AY86" s="153"/>
      <c r="AZ86" s="155" t="e">
        <f>IF(VLOOKUP(AW86,#REF!,27,FALSE)="*",VLOOKUP(AW86,#REF!,26,FALSE),"")</f>
        <v>#REF!</v>
      </c>
      <c r="BA86" s="65">
        <v>20</v>
      </c>
      <c r="BC86" s="65">
        <v>20</v>
      </c>
      <c r="BD86" s="149"/>
      <c r="BE86" s="150"/>
      <c r="BF86" s="151" t="s">
        <v>36</v>
      </c>
      <c r="BG86" s="152"/>
      <c r="BH86" s="153"/>
      <c r="BI86" s="154"/>
      <c r="BJ86" s="65">
        <v>20</v>
      </c>
      <c r="BL86" s="65">
        <v>20</v>
      </c>
      <c r="BM86" s="149"/>
      <c r="BN86" s="150"/>
      <c r="BO86" s="151" t="s">
        <v>36</v>
      </c>
      <c r="BP86" s="152"/>
      <c r="BQ86" s="153"/>
      <c r="BR86" s="154"/>
      <c r="BS86" s="65">
        <v>20</v>
      </c>
      <c r="BU86" s="65">
        <v>20</v>
      </c>
      <c r="BV86" s="149"/>
      <c r="BW86" s="150"/>
      <c r="BX86" s="151" t="s">
        <v>36</v>
      </c>
      <c r="BY86" s="152"/>
      <c r="BZ86" s="153"/>
      <c r="CA86" s="154"/>
      <c r="CB86" s="65">
        <v>20</v>
      </c>
      <c r="CD86" s="65">
        <v>20</v>
      </c>
      <c r="CE86" s="149"/>
      <c r="CF86" s="150"/>
      <c r="CG86" s="151" t="s">
        <v>36</v>
      </c>
      <c r="CH86" s="152"/>
      <c r="CI86" s="153"/>
      <c r="CJ86" s="154"/>
      <c r="CK86" s="65">
        <v>20</v>
      </c>
      <c r="CM86" s="65">
        <v>20</v>
      </c>
      <c r="CN86" s="149"/>
      <c r="CO86" s="150"/>
      <c r="CP86" s="151" t="s">
        <v>36</v>
      </c>
      <c r="CQ86" s="152"/>
      <c r="CR86" s="153"/>
      <c r="CS86" s="154"/>
      <c r="CT86" s="65">
        <v>20</v>
      </c>
    </row>
    <row r="87" spans="1:98">
      <c r="A87" s="65">
        <v>21</v>
      </c>
      <c r="B87" s="139"/>
      <c r="C87" s="140"/>
      <c r="D87" s="141" t="s">
        <v>34</v>
      </c>
      <c r="E87" s="142"/>
      <c r="F87" s="143"/>
      <c r="G87" s="156">
        <v>99904.091488999999</v>
      </c>
      <c r="H87" s="65">
        <v>21</v>
      </c>
      <c r="J87" s="65">
        <v>21</v>
      </c>
      <c r="K87" s="139"/>
      <c r="L87" s="140"/>
      <c r="M87" s="141" t="s">
        <v>37</v>
      </c>
      <c r="N87" s="142"/>
      <c r="O87" s="143"/>
      <c r="P87" s="156">
        <v>68575.051999999996</v>
      </c>
      <c r="Q87" s="65">
        <v>21</v>
      </c>
      <c r="S87" s="65">
        <v>21</v>
      </c>
      <c r="T87" s="139"/>
      <c r="U87" s="140"/>
      <c r="V87" s="141" t="s">
        <v>37</v>
      </c>
      <c r="W87" s="142"/>
      <c r="X87" s="143"/>
      <c r="Y87" s="156" t="e">
        <f>IF(#REF!="*",#REF!,"")</f>
        <v>#REF!</v>
      </c>
      <c r="Z87" s="65">
        <v>21</v>
      </c>
      <c r="AB87" s="65">
        <v>21</v>
      </c>
      <c r="AC87" s="139"/>
      <c r="AD87" s="140"/>
      <c r="AE87" s="141" t="s">
        <v>34</v>
      </c>
      <c r="AF87" s="142"/>
      <c r="AG87" s="143"/>
      <c r="AH87" s="144">
        <v>220909.95119058905</v>
      </c>
      <c r="AI87" s="65">
        <v>21</v>
      </c>
      <c r="AK87" s="65">
        <v>21</v>
      </c>
      <c r="AL87" s="139"/>
      <c r="AM87" s="140"/>
      <c r="AN87" s="141" t="s">
        <v>34</v>
      </c>
      <c r="AO87" s="142"/>
      <c r="AP87" s="143"/>
      <c r="AQ87" s="144">
        <v>245160.73957800004</v>
      </c>
      <c r="AR87" s="65">
        <v>21</v>
      </c>
      <c r="AT87" s="65">
        <v>21</v>
      </c>
      <c r="AU87" s="139"/>
      <c r="AV87" s="140"/>
      <c r="AW87" s="141" t="s">
        <v>37</v>
      </c>
      <c r="AX87" s="142"/>
      <c r="AY87" s="143"/>
      <c r="AZ87" s="144" t="e">
        <f>IF(VLOOKUP(AW87,#REF!,27,FALSE)="*",VLOOKUP(AW87,#REF!,26,FALSE),"")</f>
        <v>#REF!</v>
      </c>
      <c r="BA87" s="65">
        <v>21</v>
      </c>
      <c r="BC87" s="65">
        <v>21</v>
      </c>
      <c r="BD87" s="139"/>
      <c r="BE87" s="140"/>
      <c r="BF87" s="141" t="s">
        <v>37</v>
      </c>
      <c r="BG87" s="142"/>
      <c r="BH87" s="143"/>
      <c r="BI87" s="156"/>
      <c r="BJ87" s="65">
        <v>21</v>
      </c>
      <c r="BL87" s="65">
        <v>21</v>
      </c>
      <c r="BM87" s="139"/>
      <c r="BN87" s="140"/>
      <c r="BO87" s="141" t="s">
        <v>37</v>
      </c>
      <c r="BP87" s="142"/>
      <c r="BQ87" s="143"/>
      <c r="BR87" s="156"/>
      <c r="BS87" s="65">
        <v>21</v>
      </c>
      <c r="BU87" s="65">
        <v>21</v>
      </c>
      <c r="BV87" s="139"/>
      <c r="BW87" s="140"/>
      <c r="BX87" s="141" t="s">
        <v>37</v>
      </c>
      <c r="BY87" s="142"/>
      <c r="BZ87" s="143"/>
      <c r="CA87" s="156"/>
      <c r="CB87" s="65">
        <v>21</v>
      </c>
      <c r="CD87" s="65">
        <v>21</v>
      </c>
      <c r="CE87" s="139"/>
      <c r="CF87" s="140"/>
      <c r="CG87" s="141" t="s">
        <v>37</v>
      </c>
      <c r="CH87" s="142"/>
      <c r="CI87" s="143"/>
      <c r="CJ87" s="156"/>
      <c r="CK87" s="65">
        <v>21</v>
      </c>
      <c r="CM87" s="65">
        <v>21</v>
      </c>
      <c r="CN87" s="139"/>
      <c r="CO87" s="140"/>
      <c r="CP87" s="141" t="s">
        <v>37</v>
      </c>
      <c r="CQ87" s="142"/>
      <c r="CR87" s="143"/>
      <c r="CS87" s="156"/>
      <c r="CT87" s="65">
        <v>21</v>
      </c>
    </row>
    <row r="88" spans="1:98">
      <c r="A88" s="65">
        <v>22</v>
      </c>
      <c r="B88" s="126"/>
      <c r="C88" s="127"/>
      <c r="D88" s="128" t="s">
        <v>36</v>
      </c>
      <c r="E88" s="129"/>
      <c r="F88" s="130"/>
      <c r="G88" s="146">
        <v>98404.091488999999</v>
      </c>
      <c r="H88" s="65">
        <v>22</v>
      </c>
      <c r="J88" s="65">
        <v>22</v>
      </c>
      <c r="K88" s="126"/>
      <c r="L88" s="127"/>
      <c r="M88" s="128" t="s">
        <v>39</v>
      </c>
      <c r="N88" s="129"/>
      <c r="O88" s="130"/>
      <c r="P88" s="146">
        <v>68575.051999999996</v>
      </c>
      <c r="Q88" s="65">
        <v>22</v>
      </c>
      <c r="S88" s="65">
        <v>22</v>
      </c>
      <c r="T88" s="126"/>
      <c r="U88" s="127"/>
      <c r="V88" s="128" t="s">
        <v>39</v>
      </c>
      <c r="W88" s="129"/>
      <c r="X88" s="130"/>
      <c r="Y88" s="146" t="e">
        <f>IF(#REF!="*",#REF!,"")</f>
        <v>#REF!</v>
      </c>
      <c r="Z88" s="65">
        <v>22</v>
      </c>
      <c r="AB88" s="65">
        <v>22</v>
      </c>
      <c r="AC88" s="126"/>
      <c r="AD88" s="127"/>
      <c r="AE88" s="128" t="s">
        <v>36</v>
      </c>
      <c r="AF88" s="129"/>
      <c r="AG88" s="130"/>
      <c r="AH88" s="145">
        <v>219909.95119058905</v>
      </c>
      <c r="AI88" s="65">
        <v>22</v>
      </c>
      <c r="AK88" s="65">
        <v>22</v>
      </c>
      <c r="AL88" s="126"/>
      <c r="AM88" s="127"/>
      <c r="AN88" s="128" t="s">
        <v>36</v>
      </c>
      <c r="AO88" s="129"/>
      <c r="AP88" s="130"/>
      <c r="AQ88" s="145">
        <v>244160.73957800004</v>
      </c>
      <c r="AR88" s="65">
        <v>22</v>
      </c>
      <c r="AT88" s="65">
        <v>22</v>
      </c>
      <c r="AU88" s="126"/>
      <c r="AV88" s="127"/>
      <c r="AW88" s="128" t="s">
        <v>39</v>
      </c>
      <c r="AX88" s="129"/>
      <c r="AY88" s="130"/>
      <c r="AZ88" s="145" t="e">
        <f>IF(VLOOKUP(AW88,#REF!,27,FALSE)="*",VLOOKUP(AW88,#REF!,26,FALSE),"")</f>
        <v>#REF!</v>
      </c>
      <c r="BA88" s="65">
        <v>22</v>
      </c>
      <c r="BC88" s="65">
        <v>22</v>
      </c>
      <c r="BD88" s="126"/>
      <c r="BE88" s="127"/>
      <c r="BF88" s="128" t="s">
        <v>39</v>
      </c>
      <c r="BG88" s="129"/>
      <c r="BH88" s="130"/>
      <c r="BI88" s="146"/>
      <c r="BJ88" s="65">
        <v>22</v>
      </c>
      <c r="BL88" s="65">
        <v>22</v>
      </c>
      <c r="BM88" s="126"/>
      <c r="BN88" s="127"/>
      <c r="BO88" s="128" t="s">
        <v>39</v>
      </c>
      <c r="BP88" s="129"/>
      <c r="BQ88" s="130"/>
      <c r="BR88" s="146"/>
      <c r="BS88" s="65">
        <v>22</v>
      </c>
      <c r="BU88" s="65">
        <v>22</v>
      </c>
      <c r="BV88" s="126"/>
      <c r="BW88" s="127"/>
      <c r="BX88" s="128" t="s">
        <v>39</v>
      </c>
      <c r="BY88" s="129"/>
      <c r="BZ88" s="130"/>
      <c r="CA88" s="146"/>
      <c r="CB88" s="65">
        <v>22</v>
      </c>
      <c r="CD88" s="65">
        <v>22</v>
      </c>
      <c r="CE88" s="126"/>
      <c r="CF88" s="127"/>
      <c r="CG88" s="128" t="s">
        <v>39</v>
      </c>
      <c r="CH88" s="129"/>
      <c r="CI88" s="130"/>
      <c r="CJ88" s="146"/>
      <c r="CK88" s="65">
        <v>22</v>
      </c>
      <c r="CM88" s="65">
        <v>22</v>
      </c>
      <c r="CN88" s="126"/>
      <c r="CO88" s="127"/>
      <c r="CP88" s="128" t="s">
        <v>39</v>
      </c>
      <c r="CQ88" s="129"/>
      <c r="CR88" s="130"/>
      <c r="CS88" s="146"/>
      <c r="CT88" s="65">
        <v>22</v>
      </c>
    </row>
    <row r="89" spans="1:98">
      <c r="A89" s="65">
        <v>23</v>
      </c>
      <c r="B89" s="126"/>
      <c r="C89" s="127"/>
      <c r="D89" s="128" t="s">
        <v>37</v>
      </c>
      <c r="E89" s="129"/>
      <c r="F89" s="131"/>
      <c r="G89" s="146">
        <v>99904.091488999999</v>
      </c>
      <c r="H89" s="65">
        <v>23</v>
      </c>
      <c r="J89" s="65">
        <v>23</v>
      </c>
      <c r="K89" s="126"/>
      <c r="L89" s="127"/>
      <c r="M89" s="128" t="s">
        <v>40</v>
      </c>
      <c r="N89" s="129"/>
      <c r="O89" s="131"/>
      <c r="P89" s="146">
        <f>68575.052+99904.1</f>
        <v>168479.152</v>
      </c>
      <c r="Q89" s="65">
        <v>23</v>
      </c>
      <c r="S89" s="65">
        <v>23</v>
      </c>
      <c r="T89" s="126"/>
      <c r="U89" s="127"/>
      <c r="V89" s="128" t="s">
        <v>40</v>
      </c>
      <c r="W89" s="129"/>
      <c r="X89" s="131"/>
      <c r="Y89" s="146" t="e">
        <f>IF(#REF!="*",#REF!,"")</f>
        <v>#REF!</v>
      </c>
      <c r="Z89" s="65">
        <v>23</v>
      </c>
      <c r="AB89" s="65">
        <v>23</v>
      </c>
      <c r="AC89" s="126"/>
      <c r="AD89" s="127"/>
      <c r="AE89" s="128" t="s">
        <v>37</v>
      </c>
      <c r="AF89" s="129"/>
      <c r="AG89" s="131"/>
      <c r="AH89" s="145">
        <v>220909.95119058905</v>
      </c>
      <c r="AI89" s="65">
        <v>23</v>
      </c>
      <c r="AK89" s="65">
        <v>23</v>
      </c>
      <c r="AL89" s="126"/>
      <c r="AM89" s="127"/>
      <c r="AN89" s="128" t="s">
        <v>37</v>
      </c>
      <c r="AO89" s="129"/>
      <c r="AP89" s="131"/>
      <c r="AQ89" s="145">
        <v>245160.73957800004</v>
      </c>
      <c r="AR89" s="65">
        <v>23</v>
      </c>
      <c r="AT89" s="65">
        <v>23</v>
      </c>
      <c r="AU89" s="126"/>
      <c r="AV89" s="127"/>
      <c r="AW89" s="128" t="s">
        <v>40</v>
      </c>
      <c r="AX89" s="129"/>
      <c r="AY89" s="131"/>
      <c r="AZ89" s="145" t="e">
        <f>IF(VLOOKUP(AW89,#REF!,27,FALSE)="*",VLOOKUP(AW89,#REF!,26,FALSE),"")</f>
        <v>#REF!</v>
      </c>
      <c r="BA89" s="65">
        <v>23</v>
      </c>
      <c r="BC89" s="65">
        <v>23</v>
      </c>
      <c r="BD89" s="126"/>
      <c r="BE89" s="127"/>
      <c r="BF89" s="128" t="s">
        <v>40</v>
      </c>
      <c r="BG89" s="129"/>
      <c r="BH89" s="131"/>
      <c r="BI89" s="146"/>
      <c r="BJ89" s="65">
        <v>23</v>
      </c>
      <c r="BL89" s="65">
        <v>23</v>
      </c>
      <c r="BM89" s="126"/>
      <c r="BN89" s="127"/>
      <c r="BO89" s="128" t="s">
        <v>40</v>
      </c>
      <c r="BP89" s="129"/>
      <c r="BQ89" s="131"/>
      <c r="BR89" s="146"/>
      <c r="BS89" s="65">
        <v>23</v>
      </c>
      <c r="BU89" s="65">
        <v>23</v>
      </c>
      <c r="BV89" s="126"/>
      <c r="BW89" s="127"/>
      <c r="BX89" s="128" t="s">
        <v>40</v>
      </c>
      <c r="BY89" s="129"/>
      <c r="BZ89" s="131"/>
      <c r="CA89" s="146"/>
      <c r="CB89" s="65">
        <v>23</v>
      </c>
      <c r="CD89" s="65">
        <v>23</v>
      </c>
      <c r="CE89" s="126"/>
      <c r="CF89" s="127"/>
      <c r="CG89" s="128" t="s">
        <v>40</v>
      </c>
      <c r="CH89" s="129"/>
      <c r="CI89" s="131"/>
      <c r="CJ89" s="146"/>
      <c r="CK89" s="65">
        <v>23</v>
      </c>
      <c r="CM89" s="65">
        <v>23</v>
      </c>
      <c r="CN89" s="126"/>
      <c r="CO89" s="127"/>
      <c r="CP89" s="128" t="s">
        <v>40</v>
      </c>
      <c r="CQ89" s="129"/>
      <c r="CR89" s="131"/>
      <c r="CS89" s="146"/>
      <c r="CT89" s="65">
        <v>23</v>
      </c>
    </row>
    <row r="90" spans="1:98">
      <c r="A90" s="65">
        <v>24</v>
      </c>
      <c r="B90" s="132"/>
      <c r="C90" s="133"/>
      <c r="D90" s="134" t="s">
        <v>39</v>
      </c>
      <c r="E90" s="135"/>
      <c r="F90" s="136"/>
      <c r="G90" s="147">
        <v>99904.091488999999</v>
      </c>
      <c r="H90" s="65">
        <v>24</v>
      </c>
      <c r="J90" s="65">
        <v>24</v>
      </c>
      <c r="K90" s="132"/>
      <c r="L90" s="133"/>
      <c r="M90" s="134" t="s">
        <v>41</v>
      </c>
      <c r="N90" s="135"/>
      <c r="O90" s="136"/>
      <c r="P90" s="147">
        <v>68575.051999999996</v>
      </c>
      <c r="Q90" s="65">
        <v>24</v>
      </c>
      <c r="S90" s="65">
        <v>24</v>
      </c>
      <c r="T90" s="132"/>
      <c r="U90" s="133"/>
      <c r="V90" s="134" t="s">
        <v>41</v>
      </c>
      <c r="W90" s="135"/>
      <c r="X90" s="136"/>
      <c r="Y90" s="147" t="e">
        <f>IF(#REF!="*",#REF!,"")</f>
        <v>#REF!</v>
      </c>
      <c r="Z90" s="65">
        <v>24</v>
      </c>
      <c r="AB90" s="65">
        <v>24</v>
      </c>
      <c r="AC90" s="132"/>
      <c r="AD90" s="133"/>
      <c r="AE90" s="134" t="s">
        <v>39</v>
      </c>
      <c r="AF90" s="135"/>
      <c r="AG90" s="136"/>
      <c r="AH90" s="148">
        <v>220909.95119058905</v>
      </c>
      <c r="AI90" s="65">
        <v>24</v>
      </c>
      <c r="AK90" s="65">
        <v>24</v>
      </c>
      <c r="AL90" s="132"/>
      <c r="AM90" s="133"/>
      <c r="AN90" s="134" t="s">
        <v>39</v>
      </c>
      <c r="AO90" s="135"/>
      <c r="AP90" s="136"/>
      <c r="AQ90" s="148">
        <v>245160.73957800004</v>
      </c>
      <c r="AR90" s="65">
        <v>24</v>
      </c>
      <c r="AT90" s="65">
        <v>24</v>
      </c>
      <c r="AU90" s="132"/>
      <c r="AV90" s="133"/>
      <c r="AW90" s="134" t="s">
        <v>41</v>
      </c>
      <c r="AX90" s="135"/>
      <c r="AY90" s="136"/>
      <c r="AZ90" s="148" t="e">
        <f>IF(VLOOKUP(AW90,#REF!,27,FALSE)="*",VLOOKUP(AW90,#REF!,26,FALSE),"")</f>
        <v>#REF!</v>
      </c>
      <c r="BA90" s="65">
        <v>24</v>
      </c>
      <c r="BC90" s="65">
        <v>24</v>
      </c>
      <c r="BD90" s="132"/>
      <c r="BE90" s="133"/>
      <c r="BF90" s="134" t="s">
        <v>41</v>
      </c>
      <c r="BG90" s="135"/>
      <c r="BH90" s="136"/>
      <c r="BI90" s="147"/>
      <c r="BJ90" s="65">
        <v>24</v>
      </c>
      <c r="BL90" s="65">
        <v>24</v>
      </c>
      <c r="BM90" s="132"/>
      <c r="BN90" s="133"/>
      <c r="BO90" s="134" t="s">
        <v>41</v>
      </c>
      <c r="BP90" s="135"/>
      <c r="BQ90" s="136"/>
      <c r="BR90" s="147"/>
      <c r="BS90" s="65">
        <v>24</v>
      </c>
      <c r="BU90" s="65">
        <v>24</v>
      </c>
      <c r="BV90" s="132"/>
      <c r="BW90" s="133"/>
      <c r="BX90" s="134" t="s">
        <v>41</v>
      </c>
      <c r="BY90" s="135"/>
      <c r="BZ90" s="136"/>
      <c r="CA90" s="147"/>
      <c r="CB90" s="65">
        <v>24</v>
      </c>
      <c r="CD90" s="65">
        <v>24</v>
      </c>
      <c r="CE90" s="132"/>
      <c r="CF90" s="133"/>
      <c r="CG90" s="134" t="s">
        <v>41</v>
      </c>
      <c r="CH90" s="135"/>
      <c r="CI90" s="136"/>
      <c r="CJ90" s="147"/>
      <c r="CK90" s="65">
        <v>24</v>
      </c>
      <c r="CM90" s="65">
        <v>24</v>
      </c>
      <c r="CN90" s="132"/>
      <c r="CO90" s="133"/>
      <c r="CP90" s="134" t="s">
        <v>41</v>
      </c>
      <c r="CQ90" s="135"/>
      <c r="CR90" s="136"/>
      <c r="CS90" s="147"/>
      <c r="CT90" s="65">
        <v>24</v>
      </c>
    </row>
    <row r="91" spans="1:98" ht="15.75" thickBot="1">
      <c r="A91" s="65">
        <v>25</v>
      </c>
      <c r="B91" s="149"/>
      <c r="C91" s="150"/>
      <c r="D91" s="151" t="s">
        <v>40</v>
      </c>
      <c r="E91" s="152"/>
      <c r="F91" s="153"/>
      <c r="G91" s="147">
        <v>99904.091488999999</v>
      </c>
      <c r="H91" s="65">
        <v>25</v>
      </c>
      <c r="J91" s="65">
        <v>25</v>
      </c>
      <c r="K91" s="149"/>
      <c r="L91" s="150"/>
      <c r="M91" s="151" t="s">
        <v>43</v>
      </c>
      <c r="N91" s="152"/>
      <c r="O91" s="153"/>
      <c r="P91" s="154">
        <v>68575.051999999996</v>
      </c>
      <c r="Q91" s="65">
        <v>25</v>
      </c>
      <c r="S91" s="65">
        <v>25</v>
      </c>
      <c r="T91" s="149"/>
      <c r="U91" s="150"/>
      <c r="V91" s="151" t="s">
        <v>43</v>
      </c>
      <c r="W91" s="152"/>
      <c r="X91" s="153"/>
      <c r="Y91" s="154" t="e">
        <f>IF(#REF!="*",#REF!,"")</f>
        <v>#REF!</v>
      </c>
      <c r="Z91" s="65">
        <v>25</v>
      </c>
      <c r="AB91" s="65">
        <v>25</v>
      </c>
      <c r="AC91" s="149"/>
      <c r="AD91" s="150"/>
      <c r="AE91" s="151" t="s">
        <v>40</v>
      </c>
      <c r="AF91" s="152"/>
      <c r="AG91" s="153"/>
      <c r="AH91" s="155">
        <v>220909.95119058905</v>
      </c>
      <c r="AI91" s="65">
        <v>25</v>
      </c>
      <c r="AK91" s="65">
        <v>25</v>
      </c>
      <c r="AL91" s="149"/>
      <c r="AM91" s="150"/>
      <c r="AN91" s="151" t="s">
        <v>40</v>
      </c>
      <c r="AO91" s="152"/>
      <c r="AP91" s="153"/>
      <c r="AQ91" s="148">
        <v>245160.73957800004</v>
      </c>
      <c r="AR91" s="65">
        <v>25</v>
      </c>
      <c r="AT91" s="65">
        <v>25</v>
      </c>
      <c r="AU91" s="149"/>
      <c r="AV91" s="150"/>
      <c r="AW91" s="151" t="s">
        <v>43</v>
      </c>
      <c r="AX91" s="152"/>
      <c r="AY91" s="153"/>
      <c r="AZ91" s="155" t="e">
        <f>IF(VLOOKUP(AW91,#REF!,27,FALSE)="*",VLOOKUP(AW91,#REF!,26,FALSE),"")</f>
        <v>#REF!</v>
      </c>
      <c r="BA91" s="65">
        <v>25</v>
      </c>
      <c r="BC91" s="65">
        <v>25</v>
      </c>
      <c r="BD91" s="149"/>
      <c r="BE91" s="150"/>
      <c r="BF91" s="151" t="s">
        <v>43</v>
      </c>
      <c r="BG91" s="152"/>
      <c r="BH91" s="153"/>
      <c r="BI91" s="154"/>
      <c r="BJ91" s="65">
        <v>25</v>
      </c>
      <c r="BL91" s="65">
        <v>25</v>
      </c>
      <c r="BM91" s="149"/>
      <c r="BN91" s="150"/>
      <c r="BO91" s="151" t="s">
        <v>43</v>
      </c>
      <c r="BP91" s="152"/>
      <c r="BQ91" s="153"/>
      <c r="BR91" s="154"/>
      <c r="BS91" s="65">
        <v>25</v>
      </c>
      <c r="BU91" s="65">
        <v>25</v>
      </c>
      <c r="BV91" s="149"/>
      <c r="BW91" s="150"/>
      <c r="BX91" s="151" t="s">
        <v>43</v>
      </c>
      <c r="BY91" s="152"/>
      <c r="BZ91" s="153"/>
      <c r="CA91" s="154"/>
      <c r="CB91" s="65">
        <v>25</v>
      </c>
      <c r="CD91" s="65">
        <v>25</v>
      </c>
      <c r="CE91" s="149"/>
      <c r="CF91" s="150"/>
      <c r="CG91" s="151" t="s">
        <v>43</v>
      </c>
      <c r="CH91" s="152"/>
      <c r="CI91" s="153"/>
      <c r="CJ91" s="154"/>
      <c r="CK91" s="65">
        <v>25</v>
      </c>
      <c r="CM91" s="65">
        <v>25</v>
      </c>
      <c r="CN91" s="149"/>
      <c r="CO91" s="150"/>
      <c r="CP91" s="151" t="s">
        <v>43</v>
      </c>
      <c r="CQ91" s="152"/>
      <c r="CR91" s="153"/>
      <c r="CS91" s="154"/>
      <c r="CT91" s="65">
        <v>25</v>
      </c>
    </row>
    <row r="92" spans="1:98">
      <c r="A92" s="65">
        <v>26</v>
      </c>
      <c r="B92" s="139"/>
      <c r="C92" s="140"/>
      <c r="D92" s="141" t="s">
        <v>41</v>
      </c>
      <c r="E92" s="142"/>
      <c r="F92" s="143"/>
      <c r="G92" s="156">
        <v>99904.091488999999</v>
      </c>
      <c r="H92" s="65">
        <v>26</v>
      </c>
      <c r="J92" s="65">
        <v>26</v>
      </c>
      <c r="K92" s="139"/>
      <c r="L92" s="140"/>
      <c r="M92" s="141" t="s">
        <v>44</v>
      </c>
      <c r="N92" s="142"/>
      <c r="O92" s="143"/>
      <c r="P92" s="156">
        <v>68575.051999999996</v>
      </c>
      <c r="Q92" s="65">
        <v>26</v>
      </c>
      <c r="S92" s="65">
        <v>26</v>
      </c>
      <c r="T92" s="139"/>
      <c r="U92" s="140"/>
      <c r="V92" s="141" t="s">
        <v>44</v>
      </c>
      <c r="W92" s="142"/>
      <c r="X92" s="143"/>
      <c r="Y92" s="156" t="e">
        <f>IF(#REF!="*",#REF!,"")</f>
        <v>#REF!</v>
      </c>
      <c r="Z92" s="65">
        <v>26</v>
      </c>
      <c r="AB92" s="65">
        <v>26</v>
      </c>
      <c r="AC92" s="139"/>
      <c r="AD92" s="140"/>
      <c r="AE92" s="141" t="s">
        <v>41</v>
      </c>
      <c r="AF92" s="142"/>
      <c r="AG92" s="143"/>
      <c r="AH92" s="144">
        <v>220909.95119058905</v>
      </c>
      <c r="AI92" s="65">
        <v>26</v>
      </c>
      <c r="AK92" s="65">
        <v>26</v>
      </c>
      <c r="AL92" s="139"/>
      <c r="AM92" s="140"/>
      <c r="AN92" s="141" t="s">
        <v>41</v>
      </c>
      <c r="AO92" s="142"/>
      <c r="AP92" s="143"/>
      <c r="AQ92" s="144">
        <v>245160.73957800004</v>
      </c>
      <c r="AR92" s="65">
        <v>26</v>
      </c>
      <c r="AT92" s="65">
        <v>26</v>
      </c>
      <c r="AU92" s="139"/>
      <c r="AV92" s="140"/>
      <c r="AW92" s="141" t="s">
        <v>44</v>
      </c>
      <c r="AX92" s="142"/>
      <c r="AY92" s="143"/>
      <c r="AZ92" s="144" t="e">
        <f>IF(VLOOKUP(AW92,#REF!,27,FALSE)="*",VLOOKUP(AW92,#REF!,26,FALSE),"")</f>
        <v>#REF!</v>
      </c>
      <c r="BA92" s="65">
        <v>26</v>
      </c>
      <c r="BC92" s="65">
        <v>26</v>
      </c>
      <c r="BD92" s="139"/>
      <c r="BE92" s="140"/>
      <c r="BF92" s="141" t="s">
        <v>44</v>
      </c>
      <c r="BG92" s="142"/>
      <c r="BH92" s="143"/>
      <c r="BI92" s="156"/>
      <c r="BJ92" s="65">
        <v>26</v>
      </c>
      <c r="BL92" s="65">
        <v>26</v>
      </c>
      <c r="BM92" s="139"/>
      <c r="BN92" s="140"/>
      <c r="BO92" s="141" t="s">
        <v>44</v>
      </c>
      <c r="BP92" s="142"/>
      <c r="BQ92" s="143"/>
      <c r="BR92" s="156"/>
      <c r="BS92" s="65">
        <v>26</v>
      </c>
      <c r="BU92" s="65">
        <v>26</v>
      </c>
      <c r="BV92" s="139"/>
      <c r="BW92" s="140"/>
      <c r="BX92" s="141" t="s">
        <v>44</v>
      </c>
      <c r="BY92" s="142"/>
      <c r="BZ92" s="143"/>
      <c r="CA92" s="156"/>
      <c r="CB92" s="65">
        <v>26</v>
      </c>
      <c r="CD92" s="65">
        <v>26</v>
      </c>
      <c r="CE92" s="139"/>
      <c r="CF92" s="140"/>
      <c r="CG92" s="141" t="s">
        <v>44</v>
      </c>
      <c r="CH92" s="142"/>
      <c r="CI92" s="143"/>
      <c r="CJ92" s="156"/>
      <c r="CK92" s="65">
        <v>26</v>
      </c>
      <c r="CM92" s="65">
        <v>26</v>
      </c>
      <c r="CN92" s="139"/>
      <c r="CO92" s="140"/>
      <c r="CP92" s="141" t="s">
        <v>44</v>
      </c>
      <c r="CQ92" s="142"/>
      <c r="CR92" s="143"/>
      <c r="CS92" s="156"/>
      <c r="CT92" s="65">
        <v>26</v>
      </c>
    </row>
    <row r="93" spans="1:98">
      <c r="A93" s="65">
        <v>27</v>
      </c>
      <c r="B93" s="126"/>
      <c r="C93" s="127"/>
      <c r="D93" s="128" t="s">
        <v>43</v>
      </c>
      <c r="E93" s="129"/>
      <c r="F93" s="130"/>
      <c r="G93" s="146">
        <v>99904.091488999999</v>
      </c>
      <c r="H93" s="65">
        <v>27</v>
      </c>
      <c r="J93" s="65">
        <v>27</v>
      </c>
      <c r="K93" s="126"/>
      <c r="L93" s="127"/>
      <c r="M93" s="128" t="s">
        <v>45</v>
      </c>
      <c r="N93" s="129"/>
      <c r="O93" s="130"/>
      <c r="P93" s="146">
        <v>68575.051999999996</v>
      </c>
      <c r="Q93" s="65">
        <v>27</v>
      </c>
      <c r="S93" s="65">
        <v>27</v>
      </c>
      <c r="T93" s="126"/>
      <c r="U93" s="127"/>
      <c r="V93" s="128" t="s">
        <v>45</v>
      </c>
      <c r="W93" s="129"/>
      <c r="X93" s="130"/>
      <c r="Y93" s="146" t="e">
        <f>IF(#REF!="*",#REF!,"")</f>
        <v>#REF!</v>
      </c>
      <c r="Z93" s="65">
        <v>27</v>
      </c>
      <c r="AB93" s="65">
        <v>27</v>
      </c>
      <c r="AC93" s="126"/>
      <c r="AD93" s="127"/>
      <c r="AE93" s="128" t="s">
        <v>43</v>
      </c>
      <c r="AF93" s="129"/>
      <c r="AG93" s="130"/>
      <c r="AH93" s="145">
        <v>220909.95119058905</v>
      </c>
      <c r="AI93" s="65">
        <v>27</v>
      </c>
      <c r="AK93" s="65">
        <v>27</v>
      </c>
      <c r="AL93" s="126"/>
      <c r="AM93" s="127"/>
      <c r="AN93" s="128" t="s">
        <v>43</v>
      </c>
      <c r="AO93" s="129"/>
      <c r="AP93" s="130"/>
      <c r="AQ93" s="145">
        <v>245160.73957800004</v>
      </c>
      <c r="AR93" s="65">
        <v>27</v>
      </c>
      <c r="AT93" s="65">
        <v>27</v>
      </c>
      <c r="AU93" s="126"/>
      <c r="AV93" s="127"/>
      <c r="AW93" s="128" t="s">
        <v>45</v>
      </c>
      <c r="AX93" s="129"/>
      <c r="AY93" s="130"/>
      <c r="AZ93" s="145" t="e">
        <f>IF(VLOOKUP(AW93,#REF!,27,FALSE)="*",VLOOKUP(AW93,#REF!,26,FALSE),"")</f>
        <v>#REF!</v>
      </c>
      <c r="BA93" s="65">
        <v>27</v>
      </c>
      <c r="BC93" s="65">
        <v>27</v>
      </c>
      <c r="BD93" s="126"/>
      <c r="BE93" s="127"/>
      <c r="BF93" s="128" t="s">
        <v>45</v>
      </c>
      <c r="BG93" s="129"/>
      <c r="BH93" s="130"/>
      <c r="BI93" s="146"/>
      <c r="BJ93" s="65">
        <v>27</v>
      </c>
      <c r="BL93" s="65">
        <v>27</v>
      </c>
      <c r="BM93" s="126"/>
      <c r="BN93" s="127"/>
      <c r="BO93" s="128" t="s">
        <v>45</v>
      </c>
      <c r="BP93" s="129"/>
      <c r="BQ93" s="130"/>
      <c r="BR93" s="146"/>
      <c r="BS93" s="65">
        <v>27</v>
      </c>
      <c r="BU93" s="65">
        <v>27</v>
      </c>
      <c r="BV93" s="126"/>
      <c r="BW93" s="127"/>
      <c r="BX93" s="128" t="s">
        <v>45</v>
      </c>
      <c r="BY93" s="129"/>
      <c r="BZ93" s="130"/>
      <c r="CA93" s="146"/>
      <c r="CB93" s="65">
        <v>27</v>
      </c>
      <c r="CD93" s="65">
        <v>27</v>
      </c>
      <c r="CE93" s="126"/>
      <c r="CF93" s="127"/>
      <c r="CG93" s="128" t="s">
        <v>45</v>
      </c>
      <c r="CH93" s="129"/>
      <c r="CI93" s="130"/>
      <c r="CJ93" s="146"/>
      <c r="CK93" s="65">
        <v>27</v>
      </c>
      <c r="CM93" s="65">
        <v>27</v>
      </c>
      <c r="CN93" s="126"/>
      <c r="CO93" s="127"/>
      <c r="CP93" s="128" t="s">
        <v>45</v>
      </c>
      <c r="CQ93" s="129"/>
      <c r="CR93" s="130"/>
      <c r="CS93" s="146"/>
      <c r="CT93" s="65">
        <v>27</v>
      </c>
    </row>
    <row r="94" spans="1:98">
      <c r="A94" s="65">
        <v>28</v>
      </c>
      <c r="B94" s="126"/>
      <c r="C94" s="127"/>
      <c r="D94" s="128" t="s">
        <v>44</v>
      </c>
      <c r="E94" s="129"/>
      <c r="F94" s="131"/>
      <c r="G94" s="146">
        <v>99904.091488999999</v>
      </c>
      <c r="H94" s="65">
        <v>28</v>
      </c>
      <c r="J94" s="65">
        <v>28</v>
      </c>
      <c r="K94" s="126"/>
      <c r="L94" s="127"/>
      <c r="M94" s="128" t="s">
        <v>47</v>
      </c>
      <c r="N94" s="129"/>
      <c r="O94" s="131"/>
      <c r="P94" s="146">
        <v>107673.21199999998</v>
      </c>
      <c r="Q94" s="65">
        <v>28</v>
      </c>
      <c r="S94" s="65">
        <v>28</v>
      </c>
      <c r="T94" s="126"/>
      <c r="U94" s="127"/>
      <c r="V94" s="128" t="s">
        <v>47</v>
      </c>
      <c r="W94" s="129"/>
      <c r="X94" s="131"/>
      <c r="Y94" s="146" t="e">
        <f>IF(#REF!="*",#REF!,"")</f>
        <v>#REF!</v>
      </c>
      <c r="Z94" s="65">
        <v>28</v>
      </c>
      <c r="AB94" s="65">
        <v>28</v>
      </c>
      <c r="AC94" s="126"/>
      <c r="AD94" s="127"/>
      <c r="AE94" s="128" t="s">
        <v>44</v>
      </c>
      <c r="AF94" s="129"/>
      <c r="AG94" s="131"/>
      <c r="AH94" s="145">
        <v>220909.95119058905</v>
      </c>
      <c r="AI94" s="65">
        <v>28</v>
      </c>
      <c r="AK94" s="65">
        <v>28</v>
      </c>
      <c r="AL94" s="126"/>
      <c r="AM94" s="127"/>
      <c r="AN94" s="128" t="s">
        <v>44</v>
      </c>
      <c r="AO94" s="129"/>
      <c r="AP94" s="131"/>
      <c r="AQ94" s="145">
        <v>245160.73957800004</v>
      </c>
      <c r="AR94" s="65">
        <v>28</v>
      </c>
      <c r="AT94" s="65">
        <v>28</v>
      </c>
      <c r="AU94" s="126"/>
      <c r="AV94" s="127"/>
      <c r="AW94" s="128" t="s">
        <v>47</v>
      </c>
      <c r="AX94" s="129"/>
      <c r="AY94" s="131"/>
      <c r="AZ94" s="145" t="e">
        <f>IF(VLOOKUP(AW94,#REF!,27,FALSE)="*",VLOOKUP(AW94,#REF!,26,FALSE),"")</f>
        <v>#REF!</v>
      </c>
      <c r="BA94" s="65">
        <v>28</v>
      </c>
      <c r="BC94" s="65">
        <v>28</v>
      </c>
      <c r="BD94" s="126"/>
      <c r="BE94" s="127"/>
      <c r="BF94" s="128" t="s">
        <v>47</v>
      </c>
      <c r="BG94" s="129"/>
      <c r="BH94" s="131"/>
      <c r="BI94" s="146"/>
      <c r="BJ94" s="65">
        <v>28</v>
      </c>
      <c r="BL94" s="65">
        <v>28</v>
      </c>
      <c r="BM94" s="126"/>
      <c r="BN94" s="127"/>
      <c r="BO94" s="128" t="s">
        <v>47</v>
      </c>
      <c r="BP94" s="129"/>
      <c r="BQ94" s="131"/>
      <c r="BR94" s="146"/>
      <c r="BS94" s="65">
        <v>28</v>
      </c>
      <c r="BU94" s="65">
        <v>28</v>
      </c>
      <c r="BV94" s="126"/>
      <c r="BW94" s="127"/>
      <c r="BX94" s="128" t="s">
        <v>47</v>
      </c>
      <c r="BY94" s="129"/>
      <c r="BZ94" s="131"/>
      <c r="CA94" s="146"/>
      <c r="CB94" s="65">
        <v>28</v>
      </c>
      <c r="CD94" s="65">
        <v>28</v>
      </c>
      <c r="CE94" s="126"/>
      <c r="CF94" s="127"/>
      <c r="CG94" s="128" t="s">
        <v>47</v>
      </c>
      <c r="CH94" s="129"/>
      <c r="CI94" s="131"/>
      <c r="CJ94" s="146"/>
      <c r="CK94" s="65">
        <v>28</v>
      </c>
      <c r="CM94" s="65">
        <v>28</v>
      </c>
      <c r="CN94" s="126"/>
      <c r="CO94" s="127"/>
      <c r="CP94" s="128" t="s">
        <v>47</v>
      </c>
      <c r="CQ94" s="129"/>
      <c r="CR94" s="131"/>
      <c r="CS94" s="146"/>
      <c r="CT94" s="65">
        <v>28</v>
      </c>
    </row>
    <row r="95" spans="1:98">
      <c r="A95" s="65">
        <v>29</v>
      </c>
      <c r="B95" s="132"/>
      <c r="C95" s="133"/>
      <c r="D95" s="134" t="s">
        <v>45</v>
      </c>
      <c r="E95" s="135"/>
      <c r="F95" s="136"/>
      <c r="G95" s="147">
        <v>99904.091488999999</v>
      </c>
      <c r="H95" s="65">
        <v>29</v>
      </c>
      <c r="J95" s="65">
        <v>29</v>
      </c>
      <c r="K95" s="132"/>
      <c r="L95" s="133"/>
      <c r="M95" s="134" t="s">
        <v>49</v>
      </c>
      <c r="N95" s="135"/>
      <c r="O95" s="136"/>
      <c r="P95" s="147">
        <v>107673.21199999998</v>
      </c>
      <c r="Q95" s="65">
        <v>29</v>
      </c>
      <c r="S95" s="65">
        <v>29</v>
      </c>
      <c r="T95" s="132"/>
      <c r="U95" s="133"/>
      <c r="V95" s="134" t="s">
        <v>49</v>
      </c>
      <c r="W95" s="135"/>
      <c r="X95" s="136"/>
      <c r="Y95" s="147" t="e">
        <f>IF(#REF!="*",#REF!,"")</f>
        <v>#REF!</v>
      </c>
      <c r="Z95" s="65">
        <v>29</v>
      </c>
      <c r="AB95" s="65">
        <v>29</v>
      </c>
      <c r="AC95" s="132"/>
      <c r="AD95" s="133"/>
      <c r="AE95" s="134" t="s">
        <v>45</v>
      </c>
      <c r="AF95" s="135"/>
      <c r="AG95" s="136"/>
      <c r="AH95" s="148"/>
      <c r="AI95" s="65">
        <v>29</v>
      </c>
      <c r="AK95" s="65">
        <v>29</v>
      </c>
      <c r="AL95" s="132"/>
      <c r="AM95" s="133"/>
      <c r="AN95" s="134" t="s">
        <v>45</v>
      </c>
      <c r="AO95" s="135"/>
      <c r="AP95" s="136"/>
      <c r="AQ95" s="148"/>
      <c r="AR95" s="65">
        <v>29</v>
      </c>
      <c r="AT95" s="65">
        <v>29</v>
      </c>
      <c r="AU95" s="132"/>
      <c r="AV95" s="133"/>
      <c r="AW95" s="134" t="s">
        <v>49</v>
      </c>
      <c r="AX95" s="135"/>
      <c r="AY95" s="136"/>
      <c r="AZ95" s="148" t="e">
        <f>IF(VLOOKUP(AW95,#REF!,27,FALSE)="*",VLOOKUP(AW95,#REF!,26,FALSE),"")</f>
        <v>#REF!</v>
      </c>
      <c r="BA95" s="65">
        <v>29</v>
      </c>
      <c r="BC95" s="65">
        <v>29</v>
      </c>
      <c r="BD95" s="132"/>
      <c r="BE95" s="133"/>
      <c r="BF95" s="134" t="s">
        <v>49</v>
      </c>
      <c r="BG95" s="135"/>
      <c r="BH95" s="136"/>
      <c r="BI95" s="147"/>
      <c r="BJ95" s="65">
        <v>29</v>
      </c>
      <c r="BL95" s="65">
        <v>29</v>
      </c>
      <c r="BM95" s="132"/>
      <c r="BN95" s="133"/>
      <c r="BO95" s="134" t="s">
        <v>49</v>
      </c>
      <c r="BP95" s="135"/>
      <c r="BQ95" s="136"/>
      <c r="BR95" s="147"/>
      <c r="BS95" s="65">
        <v>29</v>
      </c>
      <c r="BU95" s="65">
        <v>29</v>
      </c>
      <c r="BV95" s="132"/>
      <c r="BW95" s="133"/>
      <c r="BX95" s="134" t="s">
        <v>49</v>
      </c>
      <c r="BY95" s="135"/>
      <c r="BZ95" s="136"/>
      <c r="CA95" s="147"/>
      <c r="CB95" s="65">
        <v>29</v>
      </c>
      <c r="CD95" s="65">
        <v>29</v>
      </c>
      <c r="CE95" s="132"/>
      <c r="CF95" s="133"/>
      <c r="CG95" s="134" t="s">
        <v>49</v>
      </c>
      <c r="CH95" s="135"/>
      <c r="CI95" s="136"/>
      <c r="CJ95" s="147"/>
      <c r="CK95" s="65">
        <v>29</v>
      </c>
      <c r="CM95" s="65">
        <v>29</v>
      </c>
      <c r="CN95" s="132"/>
      <c r="CO95" s="133"/>
      <c r="CP95" s="134" t="s">
        <v>49</v>
      </c>
      <c r="CQ95" s="135"/>
      <c r="CR95" s="136"/>
      <c r="CS95" s="147"/>
      <c r="CT95" s="65">
        <v>29</v>
      </c>
    </row>
    <row r="96" spans="1:98" ht="15.75" thickBot="1">
      <c r="A96" s="65">
        <v>30</v>
      </c>
      <c r="B96" s="149"/>
      <c r="C96" s="150"/>
      <c r="D96" s="151" t="s">
        <v>47</v>
      </c>
      <c r="E96" s="152"/>
      <c r="F96" s="153"/>
      <c r="G96" s="154">
        <v>163177.56883099998</v>
      </c>
      <c r="H96" s="65">
        <v>30</v>
      </c>
      <c r="J96" s="65">
        <v>30</v>
      </c>
      <c r="K96" s="149"/>
      <c r="L96" s="150"/>
      <c r="M96" s="151" t="s">
        <v>264</v>
      </c>
      <c r="N96" s="152"/>
      <c r="O96" s="153"/>
      <c r="P96" s="154">
        <v>108395.84000000001</v>
      </c>
      <c r="Q96" s="65">
        <v>30</v>
      </c>
      <c r="S96" s="65">
        <v>30</v>
      </c>
      <c r="T96" s="149"/>
      <c r="U96" s="150"/>
      <c r="V96" s="151" t="s">
        <v>264</v>
      </c>
      <c r="W96" s="152"/>
      <c r="X96" s="153"/>
      <c r="Y96" s="154" t="e">
        <f>IF(#REF!="*",#REF!,"")</f>
        <v>#REF!</v>
      </c>
      <c r="Z96" s="65">
        <v>30</v>
      </c>
      <c r="AB96" s="65">
        <v>30</v>
      </c>
      <c r="AC96" s="149"/>
      <c r="AD96" s="150"/>
      <c r="AE96" s="151" t="s">
        <v>47</v>
      </c>
      <c r="AF96" s="152"/>
      <c r="AG96" s="153"/>
      <c r="AH96" s="155">
        <v>382240.78899352055</v>
      </c>
      <c r="AI96" s="65">
        <v>30</v>
      </c>
      <c r="AK96" s="65">
        <v>30</v>
      </c>
      <c r="AL96" s="149"/>
      <c r="AM96" s="150"/>
      <c r="AN96" s="151" t="s">
        <v>47</v>
      </c>
      <c r="AO96" s="152"/>
      <c r="AP96" s="153"/>
      <c r="AQ96" s="155">
        <v>426062.38906199997</v>
      </c>
      <c r="AR96" s="65">
        <v>30</v>
      </c>
      <c r="AT96" s="65">
        <v>30</v>
      </c>
      <c r="AU96" s="149"/>
      <c r="AV96" s="150"/>
      <c r="AW96" s="151" t="s">
        <v>264</v>
      </c>
      <c r="AX96" s="152"/>
      <c r="AY96" s="153"/>
      <c r="AZ96" s="155" t="e">
        <f>IF(VLOOKUP(AW96,#REF!,27,FALSE)="*",VLOOKUP(AW96,#REF!,26,FALSE),"")</f>
        <v>#REF!</v>
      </c>
      <c r="BA96" s="65">
        <v>30</v>
      </c>
      <c r="BC96" s="65">
        <v>30</v>
      </c>
      <c r="BD96" s="149"/>
      <c r="BE96" s="150"/>
      <c r="BF96" s="151" t="s">
        <v>264</v>
      </c>
      <c r="BG96" s="152"/>
      <c r="BH96" s="153"/>
      <c r="BI96" s="154"/>
      <c r="BJ96" s="65">
        <v>30</v>
      </c>
      <c r="BL96" s="65">
        <v>30</v>
      </c>
      <c r="BM96" s="149"/>
      <c r="BN96" s="150"/>
      <c r="BO96" s="151" t="s">
        <v>264</v>
      </c>
      <c r="BP96" s="152"/>
      <c r="BQ96" s="153"/>
      <c r="BR96" s="154"/>
      <c r="BS96" s="65">
        <v>30</v>
      </c>
      <c r="BU96" s="65">
        <v>30</v>
      </c>
      <c r="BV96" s="149"/>
      <c r="BW96" s="150"/>
      <c r="BX96" s="151" t="s">
        <v>264</v>
      </c>
      <c r="BY96" s="152"/>
      <c r="BZ96" s="153"/>
      <c r="CA96" s="154"/>
      <c r="CB96" s="65">
        <v>30</v>
      </c>
      <c r="CD96" s="65">
        <v>30</v>
      </c>
      <c r="CE96" s="149"/>
      <c r="CF96" s="150"/>
      <c r="CG96" s="151" t="s">
        <v>264</v>
      </c>
      <c r="CH96" s="152"/>
      <c r="CI96" s="153"/>
      <c r="CJ96" s="154"/>
      <c r="CK96" s="65">
        <v>30</v>
      </c>
      <c r="CM96" s="65">
        <v>30</v>
      </c>
      <c r="CN96" s="149"/>
      <c r="CO96" s="150"/>
      <c r="CP96" s="151" t="s">
        <v>264</v>
      </c>
      <c r="CQ96" s="152"/>
      <c r="CR96" s="153"/>
      <c r="CS96" s="154"/>
      <c r="CT96" s="65">
        <v>30</v>
      </c>
    </row>
    <row r="97" spans="1:98">
      <c r="A97" s="65">
        <v>31</v>
      </c>
      <c r="B97" s="139"/>
      <c r="C97" s="140"/>
      <c r="D97" s="141" t="s">
        <v>49</v>
      </c>
      <c r="E97" s="142"/>
      <c r="F97" s="143"/>
      <c r="G97" s="156">
        <v>163177.56883099998</v>
      </c>
      <c r="H97" s="65">
        <v>31</v>
      </c>
      <c r="J97" s="65">
        <v>31</v>
      </c>
      <c r="K97" s="139"/>
      <c r="L97" s="140"/>
      <c r="M97" s="141" t="s">
        <v>266</v>
      </c>
      <c r="N97" s="142"/>
      <c r="O97" s="143"/>
      <c r="P97" s="156">
        <v>135594.56</v>
      </c>
      <c r="Q97" s="65">
        <v>31</v>
      </c>
      <c r="S97" s="65">
        <v>31</v>
      </c>
      <c r="T97" s="139"/>
      <c r="U97" s="140"/>
      <c r="V97" s="141" t="s">
        <v>266</v>
      </c>
      <c r="W97" s="142"/>
      <c r="X97" s="143"/>
      <c r="Y97" s="156" t="e">
        <f>IF(#REF!="*",#REF!,"")</f>
        <v>#REF!</v>
      </c>
      <c r="Z97" s="65">
        <v>31</v>
      </c>
      <c r="AB97" s="65">
        <v>31</v>
      </c>
      <c r="AC97" s="139"/>
      <c r="AD97" s="140"/>
      <c r="AE97" s="141" t="s">
        <v>49</v>
      </c>
      <c r="AF97" s="142"/>
      <c r="AG97" s="143"/>
      <c r="AH97" s="144">
        <v>382240.78899352055</v>
      </c>
      <c r="AI97" s="65">
        <v>31</v>
      </c>
      <c r="AK97" s="65">
        <v>31</v>
      </c>
      <c r="AL97" s="139"/>
      <c r="AM97" s="140"/>
      <c r="AN97" s="141" t="s">
        <v>49</v>
      </c>
      <c r="AO97" s="142"/>
      <c r="AP97" s="143"/>
      <c r="AQ97" s="144">
        <v>426062.38906199997</v>
      </c>
      <c r="AR97" s="65">
        <v>31</v>
      </c>
      <c r="AT97" s="65">
        <v>31</v>
      </c>
      <c r="AU97" s="139"/>
      <c r="AV97" s="140"/>
      <c r="AW97" s="141" t="s">
        <v>266</v>
      </c>
      <c r="AX97" s="142"/>
      <c r="AY97" s="143"/>
      <c r="AZ97" s="144" t="e">
        <f>IF(VLOOKUP(AW97,#REF!,27,FALSE)="*",VLOOKUP(AW97,#REF!,26,FALSE),"")</f>
        <v>#REF!</v>
      </c>
      <c r="BA97" s="65">
        <v>31</v>
      </c>
      <c r="BC97" s="65">
        <v>31</v>
      </c>
      <c r="BD97" s="139"/>
      <c r="BE97" s="140"/>
      <c r="BF97" s="141" t="s">
        <v>266</v>
      </c>
      <c r="BG97" s="142"/>
      <c r="BH97" s="143"/>
      <c r="BI97" s="156"/>
      <c r="BJ97" s="65">
        <v>31</v>
      </c>
      <c r="BL97" s="65">
        <v>31</v>
      </c>
      <c r="BM97" s="139"/>
      <c r="BN97" s="140"/>
      <c r="BO97" s="141" t="s">
        <v>266</v>
      </c>
      <c r="BP97" s="142"/>
      <c r="BQ97" s="143"/>
      <c r="BR97" s="156"/>
      <c r="BS97" s="65">
        <v>31</v>
      </c>
      <c r="BU97" s="65">
        <v>31</v>
      </c>
      <c r="BV97" s="139"/>
      <c r="BW97" s="140"/>
      <c r="BX97" s="141" t="s">
        <v>266</v>
      </c>
      <c r="BY97" s="142"/>
      <c r="BZ97" s="143"/>
      <c r="CA97" s="156"/>
      <c r="CB97" s="65">
        <v>31</v>
      </c>
      <c r="CD97" s="65">
        <v>31</v>
      </c>
      <c r="CE97" s="139"/>
      <c r="CF97" s="140"/>
      <c r="CG97" s="141" t="s">
        <v>266</v>
      </c>
      <c r="CH97" s="142"/>
      <c r="CI97" s="143"/>
      <c r="CJ97" s="156"/>
      <c r="CK97" s="65">
        <v>31</v>
      </c>
      <c r="CM97" s="65">
        <v>31</v>
      </c>
      <c r="CN97" s="139"/>
      <c r="CO97" s="140"/>
      <c r="CP97" s="141" t="s">
        <v>266</v>
      </c>
      <c r="CQ97" s="142"/>
      <c r="CR97" s="143"/>
      <c r="CS97" s="156"/>
      <c r="CT97" s="65">
        <v>31</v>
      </c>
    </row>
    <row r="98" spans="1:98">
      <c r="A98" s="65">
        <v>32</v>
      </c>
      <c r="B98" s="126"/>
      <c r="C98" s="127"/>
      <c r="D98" s="128" t="s">
        <v>264</v>
      </c>
      <c r="E98" s="129"/>
      <c r="F98" s="130"/>
      <c r="G98" s="146">
        <v>163053.07920800001</v>
      </c>
      <c r="H98" s="65">
        <v>32</v>
      </c>
      <c r="J98" s="65">
        <v>32</v>
      </c>
      <c r="K98" s="126"/>
      <c r="L98" s="127"/>
      <c r="M98" s="128" t="s">
        <v>268</v>
      </c>
      <c r="N98" s="129"/>
      <c r="O98" s="130"/>
      <c r="P98" s="146">
        <f>89413.4+132333.35</f>
        <v>221746.75</v>
      </c>
      <c r="Q98" s="65">
        <v>32</v>
      </c>
      <c r="S98" s="65">
        <v>32</v>
      </c>
      <c r="T98" s="126"/>
      <c r="U98" s="127"/>
      <c r="V98" s="128" t="s">
        <v>268</v>
      </c>
      <c r="W98" s="129"/>
      <c r="X98" s="130"/>
      <c r="Y98" s="146" t="e">
        <f>IF(#REF!="*",#REF!,"")</f>
        <v>#REF!</v>
      </c>
      <c r="Z98" s="65">
        <v>32</v>
      </c>
      <c r="AB98" s="65">
        <v>32</v>
      </c>
      <c r="AC98" s="126"/>
      <c r="AD98" s="127"/>
      <c r="AE98" s="128" t="s">
        <v>264</v>
      </c>
      <c r="AF98" s="129"/>
      <c r="AG98" s="130"/>
      <c r="AH98" s="145">
        <v>384747.98111967125</v>
      </c>
      <c r="AI98" s="65">
        <v>32</v>
      </c>
      <c r="AK98" s="65">
        <v>32</v>
      </c>
      <c r="AL98" s="126"/>
      <c r="AM98" s="127"/>
      <c r="AN98" s="128" t="s">
        <v>264</v>
      </c>
      <c r="AO98" s="129"/>
      <c r="AP98" s="130"/>
      <c r="AQ98" s="145">
        <v>428995.03361600003</v>
      </c>
      <c r="AR98" s="65">
        <v>32</v>
      </c>
      <c r="AT98" s="65">
        <v>32</v>
      </c>
      <c r="AU98" s="126"/>
      <c r="AV98" s="127"/>
      <c r="AW98" s="128" t="s">
        <v>268</v>
      </c>
      <c r="AX98" s="129"/>
      <c r="AY98" s="130"/>
      <c r="AZ98" s="145" t="e">
        <f>IF(VLOOKUP(AW98,#REF!,27,FALSE)="*",VLOOKUP(AW98,#REF!,26,FALSE),"")</f>
        <v>#REF!</v>
      </c>
      <c r="BA98" s="65">
        <v>32</v>
      </c>
      <c r="BC98" s="65">
        <v>32</v>
      </c>
      <c r="BD98" s="126"/>
      <c r="BE98" s="127"/>
      <c r="BF98" s="128" t="s">
        <v>268</v>
      </c>
      <c r="BG98" s="129"/>
      <c r="BH98" s="130"/>
      <c r="BI98" s="146"/>
      <c r="BJ98" s="65">
        <v>32</v>
      </c>
      <c r="BL98" s="65">
        <v>32</v>
      </c>
      <c r="BM98" s="126"/>
      <c r="BN98" s="127"/>
      <c r="BO98" s="128" t="s">
        <v>268</v>
      </c>
      <c r="BP98" s="129"/>
      <c r="BQ98" s="130"/>
      <c r="BR98" s="146"/>
      <c r="BS98" s="65">
        <v>32</v>
      </c>
      <c r="BU98" s="65">
        <v>32</v>
      </c>
      <c r="BV98" s="126"/>
      <c r="BW98" s="127"/>
      <c r="BX98" s="128" t="s">
        <v>268</v>
      </c>
      <c r="BY98" s="129"/>
      <c r="BZ98" s="130"/>
      <c r="CA98" s="146"/>
      <c r="CB98" s="65">
        <v>32</v>
      </c>
      <c r="CD98" s="65">
        <v>32</v>
      </c>
      <c r="CE98" s="126"/>
      <c r="CF98" s="127"/>
      <c r="CG98" s="128" t="s">
        <v>268</v>
      </c>
      <c r="CH98" s="129"/>
      <c r="CI98" s="130"/>
      <c r="CJ98" s="146"/>
      <c r="CK98" s="65">
        <v>32</v>
      </c>
      <c r="CM98" s="65">
        <v>32</v>
      </c>
      <c r="CN98" s="126"/>
      <c r="CO98" s="127"/>
      <c r="CP98" s="128" t="s">
        <v>268</v>
      </c>
      <c r="CQ98" s="129"/>
      <c r="CR98" s="130"/>
      <c r="CS98" s="146"/>
      <c r="CT98" s="65">
        <v>32</v>
      </c>
    </row>
    <row r="99" spans="1:98">
      <c r="A99" s="65">
        <v>33</v>
      </c>
      <c r="B99" s="126"/>
      <c r="C99" s="127"/>
      <c r="D99" s="128" t="s">
        <v>266</v>
      </c>
      <c r="E99" s="129"/>
      <c r="F99" s="131"/>
      <c r="G99" s="146">
        <v>207069.41127200003</v>
      </c>
      <c r="H99" s="65">
        <v>33</v>
      </c>
      <c r="J99" s="65">
        <v>33</v>
      </c>
      <c r="K99" s="126"/>
      <c r="L99" s="127"/>
      <c r="M99" s="128" t="s">
        <v>270</v>
      </c>
      <c r="N99" s="129"/>
      <c r="O99" s="131"/>
      <c r="P99" s="146">
        <v>116612.12</v>
      </c>
      <c r="Q99" s="65">
        <v>33</v>
      </c>
      <c r="S99" s="65">
        <v>33</v>
      </c>
      <c r="T99" s="126"/>
      <c r="U99" s="127"/>
      <c r="V99" s="128" t="s">
        <v>270</v>
      </c>
      <c r="W99" s="129"/>
      <c r="X99" s="131"/>
      <c r="Y99" s="146" t="e">
        <f>IF(#REF!="*",#REF!,"")</f>
        <v>#REF!</v>
      </c>
      <c r="Z99" s="65">
        <v>33</v>
      </c>
      <c r="AB99" s="65">
        <v>33</v>
      </c>
      <c r="AC99" s="126"/>
      <c r="AD99" s="127"/>
      <c r="AE99" s="128" t="s">
        <v>266</v>
      </c>
      <c r="AF99" s="129"/>
      <c r="AG99" s="131"/>
      <c r="AH99" s="145">
        <v>496978.12915649317</v>
      </c>
      <c r="AI99" s="65">
        <v>33</v>
      </c>
      <c r="AK99" s="65">
        <v>33</v>
      </c>
      <c r="AL99" s="126"/>
      <c r="AM99" s="127"/>
      <c r="AN99" s="128" t="s">
        <v>266</v>
      </c>
      <c r="AO99" s="129"/>
      <c r="AP99" s="131"/>
      <c r="AQ99" s="145">
        <v>554839.65934400004</v>
      </c>
      <c r="AR99" s="65">
        <v>33</v>
      </c>
      <c r="AT99" s="65">
        <v>33</v>
      </c>
      <c r="AU99" s="126"/>
      <c r="AV99" s="127"/>
      <c r="AW99" s="128" t="s">
        <v>270</v>
      </c>
      <c r="AX99" s="129"/>
      <c r="AY99" s="131"/>
      <c r="AZ99" s="145" t="e">
        <f>IF(VLOOKUP(AW99,#REF!,27,FALSE)="*",VLOOKUP(AW99,#REF!,26,FALSE),"")</f>
        <v>#REF!</v>
      </c>
      <c r="BA99" s="65">
        <v>33</v>
      </c>
      <c r="BC99" s="65">
        <v>33</v>
      </c>
      <c r="BD99" s="126"/>
      <c r="BE99" s="127"/>
      <c r="BF99" s="128" t="s">
        <v>270</v>
      </c>
      <c r="BG99" s="129"/>
      <c r="BH99" s="131"/>
      <c r="BI99" s="146"/>
      <c r="BJ99" s="65">
        <v>33</v>
      </c>
      <c r="BL99" s="65">
        <v>33</v>
      </c>
      <c r="BM99" s="126"/>
      <c r="BN99" s="127"/>
      <c r="BO99" s="128" t="s">
        <v>270</v>
      </c>
      <c r="BP99" s="129"/>
      <c r="BQ99" s="131"/>
      <c r="BR99" s="146"/>
      <c r="BS99" s="65">
        <v>33</v>
      </c>
      <c r="BU99" s="65">
        <v>33</v>
      </c>
      <c r="BV99" s="126"/>
      <c r="BW99" s="127"/>
      <c r="BX99" s="128" t="s">
        <v>270</v>
      </c>
      <c r="BY99" s="129"/>
      <c r="BZ99" s="131"/>
      <c r="CA99" s="146"/>
      <c r="CB99" s="65">
        <v>33</v>
      </c>
      <c r="CD99" s="65">
        <v>33</v>
      </c>
      <c r="CE99" s="126"/>
      <c r="CF99" s="127"/>
      <c r="CG99" s="128" t="s">
        <v>270</v>
      </c>
      <c r="CH99" s="129"/>
      <c r="CI99" s="131"/>
      <c r="CJ99" s="146"/>
      <c r="CK99" s="65">
        <v>33</v>
      </c>
      <c r="CM99" s="65">
        <v>33</v>
      </c>
      <c r="CN99" s="126"/>
      <c r="CO99" s="127"/>
      <c r="CP99" s="128" t="s">
        <v>270</v>
      </c>
      <c r="CQ99" s="129"/>
      <c r="CR99" s="131"/>
      <c r="CS99" s="146"/>
      <c r="CT99" s="65">
        <v>33</v>
      </c>
    </row>
    <row r="100" spans="1:98">
      <c r="A100" s="65">
        <v>34</v>
      </c>
      <c r="B100" s="132"/>
      <c r="C100" s="133"/>
      <c r="D100" s="134" t="s">
        <v>268</v>
      </c>
      <c r="E100" s="135"/>
      <c r="F100" s="136"/>
      <c r="G100" s="147">
        <v>132333.35</v>
      </c>
      <c r="H100" s="65">
        <v>34</v>
      </c>
      <c r="J100" s="65">
        <v>34</v>
      </c>
      <c r="K100" s="132"/>
      <c r="L100" s="133"/>
      <c r="M100" s="134" t="s">
        <v>272</v>
      </c>
      <c r="N100" s="135"/>
      <c r="O100" s="136"/>
      <c r="P100" s="147">
        <v>0</v>
      </c>
      <c r="Q100" s="65">
        <v>34</v>
      </c>
      <c r="S100" s="65">
        <v>34</v>
      </c>
      <c r="T100" s="132"/>
      <c r="U100" s="133"/>
      <c r="V100" s="134" t="s">
        <v>272</v>
      </c>
      <c r="W100" s="135"/>
      <c r="X100" s="136"/>
      <c r="Y100" s="147" t="e">
        <f>IF(#REF!="*",#REF!,"")</f>
        <v>#REF!</v>
      </c>
      <c r="Z100" s="65">
        <v>34</v>
      </c>
      <c r="AB100" s="65">
        <v>34</v>
      </c>
      <c r="AC100" s="132"/>
      <c r="AD100" s="133"/>
      <c r="AE100" s="134" t="s">
        <v>268</v>
      </c>
      <c r="AF100" s="135"/>
      <c r="AG100" s="136"/>
      <c r="AH100" s="148">
        <v>306420.69030230597</v>
      </c>
      <c r="AI100" s="65">
        <v>34</v>
      </c>
      <c r="AK100" s="65">
        <v>34</v>
      </c>
      <c r="AL100" s="132"/>
      <c r="AM100" s="133"/>
      <c r="AN100" s="134" t="s">
        <v>268</v>
      </c>
      <c r="AO100" s="135"/>
      <c r="AP100" s="136"/>
      <c r="AQ100" s="148"/>
      <c r="AR100" s="65">
        <v>34</v>
      </c>
      <c r="AT100" s="65">
        <v>34</v>
      </c>
      <c r="AU100" s="132"/>
      <c r="AV100" s="133"/>
      <c r="AW100" s="134" t="s">
        <v>272</v>
      </c>
      <c r="AX100" s="135"/>
      <c r="AY100" s="136"/>
      <c r="AZ100" s="148" t="e">
        <f>IF(VLOOKUP(AW100,#REF!,27,FALSE)="*",VLOOKUP(AW100,#REF!,26,FALSE),"")</f>
        <v>#REF!</v>
      </c>
      <c r="BA100" s="65">
        <v>34</v>
      </c>
      <c r="BC100" s="65">
        <v>34</v>
      </c>
      <c r="BD100" s="132"/>
      <c r="BE100" s="133"/>
      <c r="BF100" s="134" t="s">
        <v>272</v>
      </c>
      <c r="BG100" s="135"/>
      <c r="BH100" s="136"/>
      <c r="BI100" s="147"/>
      <c r="BJ100" s="65">
        <v>34</v>
      </c>
      <c r="BL100" s="65">
        <v>34</v>
      </c>
      <c r="BM100" s="132"/>
      <c r="BN100" s="133"/>
      <c r="BO100" s="134" t="s">
        <v>272</v>
      </c>
      <c r="BP100" s="135"/>
      <c r="BQ100" s="136"/>
      <c r="BR100" s="147"/>
      <c r="BS100" s="65">
        <v>34</v>
      </c>
      <c r="BU100" s="65">
        <v>34</v>
      </c>
      <c r="BV100" s="132"/>
      <c r="BW100" s="133"/>
      <c r="BX100" s="134" t="s">
        <v>272</v>
      </c>
      <c r="BY100" s="135"/>
      <c r="BZ100" s="136"/>
      <c r="CA100" s="147"/>
      <c r="CB100" s="65">
        <v>34</v>
      </c>
      <c r="CD100" s="65">
        <v>34</v>
      </c>
      <c r="CE100" s="132"/>
      <c r="CF100" s="133"/>
      <c r="CG100" s="134" t="s">
        <v>272</v>
      </c>
      <c r="CH100" s="135"/>
      <c r="CI100" s="136"/>
      <c r="CJ100" s="147"/>
      <c r="CK100" s="65">
        <v>34</v>
      </c>
      <c r="CM100" s="65">
        <v>34</v>
      </c>
      <c r="CN100" s="132"/>
      <c r="CO100" s="133"/>
      <c r="CP100" s="134" t="s">
        <v>272</v>
      </c>
      <c r="CQ100" s="135"/>
      <c r="CR100" s="136"/>
      <c r="CS100" s="147"/>
      <c r="CT100" s="65">
        <v>34</v>
      </c>
    </row>
    <row r="101" spans="1:98" ht="15.75" thickBot="1">
      <c r="A101" s="65">
        <v>35</v>
      </c>
      <c r="B101" s="149"/>
      <c r="C101" s="150"/>
      <c r="D101" s="151" t="s">
        <v>270</v>
      </c>
      <c r="E101" s="152"/>
      <c r="F101" s="153"/>
      <c r="G101" s="154">
        <v>176349.67951900003</v>
      </c>
      <c r="H101" s="65">
        <v>35</v>
      </c>
      <c r="J101" s="65">
        <v>35</v>
      </c>
      <c r="K101" s="149"/>
      <c r="L101" s="150"/>
      <c r="M101" s="151" t="s">
        <v>273</v>
      </c>
      <c r="N101" s="152"/>
      <c r="O101" s="153"/>
      <c r="P101" s="154">
        <f>159960.08+246500.71</f>
        <v>406460.79</v>
      </c>
      <c r="Q101" s="65">
        <v>35</v>
      </c>
      <c r="S101" s="65">
        <v>35</v>
      </c>
      <c r="T101" s="149"/>
      <c r="U101" s="150"/>
      <c r="V101" s="151" t="s">
        <v>273</v>
      </c>
      <c r="W101" s="152"/>
      <c r="X101" s="153"/>
      <c r="Y101" s="154" t="e">
        <f>IF(#REF!="*",#REF!,"")</f>
        <v>#REF!</v>
      </c>
      <c r="Z101" s="65">
        <v>35</v>
      </c>
      <c r="AB101" s="65">
        <v>35</v>
      </c>
      <c r="AC101" s="149"/>
      <c r="AD101" s="150"/>
      <c r="AE101" s="151" t="s">
        <v>270</v>
      </c>
      <c r="AF101" s="152"/>
      <c r="AG101" s="153"/>
      <c r="AH101" s="155">
        <v>418650.83833912783</v>
      </c>
      <c r="AI101" s="65">
        <v>35</v>
      </c>
      <c r="AK101" s="65">
        <v>35</v>
      </c>
      <c r="AL101" s="149"/>
      <c r="AM101" s="150"/>
      <c r="AN101" s="151" t="s">
        <v>270</v>
      </c>
      <c r="AO101" s="152"/>
      <c r="AP101" s="153"/>
      <c r="AQ101" s="155">
        <v>467010.59763800004</v>
      </c>
      <c r="AR101" s="65">
        <v>35</v>
      </c>
      <c r="AT101" s="65">
        <v>35</v>
      </c>
      <c r="AU101" s="149"/>
      <c r="AV101" s="150"/>
      <c r="AW101" s="151" t="s">
        <v>273</v>
      </c>
      <c r="AX101" s="152"/>
      <c r="AY101" s="153"/>
      <c r="AZ101" s="155" t="e">
        <f>IF(VLOOKUP(AW101,#REF!,27,FALSE)="*",VLOOKUP(AW101,#REF!,26,FALSE),"")</f>
        <v>#REF!</v>
      </c>
      <c r="BA101" s="65">
        <v>35</v>
      </c>
      <c r="BC101" s="65">
        <v>35</v>
      </c>
      <c r="BD101" s="149"/>
      <c r="BE101" s="150"/>
      <c r="BF101" s="151" t="s">
        <v>273</v>
      </c>
      <c r="BG101" s="152"/>
      <c r="BH101" s="153"/>
      <c r="BI101" s="154"/>
      <c r="BJ101" s="65">
        <v>35</v>
      </c>
      <c r="BL101" s="65">
        <v>35</v>
      </c>
      <c r="BM101" s="149"/>
      <c r="BN101" s="150"/>
      <c r="BO101" s="151" t="s">
        <v>273</v>
      </c>
      <c r="BP101" s="152"/>
      <c r="BQ101" s="153"/>
      <c r="BR101" s="154"/>
      <c r="BS101" s="65">
        <v>35</v>
      </c>
      <c r="BU101" s="65">
        <v>35</v>
      </c>
      <c r="BV101" s="149"/>
      <c r="BW101" s="150"/>
      <c r="BX101" s="151" t="s">
        <v>273</v>
      </c>
      <c r="BY101" s="152"/>
      <c r="BZ101" s="153"/>
      <c r="CA101" s="154"/>
      <c r="CB101" s="65">
        <v>35</v>
      </c>
      <c r="CD101" s="65">
        <v>35</v>
      </c>
      <c r="CE101" s="149"/>
      <c r="CF101" s="150"/>
      <c r="CG101" s="151" t="s">
        <v>273</v>
      </c>
      <c r="CH101" s="152"/>
      <c r="CI101" s="153"/>
      <c r="CJ101" s="154"/>
      <c r="CK101" s="65">
        <v>35</v>
      </c>
      <c r="CM101" s="65">
        <v>35</v>
      </c>
      <c r="CN101" s="149"/>
      <c r="CO101" s="150"/>
      <c r="CP101" s="151" t="s">
        <v>273</v>
      </c>
      <c r="CQ101" s="152"/>
      <c r="CR101" s="153"/>
      <c r="CS101" s="154"/>
      <c r="CT101" s="65">
        <v>35</v>
      </c>
    </row>
    <row r="102" spans="1:98">
      <c r="A102" s="65">
        <v>36</v>
      </c>
      <c r="B102" s="139"/>
      <c r="C102" s="140"/>
      <c r="D102" s="141" t="s">
        <v>272</v>
      </c>
      <c r="E102" s="142"/>
      <c r="F102" s="143"/>
      <c r="G102" s="156">
        <v>0</v>
      </c>
      <c r="H102" s="65">
        <v>36</v>
      </c>
      <c r="J102" s="65">
        <v>36</v>
      </c>
      <c r="K102" s="139"/>
      <c r="L102" s="140"/>
      <c r="M102" s="141" t="s">
        <v>51</v>
      </c>
      <c r="N102" s="142"/>
      <c r="O102" s="143"/>
      <c r="P102" s="156">
        <v>102729.44</v>
      </c>
      <c r="Q102" s="65">
        <v>36</v>
      </c>
      <c r="S102" s="65">
        <v>36</v>
      </c>
      <c r="T102" s="139"/>
      <c r="U102" s="140"/>
      <c r="V102" s="141" t="s">
        <v>51</v>
      </c>
      <c r="W102" s="142"/>
      <c r="X102" s="143"/>
      <c r="Y102" s="156" t="e">
        <f>IF(#REF!="*",#REF!,"")</f>
        <v>#REF!</v>
      </c>
      <c r="Z102" s="65">
        <v>36</v>
      </c>
      <c r="AB102" s="65">
        <v>36</v>
      </c>
      <c r="AC102" s="139"/>
      <c r="AD102" s="140"/>
      <c r="AE102" s="141" t="s">
        <v>272</v>
      </c>
      <c r="AF102" s="142"/>
      <c r="AG102" s="143"/>
      <c r="AH102" s="144"/>
      <c r="AI102" s="65">
        <v>36</v>
      </c>
      <c r="AK102" s="65">
        <v>36</v>
      </c>
      <c r="AL102" s="139"/>
      <c r="AM102" s="140"/>
      <c r="AN102" s="141" t="s">
        <v>272</v>
      </c>
      <c r="AO102" s="142"/>
      <c r="AP102" s="143"/>
      <c r="AQ102" s="144"/>
      <c r="AR102" s="65">
        <v>36</v>
      </c>
      <c r="AT102" s="65">
        <v>36</v>
      </c>
      <c r="AU102" s="139"/>
      <c r="AV102" s="140"/>
      <c r="AW102" s="141" t="s">
        <v>51</v>
      </c>
      <c r="AX102" s="142"/>
      <c r="AY102" s="143"/>
      <c r="AZ102" s="144" t="e">
        <f>IF(VLOOKUP(AW102,#REF!,27,FALSE)="*",VLOOKUP(AW102,#REF!,26,FALSE),"")</f>
        <v>#REF!</v>
      </c>
      <c r="BA102" s="65">
        <v>36</v>
      </c>
      <c r="BC102" s="65">
        <v>36</v>
      </c>
      <c r="BD102" s="139"/>
      <c r="BE102" s="140"/>
      <c r="BF102" s="141" t="s">
        <v>51</v>
      </c>
      <c r="BG102" s="142"/>
      <c r="BH102" s="143"/>
      <c r="BI102" s="156"/>
      <c r="BJ102" s="65">
        <v>36</v>
      </c>
      <c r="BL102" s="65">
        <v>36</v>
      </c>
      <c r="BM102" s="139"/>
      <c r="BN102" s="140"/>
      <c r="BO102" s="141" t="s">
        <v>51</v>
      </c>
      <c r="BP102" s="142"/>
      <c r="BQ102" s="143"/>
      <c r="BR102" s="156"/>
      <c r="BS102" s="65">
        <v>36</v>
      </c>
      <c r="BU102" s="65">
        <v>36</v>
      </c>
      <c r="BV102" s="139"/>
      <c r="BW102" s="140"/>
      <c r="BX102" s="141" t="s">
        <v>51</v>
      </c>
      <c r="BY102" s="142"/>
      <c r="BZ102" s="143"/>
      <c r="CA102" s="156"/>
      <c r="CB102" s="65">
        <v>36</v>
      </c>
      <c r="CD102" s="65">
        <v>36</v>
      </c>
      <c r="CE102" s="139"/>
      <c r="CF102" s="140"/>
      <c r="CG102" s="141" t="s">
        <v>51</v>
      </c>
      <c r="CH102" s="142"/>
      <c r="CI102" s="143"/>
      <c r="CJ102" s="156"/>
      <c r="CK102" s="65">
        <v>36</v>
      </c>
      <c r="CM102" s="65">
        <v>36</v>
      </c>
      <c r="CN102" s="139"/>
      <c r="CO102" s="140"/>
      <c r="CP102" s="141" t="s">
        <v>51</v>
      </c>
      <c r="CQ102" s="142"/>
      <c r="CR102" s="143"/>
      <c r="CS102" s="156"/>
      <c r="CT102" s="65">
        <v>36</v>
      </c>
    </row>
    <row r="103" spans="1:98">
      <c r="A103" s="65">
        <v>37</v>
      </c>
      <c r="B103" s="126"/>
      <c r="C103" s="127"/>
      <c r="D103" s="128" t="s">
        <v>273</v>
      </c>
      <c r="E103" s="129"/>
      <c r="F103" s="130"/>
      <c r="G103" s="146">
        <v>173140.155306</v>
      </c>
      <c r="H103" s="65">
        <v>37</v>
      </c>
      <c r="J103" s="65">
        <v>37</v>
      </c>
      <c r="K103" s="126"/>
      <c r="L103" s="127"/>
      <c r="M103" s="128" t="s">
        <v>53</v>
      </c>
      <c r="N103" s="129"/>
      <c r="O103" s="130"/>
      <c r="P103" s="146">
        <v>100462.88</v>
      </c>
      <c r="Q103" s="65">
        <v>37</v>
      </c>
      <c r="S103" s="65">
        <v>37</v>
      </c>
      <c r="T103" s="126"/>
      <c r="U103" s="127"/>
      <c r="V103" s="128" t="s">
        <v>53</v>
      </c>
      <c r="W103" s="129"/>
      <c r="X103" s="130"/>
      <c r="Y103" s="146" t="e">
        <f>IF(#REF!="*",#REF!,"")</f>
        <v>#REF!</v>
      </c>
      <c r="Z103" s="65">
        <v>37</v>
      </c>
      <c r="AB103" s="65">
        <v>37</v>
      </c>
      <c r="AC103" s="126"/>
      <c r="AD103" s="127"/>
      <c r="AE103" s="128" t="s">
        <v>273</v>
      </c>
      <c r="AF103" s="129"/>
      <c r="AG103" s="130"/>
      <c r="AH103" s="145"/>
      <c r="AI103" s="65">
        <v>37</v>
      </c>
      <c r="AK103" s="65">
        <v>37</v>
      </c>
      <c r="AL103" s="126"/>
      <c r="AM103" s="127"/>
      <c r="AN103" s="128" t="s">
        <v>273</v>
      </c>
      <c r="AO103" s="129"/>
      <c r="AP103" s="130"/>
      <c r="AQ103" s="145">
        <v>667575.46989200008</v>
      </c>
      <c r="AR103" s="65">
        <v>37</v>
      </c>
      <c r="AT103" s="65">
        <v>37</v>
      </c>
      <c r="AU103" s="126"/>
      <c r="AV103" s="127"/>
      <c r="AW103" s="128" t="s">
        <v>53</v>
      </c>
      <c r="AX103" s="129"/>
      <c r="AY103" s="130"/>
      <c r="AZ103" s="145" t="e">
        <f>IF(VLOOKUP(AW103,#REF!,27,FALSE)="*",VLOOKUP(AW103,#REF!,26,FALSE),"")</f>
        <v>#REF!</v>
      </c>
      <c r="BA103" s="65">
        <v>37</v>
      </c>
      <c r="BC103" s="65">
        <v>37</v>
      </c>
      <c r="BD103" s="126"/>
      <c r="BE103" s="127"/>
      <c r="BF103" s="128" t="s">
        <v>53</v>
      </c>
      <c r="BG103" s="129"/>
      <c r="BH103" s="130"/>
      <c r="BI103" s="146"/>
      <c r="BJ103" s="65">
        <v>37</v>
      </c>
      <c r="BL103" s="65">
        <v>37</v>
      </c>
      <c r="BM103" s="126"/>
      <c r="BN103" s="127"/>
      <c r="BO103" s="128" t="s">
        <v>53</v>
      </c>
      <c r="BP103" s="129"/>
      <c r="BQ103" s="130"/>
      <c r="BR103" s="146"/>
      <c r="BS103" s="65">
        <v>37</v>
      </c>
      <c r="BU103" s="65">
        <v>37</v>
      </c>
      <c r="BV103" s="126"/>
      <c r="BW103" s="127"/>
      <c r="BX103" s="128" t="s">
        <v>53</v>
      </c>
      <c r="BY103" s="129"/>
      <c r="BZ103" s="130"/>
      <c r="CA103" s="146"/>
      <c r="CB103" s="65">
        <v>37</v>
      </c>
      <c r="CD103" s="65">
        <v>37</v>
      </c>
      <c r="CE103" s="126"/>
      <c r="CF103" s="127"/>
      <c r="CG103" s="128" t="s">
        <v>53</v>
      </c>
      <c r="CH103" s="129"/>
      <c r="CI103" s="130"/>
      <c r="CJ103" s="146"/>
      <c r="CK103" s="65">
        <v>37</v>
      </c>
      <c r="CM103" s="65">
        <v>37</v>
      </c>
      <c r="CN103" s="126"/>
      <c r="CO103" s="127"/>
      <c r="CP103" s="128" t="s">
        <v>53</v>
      </c>
      <c r="CQ103" s="129"/>
      <c r="CR103" s="130"/>
      <c r="CS103" s="146"/>
      <c r="CT103" s="65">
        <v>37</v>
      </c>
    </row>
    <row r="104" spans="1:98">
      <c r="A104" s="65">
        <v>38</v>
      </c>
      <c r="B104" s="126"/>
      <c r="C104" s="127"/>
      <c r="D104" s="128" t="s">
        <v>51</v>
      </c>
      <c r="E104" s="129"/>
      <c r="F104" s="131"/>
      <c r="G104" s="146">
        <v>153883.01002800002</v>
      </c>
      <c r="H104" s="65">
        <v>38</v>
      </c>
      <c r="J104" s="65">
        <v>38</v>
      </c>
      <c r="K104" s="126"/>
      <c r="L104" s="127"/>
      <c r="M104" s="128" t="s">
        <v>54</v>
      </c>
      <c r="N104" s="129"/>
      <c r="O104" s="131"/>
      <c r="P104" s="146">
        <v>102729.44</v>
      </c>
      <c r="Q104" s="65">
        <v>38</v>
      </c>
      <c r="S104" s="65">
        <v>38</v>
      </c>
      <c r="T104" s="126"/>
      <c r="U104" s="127"/>
      <c r="V104" s="128" t="s">
        <v>54</v>
      </c>
      <c r="W104" s="129"/>
      <c r="X104" s="131"/>
      <c r="Y104" s="146" t="e">
        <f>IF(#REF!="*",#REF!,"")</f>
        <v>#REF!</v>
      </c>
      <c r="Z104" s="65">
        <v>38</v>
      </c>
      <c r="AB104" s="65">
        <v>38</v>
      </c>
      <c r="AC104" s="126"/>
      <c r="AD104" s="127"/>
      <c r="AE104" s="128" t="s">
        <v>51</v>
      </c>
      <c r="AF104" s="129"/>
      <c r="AG104" s="131"/>
      <c r="AH104" s="145">
        <v>361366.70027866669</v>
      </c>
      <c r="AI104" s="65">
        <v>38</v>
      </c>
      <c r="AK104" s="65">
        <v>38</v>
      </c>
      <c r="AL104" s="126"/>
      <c r="AM104" s="127"/>
      <c r="AN104" s="128" t="s">
        <v>51</v>
      </c>
      <c r="AO104" s="129"/>
      <c r="AP104" s="131"/>
      <c r="AQ104" s="145">
        <v>402777.40325600002</v>
      </c>
      <c r="AR104" s="65">
        <v>38</v>
      </c>
      <c r="AT104" s="65">
        <v>38</v>
      </c>
      <c r="AU104" s="126"/>
      <c r="AV104" s="127"/>
      <c r="AW104" s="128" t="s">
        <v>54</v>
      </c>
      <c r="AX104" s="129"/>
      <c r="AY104" s="131"/>
      <c r="AZ104" s="145">
        <v>600035.68587391998</v>
      </c>
      <c r="BA104" s="65">
        <v>38</v>
      </c>
      <c r="BC104" s="65">
        <v>38</v>
      </c>
      <c r="BD104" s="126"/>
      <c r="BE104" s="127"/>
      <c r="BF104" s="128" t="s">
        <v>54</v>
      </c>
      <c r="BG104" s="129"/>
      <c r="BH104" s="131"/>
      <c r="BI104" s="146"/>
      <c r="BJ104" s="65">
        <v>38</v>
      </c>
      <c r="BL104" s="65">
        <v>38</v>
      </c>
      <c r="BM104" s="126"/>
      <c r="BN104" s="127"/>
      <c r="BO104" s="128" t="s">
        <v>54</v>
      </c>
      <c r="BP104" s="129"/>
      <c r="BQ104" s="131"/>
      <c r="BR104" s="146"/>
      <c r="BS104" s="65">
        <v>38</v>
      </c>
      <c r="BU104" s="65">
        <v>38</v>
      </c>
      <c r="BV104" s="126"/>
      <c r="BW104" s="127"/>
      <c r="BX104" s="128" t="s">
        <v>54</v>
      </c>
      <c r="BY104" s="129"/>
      <c r="BZ104" s="131"/>
      <c r="CA104" s="146"/>
      <c r="CB104" s="65">
        <v>38</v>
      </c>
      <c r="CD104" s="65">
        <v>38</v>
      </c>
      <c r="CE104" s="126"/>
      <c r="CF104" s="127"/>
      <c r="CG104" s="128" t="s">
        <v>54</v>
      </c>
      <c r="CH104" s="129"/>
      <c r="CI104" s="131"/>
      <c r="CJ104" s="146"/>
      <c r="CK104" s="65">
        <v>38</v>
      </c>
      <c r="CM104" s="65">
        <v>38</v>
      </c>
      <c r="CN104" s="126"/>
      <c r="CO104" s="127"/>
      <c r="CP104" s="128" t="s">
        <v>54</v>
      </c>
      <c r="CQ104" s="129"/>
      <c r="CR104" s="131"/>
      <c r="CS104" s="146"/>
      <c r="CT104" s="65">
        <v>38</v>
      </c>
    </row>
    <row r="105" spans="1:98">
      <c r="A105" s="65">
        <v>39</v>
      </c>
      <c r="B105" s="132"/>
      <c r="C105" s="133"/>
      <c r="D105" s="134" t="s">
        <v>53</v>
      </c>
      <c r="E105" s="135"/>
      <c r="F105" s="136"/>
      <c r="G105" s="147">
        <v>150214.98235599999</v>
      </c>
      <c r="H105" s="65">
        <v>39</v>
      </c>
      <c r="J105" s="65">
        <v>39</v>
      </c>
      <c r="K105" s="132"/>
      <c r="L105" s="133"/>
      <c r="M105" s="134" t="s">
        <v>56</v>
      </c>
      <c r="N105" s="135"/>
      <c r="O105" s="136"/>
      <c r="P105" s="147">
        <v>109812.44</v>
      </c>
      <c r="Q105" s="65">
        <v>39</v>
      </c>
      <c r="S105" s="65">
        <v>39</v>
      </c>
      <c r="T105" s="132"/>
      <c r="U105" s="133"/>
      <c r="V105" s="134" t="s">
        <v>56</v>
      </c>
      <c r="W105" s="135"/>
      <c r="X105" s="136"/>
      <c r="Y105" s="147" t="e">
        <f>IF(#REF!="*",#REF!,"")</f>
        <v>#REF!</v>
      </c>
      <c r="Z105" s="65">
        <v>39</v>
      </c>
      <c r="AB105" s="65">
        <v>39</v>
      </c>
      <c r="AC105" s="132"/>
      <c r="AD105" s="133"/>
      <c r="AE105" s="134" t="s">
        <v>53</v>
      </c>
      <c r="AF105" s="135"/>
      <c r="AG105" s="136"/>
      <c r="AH105" s="148">
        <v>352014.18794226483</v>
      </c>
      <c r="AI105" s="65">
        <v>39</v>
      </c>
      <c r="AK105" s="65">
        <v>39</v>
      </c>
      <c r="AL105" s="132"/>
      <c r="AM105" s="133"/>
      <c r="AN105" s="134" t="s">
        <v>53</v>
      </c>
      <c r="AO105" s="135"/>
      <c r="AP105" s="136"/>
      <c r="AQ105" s="148">
        <v>392290.35111199995</v>
      </c>
      <c r="AR105" s="65">
        <v>39</v>
      </c>
      <c r="AT105" s="65">
        <v>39</v>
      </c>
      <c r="AU105" s="132"/>
      <c r="AV105" s="133"/>
      <c r="AW105" s="134" t="s">
        <v>56</v>
      </c>
      <c r="AX105" s="135"/>
      <c r="AY105" s="136"/>
      <c r="AZ105" s="148">
        <v>649696.27541791997</v>
      </c>
      <c r="BA105" s="65">
        <v>39</v>
      </c>
      <c r="BC105" s="65">
        <v>39</v>
      </c>
      <c r="BD105" s="132"/>
      <c r="BE105" s="133"/>
      <c r="BF105" s="134" t="s">
        <v>56</v>
      </c>
      <c r="BG105" s="135"/>
      <c r="BH105" s="136"/>
      <c r="BI105" s="147"/>
      <c r="BJ105" s="65">
        <v>39</v>
      </c>
      <c r="BL105" s="65">
        <v>39</v>
      </c>
      <c r="BM105" s="132"/>
      <c r="BN105" s="133"/>
      <c r="BO105" s="134" t="s">
        <v>56</v>
      </c>
      <c r="BP105" s="135"/>
      <c r="BQ105" s="136"/>
      <c r="BR105" s="147"/>
      <c r="BS105" s="65">
        <v>39</v>
      </c>
      <c r="BU105" s="65">
        <v>39</v>
      </c>
      <c r="BV105" s="132"/>
      <c r="BW105" s="133"/>
      <c r="BX105" s="134" t="s">
        <v>56</v>
      </c>
      <c r="BY105" s="135"/>
      <c r="BZ105" s="136"/>
      <c r="CA105" s="147"/>
      <c r="CB105" s="65">
        <v>39</v>
      </c>
      <c r="CD105" s="65">
        <v>39</v>
      </c>
      <c r="CE105" s="132"/>
      <c r="CF105" s="133"/>
      <c r="CG105" s="134" t="s">
        <v>56</v>
      </c>
      <c r="CH105" s="135"/>
      <c r="CI105" s="136"/>
      <c r="CJ105" s="147"/>
      <c r="CK105" s="65">
        <v>39</v>
      </c>
      <c r="CM105" s="65">
        <v>39</v>
      </c>
      <c r="CN105" s="132"/>
      <c r="CO105" s="133"/>
      <c r="CP105" s="134" t="s">
        <v>56</v>
      </c>
      <c r="CQ105" s="135"/>
      <c r="CR105" s="136"/>
      <c r="CS105" s="147"/>
      <c r="CT105" s="65">
        <v>39</v>
      </c>
    </row>
    <row r="106" spans="1:98" ht="15.75" thickBot="1">
      <c r="A106" s="65">
        <v>40</v>
      </c>
      <c r="B106" s="149"/>
      <c r="C106" s="150"/>
      <c r="D106" s="151" t="s">
        <v>54</v>
      </c>
      <c r="E106" s="152"/>
      <c r="F106" s="153"/>
      <c r="G106" s="154">
        <v>153883.01002800002</v>
      </c>
      <c r="H106" s="65">
        <v>40</v>
      </c>
      <c r="J106" s="65">
        <v>40</v>
      </c>
      <c r="K106" s="149"/>
      <c r="L106" s="150"/>
      <c r="M106" s="151" t="s">
        <v>58</v>
      </c>
      <c r="N106" s="152"/>
      <c r="O106" s="153"/>
      <c r="P106" s="154">
        <v>147210.68</v>
      </c>
      <c r="Q106" s="65">
        <v>40</v>
      </c>
      <c r="S106" s="65">
        <v>40</v>
      </c>
      <c r="T106" s="149"/>
      <c r="U106" s="150"/>
      <c r="V106" s="151" t="s">
        <v>58</v>
      </c>
      <c r="W106" s="152"/>
      <c r="X106" s="153"/>
      <c r="Y106" s="154" t="e">
        <f>IF(#REF!="*",#REF!,"")</f>
        <v>#REF!</v>
      </c>
      <c r="Z106" s="65">
        <v>40</v>
      </c>
      <c r="AB106" s="65">
        <v>40</v>
      </c>
      <c r="AC106" s="149"/>
      <c r="AD106" s="150"/>
      <c r="AE106" s="151" t="s">
        <v>54</v>
      </c>
      <c r="AF106" s="152"/>
      <c r="AG106" s="153"/>
      <c r="AH106" s="155">
        <v>361366.70027866669</v>
      </c>
      <c r="AI106" s="65">
        <v>40</v>
      </c>
      <c r="AK106" s="65">
        <v>40</v>
      </c>
      <c r="AL106" s="149"/>
      <c r="AM106" s="150"/>
      <c r="AN106" s="151" t="s">
        <v>54</v>
      </c>
      <c r="AO106" s="152"/>
      <c r="AP106" s="153"/>
      <c r="AQ106" s="155">
        <v>402777.40325600002</v>
      </c>
      <c r="AR106" s="65">
        <v>40</v>
      </c>
      <c r="AT106" s="65">
        <v>40</v>
      </c>
      <c r="AU106" s="149"/>
      <c r="AV106" s="150"/>
      <c r="AW106" s="151" t="s">
        <v>58</v>
      </c>
      <c r="AX106" s="152"/>
      <c r="AY106" s="153"/>
      <c r="AZ106" s="155" t="e">
        <f>IF(VLOOKUP(AW106,#REF!,27,FALSE)="*",VLOOKUP(AW106,#REF!,26,FALSE),"")</f>
        <v>#REF!</v>
      </c>
      <c r="BA106" s="65">
        <v>40</v>
      </c>
      <c r="BC106" s="65">
        <v>40</v>
      </c>
      <c r="BD106" s="149"/>
      <c r="BE106" s="150"/>
      <c r="BF106" s="151" t="s">
        <v>58</v>
      </c>
      <c r="BG106" s="152"/>
      <c r="BH106" s="153"/>
      <c r="BI106" s="154"/>
      <c r="BJ106" s="65">
        <v>40</v>
      </c>
      <c r="BL106" s="65">
        <v>40</v>
      </c>
      <c r="BM106" s="149"/>
      <c r="BN106" s="150"/>
      <c r="BO106" s="151" t="s">
        <v>58</v>
      </c>
      <c r="BP106" s="152"/>
      <c r="BQ106" s="153"/>
      <c r="BR106" s="154"/>
      <c r="BS106" s="65">
        <v>40</v>
      </c>
      <c r="BU106" s="65">
        <v>40</v>
      </c>
      <c r="BV106" s="149"/>
      <c r="BW106" s="150"/>
      <c r="BX106" s="151" t="s">
        <v>58</v>
      </c>
      <c r="BY106" s="152"/>
      <c r="BZ106" s="153"/>
      <c r="CA106" s="154"/>
      <c r="CB106" s="65">
        <v>40</v>
      </c>
      <c r="CD106" s="65">
        <v>40</v>
      </c>
      <c r="CE106" s="149"/>
      <c r="CF106" s="150"/>
      <c r="CG106" s="151" t="s">
        <v>58</v>
      </c>
      <c r="CH106" s="152"/>
      <c r="CI106" s="153"/>
      <c r="CJ106" s="154"/>
      <c r="CK106" s="65">
        <v>40</v>
      </c>
      <c r="CM106" s="65">
        <v>40</v>
      </c>
      <c r="CN106" s="149"/>
      <c r="CO106" s="150"/>
      <c r="CP106" s="151" t="s">
        <v>58</v>
      </c>
      <c r="CQ106" s="152"/>
      <c r="CR106" s="153"/>
      <c r="CS106" s="154"/>
      <c r="CT106" s="65">
        <v>40</v>
      </c>
    </row>
    <row r="107" spans="1:98">
      <c r="A107" s="65">
        <v>41</v>
      </c>
      <c r="B107" s="139"/>
      <c r="C107" s="140"/>
      <c r="D107" s="141" t="s">
        <v>56</v>
      </c>
      <c r="E107" s="142"/>
      <c r="F107" s="143"/>
      <c r="G107" s="156">
        <v>165345.59650300001</v>
      </c>
      <c r="H107" s="65">
        <v>41</v>
      </c>
      <c r="J107" s="65">
        <v>41</v>
      </c>
      <c r="K107" s="139"/>
      <c r="L107" s="140"/>
      <c r="M107" s="141" t="s">
        <v>60</v>
      </c>
      <c r="N107" s="142"/>
      <c r="O107" s="143"/>
      <c r="P107" s="156">
        <v>112079</v>
      </c>
      <c r="Q107" s="65">
        <v>41</v>
      </c>
      <c r="S107" s="65">
        <v>41</v>
      </c>
      <c r="T107" s="139"/>
      <c r="U107" s="140"/>
      <c r="V107" s="141" t="s">
        <v>60</v>
      </c>
      <c r="W107" s="142"/>
      <c r="X107" s="143"/>
      <c r="Y107" s="156" t="e">
        <f>IF(#REF!="*",#REF!,"")</f>
        <v>#REF!</v>
      </c>
      <c r="Z107" s="65">
        <v>41</v>
      </c>
      <c r="AB107" s="65">
        <v>41</v>
      </c>
      <c r="AC107" s="139"/>
      <c r="AD107" s="140"/>
      <c r="AE107" s="141" t="s">
        <v>56</v>
      </c>
      <c r="AF107" s="142"/>
      <c r="AG107" s="143"/>
      <c r="AH107" s="144">
        <v>390593.3013299224</v>
      </c>
      <c r="AI107" s="65">
        <v>41</v>
      </c>
      <c r="AK107" s="65">
        <v>41</v>
      </c>
      <c r="AL107" s="139"/>
      <c r="AM107" s="140"/>
      <c r="AN107" s="141" t="s">
        <v>56</v>
      </c>
      <c r="AO107" s="142"/>
      <c r="AP107" s="143"/>
      <c r="AQ107" s="144">
        <v>435549.44120599999</v>
      </c>
      <c r="AR107" s="65">
        <v>41</v>
      </c>
      <c r="AT107" s="65">
        <v>41</v>
      </c>
      <c r="AU107" s="139"/>
      <c r="AV107" s="140"/>
      <c r="AW107" s="141" t="s">
        <v>60</v>
      </c>
      <c r="AX107" s="142"/>
      <c r="AY107" s="143"/>
      <c r="AZ107" s="144" t="e">
        <f>IF(VLOOKUP(AW107,#REF!,27,FALSE)="*",VLOOKUP(AW107,#REF!,26,FALSE),"")</f>
        <v>#REF!</v>
      </c>
      <c r="BA107" s="65">
        <v>41</v>
      </c>
      <c r="BC107" s="65">
        <v>41</v>
      </c>
      <c r="BD107" s="139"/>
      <c r="BE107" s="140"/>
      <c r="BF107" s="141" t="s">
        <v>60</v>
      </c>
      <c r="BG107" s="142"/>
      <c r="BH107" s="143"/>
      <c r="BI107" s="156"/>
      <c r="BJ107" s="65">
        <v>41</v>
      </c>
      <c r="BL107" s="65">
        <v>41</v>
      </c>
      <c r="BM107" s="139"/>
      <c r="BN107" s="140"/>
      <c r="BO107" s="141" t="s">
        <v>60</v>
      </c>
      <c r="BP107" s="142"/>
      <c r="BQ107" s="143"/>
      <c r="BR107" s="156"/>
      <c r="BS107" s="65">
        <v>41</v>
      </c>
      <c r="BU107" s="65">
        <v>41</v>
      </c>
      <c r="BV107" s="139"/>
      <c r="BW107" s="140"/>
      <c r="BX107" s="141" t="s">
        <v>60</v>
      </c>
      <c r="BY107" s="142"/>
      <c r="BZ107" s="143"/>
      <c r="CA107" s="156"/>
      <c r="CB107" s="65">
        <v>41</v>
      </c>
      <c r="CD107" s="65">
        <v>41</v>
      </c>
      <c r="CE107" s="139"/>
      <c r="CF107" s="140"/>
      <c r="CG107" s="141" t="s">
        <v>60</v>
      </c>
      <c r="CH107" s="142"/>
      <c r="CI107" s="143"/>
      <c r="CJ107" s="156"/>
      <c r="CK107" s="65">
        <v>41</v>
      </c>
      <c r="CM107" s="65">
        <v>41</v>
      </c>
      <c r="CN107" s="139"/>
      <c r="CO107" s="140"/>
      <c r="CP107" s="141" t="s">
        <v>60</v>
      </c>
      <c r="CQ107" s="142"/>
      <c r="CR107" s="143"/>
      <c r="CS107" s="156"/>
      <c r="CT107" s="65">
        <v>41</v>
      </c>
    </row>
    <row r="108" spans="1:98">
      <c r="A108" s="65">
        <v>42</v>
      </c>
      <c r="B108" s="126"/>
      <c r="C108" s="127"/>
      <c r="D108" s="128" t="s">
        <v>58</v>
      </c>
      <c r="E108" s="129"/>
      <c r="F108" s="130"/>
      <c r="G108" s="146">
        <v>225868.05309100001</v>
      </c>
      <c r="H108" s="65">
        <v>42</v>
      </c>
      <c r="J108" s="65">
        <v>42</v>
      </c>
      <c r="K108" s="126"/>
      <c r="L108" s="127"/>
      <c r="M108" s="128" t="s">
        <v>61</v>
      </c>
      <c r="N108" s="129"/>
      <c r="O108" s="130"/>
      <c r="P108" s="146">
        <v>114628.88</v>
      </c>
      <c r="Q108" s="65">
        <v>42</v>
      </c>
      <c r="S108" s="65">
        <v>42</v>
      </c>
      <c r="T108" s="126"/>
      <c r="U108" s="127"/>
      <c r="V108" s="128" t="s">
        <v>61</v>
      </c>
      <c r="W108" s="129"/>
      <c r="X108" s="130"/>
      <c r="Y108" s="146" t="e">
        <f>IF(#REF!="*",#REF!,"")</f>
        <v>#REF!</v>
      </c>
      <c r="Z108" s="65">
        <v>42</v>
      </c>
      <c r="AB108" s="65">
        <v>42</v>
      </c>
      <c r="AC108" s="126"/>
      <c r="AD108" s="127"/>
      <c r="AE108" s="128" t="s">
        <v>58</v>
      </c>
      <c r="AF108" s="129"/>
      <c r="AG108" s="130"/>
      <c r="AH108" s="145">
        <v>544909.75488055253</v>
      </c>
      <c r="AI108" s="65">
        <v>42</v>
      </c>
      <c r="AK108" s="65">
        <v>42</v>
      </c>
      <c r="AL108" s="126"/>
      <c r="AM108" s="127"/>
      <c r="AN108" s="128" t="s">
        <v>58</v>
      </c>
      <c r="AO108" s="129"/>
      <c r="AP108" s="130"/>
      <c r="AQ108" s="145">
        <v>608585.8015820001</v>
      </c>
      <c r="AR108" s="65">
        <v>42</v>
      </c>
      <c r="AT108" s="65">
        <v>42</v>
      </c>
      <c r="AU108" s="126"/>
      <c r="AV108" s="127"/>
      <c r="AW108" s="128" t="s">
        <v>61</v>
      </c>
      <c r="AX108" s="129"/>
      <c r="AY108" s="130"/>
      <c r="AZ108" s="145" t="e">
        <f>IF(VLOOKUP(AW108,#REF!,27,FALSE)="*",VLOOKUP(AW108,#REF!,26,FALSE),"")</f>
        <v>#REF!</v>
      </c>
      <c r="BA108" s="65">
        <v>42</v>
      </c>
      <c r="BC108" s="65">
        <v>42</v>
      </c>
      <c r="BD108" s="126"/>
      <c r="BE108" s="127"/>
      <c r="BF108" s="128" t="s">
        <v>61</v>
      </c>
      <c r="BG108" s="129"/>
      <c r="BH108" s="130"/>
      <c r="BI108" s="146"/>
      <c r="BJ108" s="65">
        <v>42</v>
      </c>
      <c r="BL108" s="65">
        <v>42</v>
      </c>
      <c r="BM108" s="126"/>
      <c r="BN108" s="127"/>
      <c r="BO108" s="128" t="s">
        <v>61</v>
      </c>
      <c r="BP108" s="129"/>
      <c r="BQ108" s="130"/>
      <c r="BR108" s="146"/>
      <c r="BS108" s="65">
        <v>42</v>
      </c>
      <c r="BU108" s="65">
        <v>42</v>
      </c>
      <c r="BV108" s="126"/>
      <c r="BW108" s="127"/>
      <c r="BX108" s="128" t="s">
        <v>61</v>
      </c>
      <c r="BY108" s="129"/>
      <c r="BZ108" s="130"/>
      <c r="CA108" s="146"/>
      <c r="CB108" s="65">
        <v>42</v>
      </c>
      <c r="CD108" s="65">
        <v>42</v>
      </c>
      <c r="CE108" s="126"/>
      <c r="CF108" s="127"/>
      <c r="CG108" s="128" t="s">
        <v>61</v>
      </c>
      <c r="CH108" s="129"/>
      <c r="CI108" s="130"/>
      <c r="CJ108" s="146"/>
      <c r="CK108" s="65">
        <v>42</v>
      </c>
      <c r="CM108" s="65">
        <v>42</v>
      </c>
      <c r="CN108" s="126"/>
      <c r="CO108" s="127"/>
      <c r="CP108" s="128" t="s">
        <v>61</v>
      </c>
      <c r="CQ108" s="129"/>
      <c r="CR108" s="130"/>
      <c r="CS108" s="146"/>
      <c r="CT108" s="65">
        <v>42</v>
      </c>
    </row>
    <row r="109" spans="1:98">
      <c r="A109" s="65">
        <v>43</v>
      </c>
      <c r="B109" s="126"/>
      <c r="C109" s="127"/>
      <c r="D109" s="128" t="s">
        <v>60</v>
      </c>
      <c r="E109" s="129"/>
      <c r="F109" s="131"/>
      <c r="G109" s="146">
        <v>169013.624175</v>
      </c>
      <c r="H109" s="65">
        <v>43</v>
      </c>
      <c r="J109" s="65">
        <v>43</v>
      </c>
      <c r="K109" s="126"/>
      <c r="L109" s="127"/>
      <c r="M109" s="128"/>
      <c r="N109" s="129"/>
      <c r="O109" s="131"/>
      <c r="P109" s="129"/>
      <c r="Q109" s="65">
        <v>43</v>
      </c>
      <c r="S109" s="65">
        <v>43</v>
      </c>
      <c r="T109" s="126"/>
      <c r="U109" s="127"/>
      <c r="V109" s="128"/>
      <c r="W109" s="129"/>
      <c r="X109" s="131"/>
      <c r="Y109" s="129"/>
      <c r="Z109" s="65">
        <v>43</v>
      </c>
      <c r="AB109" s="65">
        <v>43</v>
      </c>
      <c r="AC109" s="126"/>
      <c r="AD109" s="127"/>
      <c r="AE109" s="128" t="s">
        <v>60</v>
      </c>
      <c r="AF109" s="129"/>
      <c r="AG109" s="131"/>
      <c r="AH109" s="157">
        <v>399945.81366632425</v>
      </c>
      <c r="AI109" s="65">
        <v>43</v>
      </c>
      <c r="AK109" s="65">
        <v>43</v>
      </c>
      <c r="AL109" s="126"/>
      <c r="AM109" s="127"/>
      <c r="AN109" s="128" t="s">
        <v>60</v>
      </c>
      <c r="AO109" s="129"/>
      <c r="AP109" s="131"/>
      <c r="AQ109" s="157">
        <v>446036.49335</v>
      </c>
      <c r="AR109" s="65">
        <v>43</v>
      </c>
      <c r="AT109" s="65">
        <v>43</v>
      </c>
      <c r="AU109" s="126"/>
      <c r="AV109" s="127"/>
      <c r="AW109" s="128" t="s">
        <v>297</v>
      </c>
      <c r="AY109" s="130">
        <f>536986.3+EGRESOS!Y97</f>
        <v>536986.30000000005</v>
      </c>
      <c r="AZ109" s="157"/>
      <c r="BA109" s="65">
        <v>43</v>
      </c>
      <c r="BC109" s="65">
        <v>43</v>
      </c>
      <c r="BD109" s="126"/>
      <c r="BE109" s="127"/>
      <c r="BF109" s="128"/>
      <c r="BG109" s="129"/>
      <c r="BH109" s="131"/>
      <c r="BI109" s="129"/>
      <c r="BJ109" s="65">
        <v>43</v>
      </c>
      <c r="BL109" s="65">
        <v>43</v>
      </c>
      <c r="BM109" s="126"/>
      <c r="BN109" s="127"/>
      <c r="BO109" s="128"/>
      <c r="BP109" s="129"/>
      <c r="BQ109" s="131"/>
      <c r="BR109" s="129"/>
      <c r="BS109" s="65">
        <v>43</v>
      </c>
      <c r="BU109" s="65">
        <v>43</v>
      </c>
      <c r="BV109" s="126"/>
      <c r="BW109" s="127"/>
      <c r="BX109" s="128"/>
      <c r="BY109" s="129"/>
      <c r="BZ109" s="131"/>
      <c r="CA109" s="129"/>
      <c r="CB109" s="65">
        <v>43</v>
      </c>
      <c r="CD109" s="65">
        <v>43</v>
      </c>
      <c r="CE109" s="126"/>
      <c r="CF109" s="127"/>
      <c r="CG109" s="128"/>
      <c r="CH109" s="129"/>
      <c r="CI109" s="131"/>
      <c r="CJ109" s="129"/>
      <c r="CK109" s="65">
        <v>43</v>
      </c>
      <c r="CM109" s="65">
        <v>43</v>
      </c>
      <c r="CN109" s="126"/>
      <c r="CO109" s="127"/>
      <c r="CP109" s="128"/>
      <c r="CQ109" s="129"/>
      <c r="CR109" s="131"/>
      <c r="CS109" s="129"/>
      <c r="CT109" s="65">
        <v>43</v>
      </c>
    </row>
    <row r="110" spans="1:98" ht="15.75" thickBot="1">
      <c r="A110" s="65">
        <v>44</v>
      </c>
      <c r="B110" s="158"/>
      <c r="C110" s="159"/>
      <c r="D110" s="160" t="s">
        <v>61</v>
      </c>
      <c r="E110" s="161"/>
      <c r="F110" s="162"/>
      <c r="G110" s="163">
        <v>173140.155306</v>
      </c>
      <c r="H110" s="65">
        <v>44</v>
      </c>
      <c r="J110" s="65">
        <v>44</v>
      </c>
      <c r="K110" s="158"/>
      <c r="L110" s="159"/>
      <c r="M110" s="160"/>
      <c r="N110" s="161"/>
      <c r="O110" s="162"/>
      <c r="P110" s="161"/>
      <c r="Q110" s="65">
        <v>44</v>
      </c>
      <c r="S110" s="65">
        <v>44</v>
      </c>
      <c r="T110" s="158"/>
      <c r="U110" s="159"/>
      <c r="V110" s="160"/>
      <c r="W110" s="161"/>
      <c r="X110" s="162"/>
      <c r="Y110" s="161"/>
      <c r="Z110" s="65">
        <v>44</v>
      </c>
      <c r="AB110" s="65">
        <v>44</v>
      </c>
      <c r="AC110" s="158"/>
      <c r="AD110" s="159"/>
      <c r="AE110" s="160" t="s">
        <v>61</v>
      </c>
      <c r="AF110" s="161"/>
      <c r="AG110" s="162"/>
      <c r="AH110" s="164">
        <v>410467.39004477626</v>
      </c>
      <c r="AI110" s="65">
        <v>44</v>
      </c>
      <c r="AK110" s="65">
        <v>44</v>
      </c>
      <c r="AL110" s="158"/>
      <c r="AM110" s="159"/>
      <c r="AN110" s="160" t="s">
        <v>61</v>
      </c>
      <c r="AO110" s="161"/>
      <c r="AP110" s="162"/>
      <c r="AQ110" s="164">
        <v>457834.427012</v>
      </c>
      <c r="AR110" s="65">
        <v>44</v>
      </c>
      <c r="AT110" s="65">
        <v>44</v>
      </c>
      <c r="AU110" s="158"/>
      <c r="AV110" s="159"/>
      <c r="AW110" s="160" t="s">
        <v>133</v>
      </c>
      <c r="AX110" s="161"/>
      <c r="AY110" s="162">
        <v>6465377.9375999998</v>
      </c>
      <c r="AZ110" s="164"/>
      <c r="BA110" s="65">
        <v>44</v>
      </c>
      <c r="BC110" s="65">
        <v>44</v>
      </c>
      <c r="BD110" s="158"/>
      <c r="BE110" s="159"/>
      <c r="BF110" s="160"/>
      <c r="BG110" s="161"/>
      <c r="BH110" s="162"/>
      <c r="BI110" s="161"/>
      <c r="BJ110" s="65">
        <v>44</v>
      </c>
      <c r="BL110" s="65">
        <v>44</v>
      </c>
      <c r="BM110" s="158"/>
      <c r="BN110" s="159"/>
      <c r="BO110" s="160"/>
      <c r="BP110" s="161"/>
      <c r="BQ110" s="162"/>
      <c r="BR110" s="161"/>
      <c r="BS110" s="65">
        <v>44</v>
      </c>
      <c r="BU110" s="65">
        <v>44</v>
      </c>
      <c r="BV110" s="158"/>
      <c r="BW110" s="159"/>
      <c r="BX110" s="160"/>
      <c r="BY110" s="161"/>
      <c r="BZ110" s="162"/>
      <c r="CA110" s="161"/>
      <c r="CB110" s="65">
        <v>44</v>
      </c>
      <c r="CD110" s="65">
        <v>44</v>
      </c>
      <c r="CE110" s="158"/>
      <c r="CF110" s="159"/>
      <c r="CG110" s="160"/>
      <c r="CH110" s="161"/>
      <c r="CI110" s="162"/>
      <c r="CJ110" s="161"/>
      <c r="CK110" s="65">
        <v>44</v>
      </c>
      <c r="CM110" s="65">
        <v>44</v>
      </c>
      <c r="CN110" s="158"/>
      <c r="CO110" s="159"/>
      <c r="CP110" s="160"/>
      <c r="CQ110" s="161"/>
      <c r="CR110" s="162"/>
      <c r="CS110" s="161"/>
      <c r="CT110" s="65">
        <v>44</v>
      </c>
    </row>
    <row r="111" spans="1:98" ht="15.75" thickTop="1">
      <c r="F111" s="51">
        <f>SUM(F67:F110)</f>
        <v>47701</v>
      </c>
      <c r="G111" s="51">
        <f>SUM(G67:G110)</f>
        <v>4443602.9894079994</v>
      </c>
      <c r="O111" s="51">
        <f>SUM(O67:O110)</f>
        <v>2828246.6399999997</v>
      </c>
      <c r="P111" s="51">
        <f>SUM(P67:P110)</f>
        <v>3574321.2399999998</v>
      </c>
      <c r="X111" s="51">
        <f>SUM(X67:X110)</f>
        <v>2332475.8899999997</v>
      </c>
      <c r="Y111" s="51" t="e">
        <f>SUM(Y67:Y110)</f>
        <v>#REF!</v>
      </c>
      <c r="AG111" s="51">
        <f>SUM(AG67:AG110)</f>
        <v>11710640.420502283</v>
      </c>
      <c r="AH111" s="51">
        <f>SUM(AH67:AH110)</f>
        <v>9838490.8581783939</v>
      </c>
      <c r="AP111" s="51">
        <f>SUM(AP67:AP110)</f>
        <v>13128815.18</v>
      </c>
      <c r="AQ111" s="51">
        <f>SUM(AQ67:AQ110)</f>
        <v>11278451.181542004</v>
      </c>
      <c r="AY111" s="51">
        <f>SUM(AY67:AY110)</f>
        <v>19232711.937600002</v>
      </c>
      <c r="AZ111" s="51" t="e">
        <f>SUM(AZ67:AZ110)</f>
        <v>#REF!</v>
      </c>
      <c r="BH111" s="51">
        <f>SUM(BH67:BH110)</f>
        <v>9919374</v>
      </c>
      <c r="BI111" s="51">
        <f>SUM(BI67:BI110)</f>
        <v>0</v>
      </c>
      <c r="BQ111" s="51">
        <f>SUM(BQ67:BQ110)</f>
        <v>2332475.8899999997</v>
      </c>
      <c r="BR111" s="51">
        <f>SUM(BR67:BR110)</f>
        <v>0</v>
      </c>
      <c r="BZ111" s="51">
        <f>SUM(BZ67:BZ110)</f>
        <v>2332475.8899999997</v>
      </c>
      <c r="CA111" s="51">
        <f>SUM(CA67:CA110)</f>
        <v>0</v>
      </c>
      <c r="CI111" s="51">
        <f>SUM(CI67:CI110)</f>
        <v>2332475.8899999997</v>
      </c>
      <c r="CJ111" s="51">
        <f>SUM(CJ67:CJ110)</f>
        <v>0</v>
      </c>
      <c r="CR111" s="51">
        <f>SUM(CR67:CR110)</f>
        <v>2332475.8899999997</v>
      </c>
      <c r="CS111" s="51">
        <f>SUM(CS67:CS110)</f>
        <v>0</v>
      </c>
    </row>
    <row r="112" spans="1:98">
      <c r="G112" s="165"/>
    </row>
    <row r="113" spans="6:97">
      <c r="G113" s="51">
        <f>-F111+G111</f>
        <v>4395901.9894079994</v>
      </c>
      <c r="P113" s="51">
        <f>G113+P111-O111</f>
        <v>5141976.589408</v>
      </c>
      <c r="Y113" s="51" t="e">
        <f>P113+Y111-X111</f>
        <v>#REF!</v>
      </c>
      <c r="AH113" s="51" t="e">
        <f>Y113+AH111-AG111</f>
        <v>#REF!</v>
      </c>
      <c r="AQ113" s="51" t="e">
        <f>AH113+AQ111-AP111</f>
        <v>#REF!</v>
      </c>
      <c r="AZ113" s="51" t="e">
        <f>AQ113+AZ111-AY111</f>
        <v>#REF!</v>
      </c>
      <c r="BI113" s="51" t="e">
        <f>AZ113+BI111-BH111</f>
        <v>#REF!</v>
      </c>
      <c r="BR113" s="51">
        <f>BR111-BQ111</f>
        <v>-2332475.8899999997</v>
      </c>
      <c r="CA113" s="51">
        <f>CA111-BZ111</f>
        <v>-2332475.8899999997</v>
      </c>
      <c r="CJ113" s="51">
        <f>CJ111-CI111</f>
        <v>-2332475.8899999997</v>
      </c>
      <c r="CS113" s="51">
        <f>CS111-CR111</f>
        <v>-2332475.8899999997</v>
      </c>
    </row>
    <row r="114" spans="6:97">
      <c r="F114" t="s">
        <v>284</v>
      </c>
      <c r="G114" s="51">
        <v>700000</v>
      </c>
      <c r="O114" t="s">
        <v>284</v>
      </c>
      <c r="P114" s="51">
        <v>700000</v>
      </c>
      <c r="X114" t="s">
        <v>284</v>
      </c>
      <c r="Y114" s="51">
        <v>700000</v>
      </c>
      <c r="AG114" t="s">
        <v>284</v>
      </c>
      <c r="AH114" s="51">
        <v>700000</v>
      </c>
      <c r="AP114" t="s">
        <v>284</v>
      </c>
      <c r="AQ114" s="51">
        <v>700000</v>
      </c>
      <c r="AY114" t="s">
        <v>284</v>
      </c>
      <c r="AZ114" s="51">
        <v>700000</v>
      </c>
      <c r="BH114" t="s">
        <v>284</v>
      </c>
      <c r="BI114" s="51">
        <v>700000</v>
      </c>
      <c r="BQ114" t="s">
        <v>284</v>
      </c>
      <c r="BR114" s="51">
        <v>700000</v>
      </c>
      <c r="BZ114" t="s">
        <v>284</v>
      </c>
      <c r="CA114" s="51">
        <v>700000</v>
      </c>
      <c r="CI114" t="s">
        <v>284</v>
      </c>
      <c r="CJ114" s="51">
        <v>700000</v>
      </c>
      <c r="CR114" t="s">
        <v>284</v>
      </c>
      <c r="CS114" s="51">
        <v>700000</v>
      </c>
    </row>
    <row r="115" spans="6:97">
      <c r="G115" s="51"/>
      <c r="P115" s="51">
        <f>P113+P114</f>
        <v>5841976.589408</v>
      </c>
      <c r="Y115" s="51" t="e">
        <f>Y113+Y114</f>
        <v>#REF!</v>
      </c>
      <c r="AH115" s="51" t="e">
        <f>AH113+AH114</f>
        <v>#REF!</v>
      </c>
      <c r="AQ115" s="51" t="e">
        <f>AQ113+AQ114</f>
        <v>#REF!</v>
      </c>
      <c r="AZ115" s="51" t="e">
        <f>AZ113+AZ114</f>
        <v>#REF!</v>
      </c>
      <c r="BI115" s="51" t="e">
        <f>BI113+BI114</f>
        <v>#REF!</v>
      </c>
    </row>
    <row r="116" spans="6:97">
      <c r="AZ116" s="51"/>
    </row>
    <row r="118" spans="6:97">
      <c r="AZ118" s="51" t="e">
        <f>AZ113+AZ116</f>
        <v>#REF!</v>
      </c>
    </row>
  </sheetData>
  <mergeCells count="45">
    <mergeCell ref="U2:X2"/>
    <mergeCell ref="T5:U5"/>
    <mergeCell ref="V5:W5"/>
    <mergeCell ref="AD2:AG2"/>
    <mergeCell ref="C62:F62"/>
    <mergeCell ref="L62:O62"/>
    <mergeCell ref="U62:X62"/>
    <mergeCell ref="AD62:AG62"/>
    <mergeCell ref="C2:F2"/>
    <mergeCell ref="L2:O2"/>
    <mergeCell ref="B5:C5"/>
    <mergeCell ref="D5:E5"/>
    <mergeCell ref="K5:L5"/>
    <mergeCell ref="M5:N5"/>
    <mergeCell ref="B65:C65"/>
    <mergeCell ref="D65:E65"/>
    <mergeCell ref="K65:L65"/>
    <mergeCell ref="M65:N65"/>
    <mergeCell ref="T65:U65"/>
    <mergeCell ref="BX65:BY65"/>
    <mergeCell ref="CE65:CF65"/>
    <mergeCell ref="AC5:AD5"/>
    <mergeCell ref="AE5:AF5"/>
    <mergeCell ref="BE62:BH62"/>
    <mergeCell ref="BN62:BQ62"/>
    <mergeCell ref="BW62:BZ62"/>
    <mergeCell ref="AV62:AY62"/>
    <mergeCell ref="BV65:BW65"/>
    <mergeCell ref="AU65:AV65"/>
    <mergeCell ref="AW65:AX65"/>
    <mergeCell ref="BD65:BE65"/>
    <mergeCell ref="BF65:BG65"/>
    <mergeCell ref="BM65:BN65"/>
    <mergeCell ref="BO65:BP65"/>
    <mergeCell ref="AM62:AP62"/>
    <mergeCell ref="V65:W65"/>
    <mergeCell ref="AC65:AD65"/>
    <mergeCell ref="AE65:AF65"/>
    <mergeCell ref="AL65:AM65"/>
    <mergeCell ref="AN65:AO65"/>
    <mergeCell ref="CG65:CH65"/>
    <mergeCell ref="CN65:CO65"/>
    <mergeCell ref="CP65:CQ65"/>
    <mergeCell ref="CF62:CI62"/>
    <mergeCell ref="CO62:CR62"/>
  </mergeCells>
  <pageMargins left="0.70866141732283472" right="0.70866141732283472" top="0.74803149606299213" bottom="0.74803149606299213" header="0.31496062992125984" footer="0.31496062992125984"/>
  <pageSetup paperSize="9" scale="69" orientation="portrait" r:id="rId1"/>
  <rowBreaks count="1" manualBreakCount="1">
    <brk id="59" max="16383" man="1"/>
  </rowBreaks>
  <colBreaks count="4" manualBreakCount="4">
    <brk id="9" max="1048575" man="1"/>
    <brk id="18" max="1048575" man="1"/>
    <brk id="27" max="117" man="1"/>
    <brk id="3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F37"/>
  <sheetViews>
    <sheetView workbookViewId="0">
      <selection activeCell="F11" sqref="F11"/>
    </sheetView>
  </sheetViews>
  <sheetFormatPr baseColWidth="10" defaultColWidth="11.42578125" defaultRowHeight="15"/>
  <cols>
    <col min="1" max="1" width="13.42578125" style="263" bestFit="1" customWidth="1"/>
    <col min="2" max="2" width="29.5703125" style="263" customWidth="1"/>
    <col min="3" max="3" width="47.42578125" style="263" bestFit="1" customWidth="1"/>
    <col min="4" max="4" width="10.85546875" style="263" customWidth="1"/>
    <col min="5" max="5" width="11.42578125" style="263"/>
    <col min="6" max="6" width="8.42578125" style="263" customWidth="1"/>
    <col min="7" max="16384" width="11.42578125" style="263"/>
  </cols>
  <sheetData>
    <row r="1" spans="1:6">
      <c r="A1" s="263" t="s">
        <v>352</v>
      </c>
      <c r="B1" s="263" t="s">
        <v>234</v>
      </c>
      <c r="C1" s="263" t="s">
        <v>594</v>
      </c>
    </row>
    <row r="2" spans="1:6">
      <c r="A2" s="264" t="s">
        <v>12</v>
      </c>
      <c r="B2" s="265" t="str">
        <f>IF(_xlfn.XLOOKUP(A2,RECIBO!A:A,RECIBO!BU:BU,"",0)&lt;&gt;0,_xlfn.XLOOKUP(A2,RECIBO!A:A,RECIBO!BU:BU,"",0),"")</f>
        <v>trabymas2212@gmail.com</v>
      </c>
      <c r="C2" s="263" t="str">
        <f>"Unidad "&amp;MID(_xlfn.XLOOKUP(A2,RECIBO!A:A,RECIBO!CF:CF,"",0),2,LEN(_xlfn.XLOOKUP(A2,RECIBO!A:A,RECIBO!CF:CF,"",0))-2)&amp;".pdf"</f>
        <v>Unidad APTO. 101 JOSE DAVID APONTE.pdf</v>
      </c>
      <c r="E2" s="263" t="s">
        <v>592</v>
      </c>
      <c r="F2" s="263" t="s">
        <v>631</v>
      </c>
    </row>
    <row r="3" spans="1:6">
      <c r="A3" s="264" t="s">
        <v>17</v>
      </c>
      <c r="B3" s="265" t="str">
        <f>IF(_xlfn.XLOOKUP(A3,RECIBO!A:A,RECIBO!BU:BU,"",0)&lt;&gt;0,_xlfn.XLOOKUP(A3,RECIBO!A:A,RECIBO!BU:BU,"",0),"")</f>
        <v>leonela1585@gmail.com</v>
      </c>
      <c r="C3" s="263" t="str">
        <f>"Unidad "&amp;MID(_xlfn.XLOOKUP(A3,RECIBO!A:A,RECIBO!CF:CF,"",0),2,LEN(_xlfn.XLOOKUP(A3,RECIBO!A:A,RECIBO!CF:CF,"",0))-2)&amp;".pdf"</f>
        <v>Unidad APTO. 102 PEDRO CHACON.pdf</v>
      </c>
      <c r="E3" s="263" t="s">
        <v>593</v>
      </c>
      <c r="F3" s="263" t="str">
        <f>"Buenos días, " &amp; CHAR(10) &amp;CHAR(10) &amp; "Anexo "&amp;F2&amp;". Favor cancelar en los próximos cinco (5) días a partir de la fecha de recibo."</f>
        <v>Buenos días, 
Anexo Recibo de Condominio Julio 2026. Favor cancelar en los próximos cinco (5) días a partir de la fecha de recibo.</v>
      </c>
    </row>
    <row r="4" spans="1:6">
      <c r="A4" s="264" t="s">
        <v>18</v>
      </c>
      <c r="B4" s="265" t="str">
        <f>IF(_xlfn.XLOOKUP(A4,RECIBO!A:A,RECIBO!BU:BU,"",0)&lt;&gt;0,_xlfn.XLOOKUP(A4,RECIBO!A:A,RECIBO!BU:BU,"",0),"")</f>
        <v>aletabares1980@gmail.com</v>
      </c>
      <c r="C4" s="263" t="str">
        <f>"Unidad "&amp;MID(_xlfn.XLOOKUP(A4,RECIBO!A:A,RECIBO!CF:CF,"",0),2,LEN(_xlfn.XLOOKUP(A4,RECIBO!A:A,RECIBO!CF:CF,"",0))-2)&amp;".pdf"</f>
        <v>Unidad APTO. 103 YEYSY ALEJANDRA TABAREZ.pdf</v>
      </c>
      <c r="E4" s="263" t="s">
        <v>593</v>
      </c>
      <c r="F4" s="263" t="s">
        <v>632</v>
      </c>
    </row>
    <row r="5" spans="1:6">
      <c r="A5" s="264" t="s">
        <v>19</v>
      </c>
      <c r="B5" s="265" t="str">
        <f>IF(_xlfn.XLOOKUP(A5,RECIBO!A:A,RECIBO!BU:BU,"",0)&lt;&gt;0,_xlfn.XLOOKUP(A5,RECIBO!A:A,RECIBO!BU:BU,"",0),"")</f>
        <v>divinadivinin@hotmail.com</v>
      </c>
      <c r="C5" s="263" t="str">
        <f>"Unidad "&amp;MID(_xlfn.XLOOKUP(A5,RECIBO!A:A,RECIBO!CF:CF,"",0),2,LEN(_xlfn.XLOOKUP(A5,RECIBO!A:A,RECIBO!CF:CF,"",0))-2)&amp;".pdf"</f>
        <v>Unidad APTO. 104 MIRIAN DE SUAREZ.pdf</v>
      </c>
      <c r="F5" s="263" t="s">
        <v>633</v>
      </c>
    </row>
    <row r="6" spans="1:6">
      <c r="A6" s="264" t="s">
        <v>21</v>
      </c>
      <c r="B6" s="265" t="str">
        <f>IF(_xlfn.XLOOKUP(A6,RECIBO!A:A,RECIBO!BU:BU,"",0)&lt;&gt;0,_xlfn.XLOOKUP(A6,RECIBO!A:A,RECIBO!BU:BU,"",0),"")</f>
        <v>marco.jimenez1791@gmail.com</v>
      </c>
      <c r="C6" s="263" t="str">
        <f>"Unidad "&amp;MID(_xlfn.XLOOKUP(A6,RECIBO!A:A,RECIBO!CF:CF,"",0),2,LEN(_xlfn.XLOOKUP(A6,RECIBO!A:A,RECIBO!CF:CF,"",0))-2)&amp;".pdf"</f>
        <v>Unidad APTO. 201 JESENIA FUENTES DE JIMENEZ.pdf</v>
      </c>
    </row>
    <row r="7" spans="1:6">
      <c r="A7" s="264" t="s">
        <v>23</v>
      </c>
      <c r="B7" s="265" t="str">
        <f>IF(_xlfn.XLOOKUP(A7,RECIBO!A:A,RECIBO!BU:BU,"",0)&lt;&gt;0,_xlfn.XLOOKUP(A7,RECIBO!A:A,RECIBO!BU:BU,"",0),"")</f>
        <v/>
      </c>
      <c r="C7" s="263" t="str">
        <f>"Unidad "&amp;MID(_xlfn.XLOOKUP(A7,RECIBO!A:A,RECIBO!CF:CF,"",0),2,LEN(_xlfn.XLOOKUP(A7,RECIBO!A:A,RECIBO!CF:CF,"",0))-2)&amp;".pdf"</f>
        <v>Unidad APTO. 202 ANDREINA.pdf</v>
      </c>
    </row>
    <row r="8" spans="1:6">
      <c r="A8" s="264" t="s">
        <v>25</v>
      </c>
      <c r="B8" s="265" t="str">
        <f>IF(_xlfn.XLOOKUP(A8,RECIBO!A:A,RECIBO!BU:BU,"",0)&lt;&gt;0,_xlfn.XLOOKUP(A8,RECIBO!A:A,RECIBO!BU:BU,"",0),"")</f>
        <v>hec_jes46@hotmail.com</v>
      </c>
      <c r="C8" s="263" t="str">
        <f>"Unidad "&amp;MID(_xlfn.XLOOKUP(A8,RECIBO!A:A,RECIBO!CF:CF,"",0),2,LEN(_xlfn.XLOOKUP(A8,RECIBO!A:A,RECIBO!CF:CF,"",0))-2)&amp;".pdf"</f>
        <v>Unidad APTO. 203 HECTOR SILVA.pdf</v>
      </c>
    </row>
    <row r="9" spans="1:6">
      <c r="A9" s="264" t="s">
        <v>27</v>
      </c>
      <c r="B9" s="265" t="str">
        <f>IF(_xlfn.XLOOKUP(A9,RECIBO!A:A,RECIBO!BU:BU,"",0)&lt;&gt;0,_xlfn.XLOOKUP(A9,RECIBO!A:A,RECIBO!BU:BU,"",0),"")</f>
        <v>ToledoMireya3@gmail.com</v>
      </c>
      <c r="C9" s="263" t="str">
        <f>"Unidad "&amp;MID(_xlfn.XLOOKUP(A9,RECIBO!A:A,RECIBO!CF:CF,"",0),2,LEN(_xlfn.XLOOKUP(A9,RECIBO!A:A,RECIBO!CF:CF,"",0))-2)&amp;".pdf"</f>
        <v>Unidad APTO. 204 MIREYA TOLEDO.pdf</v>
      </c>
    </row>
    <row r="10" spans="1:6">
      <c r="A10" s="264" t="s">
        <v>29</v>
      </c>
      <c r="B10" s="265" t="str">
        <f>IF(_xlfn.XLOOKUP(A10,RECIBO!A:A,RECIBO!BU:BU,"",0)&lt;&gt;0,_xlfn.XLOOKUP(A10,RECIBO!A:A,RECIBO!BU:BU,"",0),"")</f>
        <v>gileudomar@gmail.com</v>
      </c>
      <c r="C10" s="263" t="str">
        <f>"Unidad "&amp;MID(_xlfn.XLOOKUP(A10,RECIBO!A:A,RECIBO!CF:CF,"",0),2,LEN(_xlfn.XLOOKUP(A10,RECIBO!A:A,RECIBO!CF:CF,"",0))-2)&amp;".pdf"</f>
        <v>Unidad APTO. 301 ANA MARIA GRATEROL DE GIL.pdf</v>
      </c>
    </row>
    <row r="11" spans="1:6">
      <c r="A11" s="264" t="s">
        <v>31</v>
      </c>
      <c r="B11" s="265" t="str">
        <f>IF(_xlfn.XLOOKUP(A11,RECIBO!A:A,RECIBO!BU:BU,"",0)&lt;&gt;0,_xlfn.XLOOKUP(A11,RECIBO!A:A,RECIBO!BU:BU,"",0),"")</f>
        <v>Inversiones20avila@gmail.com</v>
      </c>
      <c r="C11" s="263" t="str">
        <f>"Unidad "&amp;MID(_xlfn.XLOOKUP(A11,RECIBO!A:A,RECIBO!CF:CF,"",0),2,LEN(_xlfn.XLOOKUP(A11,RECIBO!A:A,RECIBO!CF:CF,"",0))-2)&amp;".pdf"</f>
        <v>Unidad APTO. 302 JOSÉ ÁVILA.pdf</v>
      </c>
    </row>
    <row r="12" spans="1:6">
      <c r="A12" s="264" t="s">
        <v>32</v>
      </c>
      <c r="B12" s="265" t="str">
        <f>IF(_xlfn.XLOOKUP(A12,RECIBO!A:A,RECIBO!BU:BU,"",0)&lt;&gt;0,_xlfn.XLOOKUP(A12,RECIBO!A:A,RECIBO!BU:BU,"",0),"")</f>
        <v>rmaxgli@gmail.com</v>
      </c>
      <c r="C12" s="263" t="str">
        <f>"Unidad "&amp;MID(_xlfn.XLOOKUP(A12,RECIBO!A:A,RECIBO!CF:CF,"",0),2,LEN(_xlfn.XLOOKUP(A12,RECIBO!A:A,RECIBO!CF:CF,"",0))-2)&amp;".pdf"</f>
        <v>Unidad APTO. 303 JOSE CONTRERAS.pdf</v>
      </c>
    </row>
    <row r="13" spans="1:6">
      <c r="A13" s="264" t="s">
        <v>34</v>
      </c>
      <c r="B13" s="265" t="str">
        <f>IF(_xlfn.XLOOKUP(A13,RECIBO!A:A,RECIBO!BU:BU,"",0)&lt;&gt;0,_xlfn.XLOOKUP(A13,RECIBO!A:A,RECIBO!BU:BU,"",0),"")</f>
        <v>juancarlos100361@gmail.com</v>
      </c>
      <c r="C13" s="263" t="str">
        <f>"Unidad "&amp;MID(_xlfn.XLOOKUP(A13,RECIBO!A:A,RECIBO!CF:CF,"",0),2,LEN(_xlfn.XLOOKUP(A13,RECIBO!A:A,RECIBO!CF:CF,"",0))-2)&amp;".pdf"</f>
        <v>Unidad APTO. 304 JUAN CARLOS FIGUEROA.pdf</v>
      </c>
    </row>
    <row r="14" spans="1:6">
      <c r="A14" s="264" t="s">
        <v>36</v>
      </c>
      <c r="B14" s="265" t="str">
        <f>IF(_xlfn.XLOOKUP(A14,RECIBO!A:A,RECIBO!BU:BU,"",0)&lt;&gt;0,_xlfn.XLOOKUP(A14,RECIBO!A:A,RECIBO!BU:BU,"",0),"")</f>
        <v>aucegumo@hotmail.com</v>
      </c>
      <c r="C14" s="263" t="str">
        <f>"Unidad "&amp;MID(_xlfn.XLOOKUP(A14,RECIBO!A:A,RECIBO!CF:CF,"",0),2,LEN(_xlfn.XLOOKUP(A14,RECIBO!A:A,RECIBO!CF:CF,"",0))-2)&amp;".pdf"</f>
        <v>Unidad APTO. 401 AURA MORA.pdf</v>
      </c>
    </row>
    <row r="15" spans="1:6">
      <c r="A15" s="264" t="s">
        <v>37</v>
      </c>
      <c r="B15" s="265" t="str">
        <f>IF(_xlfn.XLOOKUP(A15,RECIBO!A:A,RECIBO!BU:BU,"",0)&lt;&gt;0,_xlfn.XLOOKUP(A15,RECIBO!A:A,RECIBO!BU:BU,"",0),"")</f>
        <v>fabian_delaurentis@hotmail.com</v>
      </c>
      <c r="C15" s="263" t="str">
        <f>"Unidad "&amp;MID(_xlfn.XLOOKUP(A15,RECIBO!A:A,RECIBO!CF:CF,"",0),2,LEN(_xlfn.XLOOKUP(A15,RECIBO!A:A,RECIBO!CF:CF,"",0))-2)&amp;".pdf"</f>
        <v>Unidad APTO. 402 NELSON DI GIOGIA.pdf</v>
      </c>
    </row>
    <row r="16" spans="1:6">
      <c r="A16" s="264" t="s">
        <v>39</v>
      </c>
      <c r="B16" s="265" t="str">
        <f>IF(_xlfn.XLOOKUP(A16,RECIBO!A:A,RECIBO!BU:BU,"",0)&lt;&gt;0,_xlfn.XLOOKUP(A16,RECIBO!A:A,RECIBO!BU:BU,"",0),"")</f>
        <v>jaimemonta@gmail.com</v>
      </c>
      <c r="C16" s="263" t="str">
        <f>"Unidad "&amp;MID(_xlfn.XLOOKUP(A16,RECIBO!A:A,RECIBO!CF:CF,"",0),2,LEN(_xlfn.XLOOKUP(A16,RECIBO!A:A,RECIBO!CF:CF,"",0))-2)&amp;".pdf"</f>
        <v>Unidad APTO. 403 JAIME MONTAÑEZ.pdf</v>
      </c>
    </row>
    <row r="17" spans="1:3">
      <c r="A17" s="264" t="s">
        <v>40</v>
      </c>
      <c r="B17" s="265" t="str">
        <f>IF(_xlfn.XLOOKUP(A17,RECIBO!A:A,RECIBO!BU:BU,"",0)&lt;&gt;0,_xlfn.XLOOKUP(A17,RECIBO!A:A,RECIBO!BU:BU,"",0),"")</f>
        <v>christina9269@hotmail.com</v>
      </c>
      <c r="C17" s="263" t="str">
        <f>"Unidad "&amp;MID(_xlfn.XLOOKUP(A17,RECIBO!A:A,RECIBO!CF:CF,"",0),2,LEN(_xlfn.XLOOKUP(A17,RECIBO!A:A,RECIBO!CF:CF,"",0))-2)&amp;".pdf"</f>
        <v>Unidad APTO. 404 TIAN YIN.pdf</v>
      </c>
    </row>
    <row r="18" spans="1:3">
      <c r="A18" s="264" t="s">
        <v>41</v>
      </c>
      <c r="B18" s="265" t="str">
        <f>IF(_xlfn.XLOOKUP(A18,RECIBO!A:A,RECIBO!BU:BU,"",0)&lt;&gt;0,_xlfn.XLOOKUP(A18,RECIBO!A:A,RECIBO!BU:BU,"",0),"")</f>
        <v>jacquelinecabezag@yahoo.es</v>
      </c>
      <c r="C18" s="263" t="str">
        <f>"Unidad "&amp;MID(_xlfn.XLOOKUP(A18,RECIBO!A:A,RECIBO!CF:CF,"",0),2,LEN(_xlfn.XLOOKUP(A18,RECIBO!A:A,RECIBO!CF:CF,"",0))-2)&amp;".pdf"</f>
        <v>Unidad APTO. 501 JACQUELINE CABEZA.pdf</v>
      </c>
    </row>
    <row r="19" spans="1:3">
      <c r="A19" s="264" t="s">
        <v>43</v>
      </c>
      <c r="B19" s="265" t="str">
        <f>IF(_xlfn.XLOOKUP(A19,RECIBO!A:A,RECIBO!BU:BU,"",0)&lt;&gt;0,_xlfn.XLOOKUP(A19,RECIBO!A:A,RECIBO!BU:BU,"",0),"")</f>
        <v>waloso27@gmail.com</v>
      </c>
      <c r="C19" s="263" t="str">
        <f>"Unidad "&amp;MID(_xlfn.XLOOKUP(A19,RECIBO!A:A,RECIBO!CF:CF,"",0),2,LEN(_xlfn.XLOOKUP(A19,RECIBO!A:A,RECIBO!CF:CF,"",0))-2)&amp;".pdf"</f>
        <v>Unidad APTO. 502 WALTER OSORIO.pdf</v>
      </c>
    </row>
    <row r="20" spans="1:3">
      <c r="A20" s="264" t="s">
        <v>44</v>
      </c>
      <c r="B20" s="265" t="str">
        <f>IF(_xlfn.XLOOKUP(A20,RECIBO!A:A,RECIBO!BU:BU,"",0)&lt;&gt;0,_xlfn.XLOOKUP(A20,RECIBO!A:A,RECIBO!BU:BU,"",0),"")</f>
        <v/>
      </c>
      <c r="C20" s="263" t="str">
        <f>"Unidad "&amp;MID(_xlfn.XLOOKUP(A20,RECIBO!A:A,RECIBO!CF:CF,"",0),2,LEN(_xlfn.XLOOKUP(A20,RECIBO!A:A,RECIBO!CF:CF,"",0))-2)&amp;".pdf"</f>
        <v>Unidad APTO. 503 WUILIANA VAZQUEZ.pdf</v>
      </c>
    </row>
    <row r="21" spans="1:3">
      <c r="A21" s="264" t="s">
        <v>45</v>
      </c>
      <c r="B21" s="265" t="str">
        <f>IF(_xlfn.XLOOKUP(A21,RECIBO!A:A,RECIBO!BU:BU,"",0)&lt;&gt;0,_xlfn.XLOOKUP(A21,RECIBO!A:A,RECIBO!BU:BU,"",0),"")</f>
        <v>mariogue19011954@gmail.com</v>
      </c>
      <c r="C21" s="263" t="str">
        <f>"Unidad "&amp;MID(_xlfn.XLOOKUP(A21,RECIBO!A:A,RECIBO!CF:CF,"",0),2,LEN(_xlfn.XLOOKUP(A21,RECIBO!A:A,RECIBO!CF:CF,"",0))-2)&amp;".pdf"</f>
        <v>Unidad APTO. 504 MARIO GUEVARA.pdf</v>
      </c>
    </row>
    <row r="22" spans="1:3">
      <c r="A22" s="264" t="s">
        <v>47</v>
      </c>
      <c r="B22" s="265" t="str">
        <f>IF(_xlfn.XLOOKUP(A22,RECIBO!A:A,RECIBO!BU:BU,"",0)&lt;&gt;0,_xlfn.XLOOKUP(A22,RECIBO!A:A,RECIBO!BU:BU,"",0),"")</f>
        <v>verkis4@hotmail.com</v>
      </c>
      <c r="C22" s="263" t="str">
        <f>"Unidad "&amp;MID(_xlfn.XLOOKUP(A22,RECIBO!A:A,RECIBO!CF:CF,"",0),2,LEN(_xlfn.XLOOKUP(A22,RECIBO!A:A,RECIBO!CF:CF,"",0))-2)&amp;".pdf"</f>
        <v>Unidad PENT HOUSE 1 LUIS CHIRINOS.pdf</v>
      </c>
    </row>
    <row r="23" spans="1:3">
      <c r="A23" s="264" t="s">
        <v>49</v>
      </c>
      <c r="B23" s="265" t="str">
        <f>IF(_xlfn.XLOOKUP(A23,RECIBO!A:A,RECIBO!BU:BU,"",0)&lt;&gt;0,_xlfn.XLOOKUP(A23,RECIBO!A:A,RECIBO!BU:BU,"",0),"")</f>
        <v>marivelgranas@gmail.com</v>
      </c>
      <c r="C23" s="263" t="str">
        <f>"Unidad "&amp;MID(_xlfn.XLOOKUP(A23,RECIBO!A:A,RECIBO!CF:CF,"",0),2,LEN(_xlfn.XLOOKUP(A23,RECIBO!A:A,RECIBO!CF:CF,"",0))-2)&amp;".pdf"</f>
        <v>Unidad PENT HOUSE 2 MARIVEL NAVAS.pdf</v>
      </c>
    </row>
    <row r="24" spans="1:3">
      <c r="A24" s="264" t="s">
        <v>264</v>
      </c>
      <c r="B24" s="265" t="str">
        <f>IF(_xlfn.XLOOKUP(A24,RECIBO!A:A,RECIBO!BU:BU,"",0)&lt;&gt;0,_xlfn.XLOOKUP(A24,RECIBO!A:A,RECIBO!BU:BU,"",0),"")</f>
        <v/>
      </c>
      <c r="C24" s="263" t="str">
        <f>"Unidad "&amp;MID(_xlfn.XLOOKUP(A24,RECIBO!A:A,RECIBO!CF:CF,"",0),2,LEN(_xlfn.XLOOKUP(A24,RECIBO!A:A,RECIBO!CF:CF,"",0))-2)&amp;".pdf"</f>
        <v>Unidad LOCAL 1 GOMITAS MANPECA.pdf</v>
      </c>
    </row>
    <row r="25" spans="1:3">
      <c r="A25" s="264" t="s">
        <v>266</v>
      </c>
      <c r="B25" s="265" t="str">
        <f>IF(_xlfn.XLOOKUP(A25,RECIBO!A:A,RECIBO!BU:BU,"",0)&lt;&gt;0,_xlfn.XLOOKUP(A25,RECIBO!A:A,RECIBO!BU:BU,"",0),"")</f>
        <v>odontoimagenca2017@gmail.com</v>
      </c>
      <c r="C25" s="263" t="str">
        <f>"Unidad "&amp;MID(_xlfn.XLOOKUP(A25,RECIBO!A:A,RECIBO!CF:CF,"",0),2,LEN(_xlfn.XLOOKUP(A25,RECIBO!A:A,RECIBO!CF:CF,"",0))-2)&amp;".pdf"</f>
        <v>Unidad LOCAL 2 ODONTOIMAGEN CAGUA C.A..pdf</v>
      </c>
    </row>
    <row r="26" spans="1:3">
      <c r="A26" s="264" t="s">
        <v>268</v>
      </c>
      <c r="B26" s="265" t="str">
        <f>IF(_xlfn.XLOOKUP(A26,RECIBO!A:A,RECIBO!BU:BU,"",0)&lt;&gt;0,_xlfn.XLOOKUP(A26,RECIBO!A:A,RECIBO!BU:BU,"",0),"")</f>
        <v/>
      </c>
      <c r="C26" s="263" t="str">
        <f>"Unidad "&amp;MID(_xlfn.XLOOKUP(A26,RECIBO!A:A,RECIBO!CF:CF,"",0),2,LEN(_xlfn.XLOOKUP(A26,RECIBO!A:A,RECIBO!CF:CF,"",0))-2)&amp;".pdf"</f>
        <v>Unidad LOCAL 3 MANUEL CLEMENTE.pdf</v>
      </c>
    </row>
    <row r="27" spans="1:3">
      <c r="A27" s="264" t="s">
        <v>270</v>
      </c>
      <c r="B27" s="265" t="str">
        <f>IF(_xlfn.XLOOKUP(A27,RECIBO!A:A,RECIBO!BU:BU,"",0)&lt;&gt;0,_xlfn.XLOOKUP(A27,RECIBO!A:A,RECIBO!BU:BU,"",0),"")</f>
        <v>osmary14@gmail.com</v>
      </c>
      <c r="C27" s="263" t="str">
        <f>"Unidad "&amp;MID(_xlfn.XLOOKUP(A27,RECIBO!A:A,RECIBO!CF:CF,"",0),2,LEN(_xlfn.XLOOKUP(A27,RECIBO!A:A,RECIBO!CF:CF,"",0))-2)&amp;".pdf"</f>
        <v>Unidad LOCAL 4 OSMARY BRICEÑO.pdf</v>
      </c>
    </row>
    <row r="28" spans="1:3">
      <c r="A28" s="264" t="s">
        <v>272</v>
      </c>
      <c r="B28" s="265" t="str">
        <f>IF(_xlfn.XLOOKUP(A28,RECIBO!A:A,RECIBO!BU:BU,"",0)&lt;&gt;0,_xlfn.XLOOKUP(A28,RECIBO!A:A,RECIBO!BU:BU,"",0),"")</f>
        <v>janesilvacysne@gmail.com</v>
      </c>
      <c r="C28" s="263" t="str">
        <f>"Unidad "&amp;MID(_xlfn.XLOOKUP(A28,RECIBO!A:A,RECIBO!CF:CF,"",0),2,LEN(_xlfn.XLOOKUP(A28,RECIBO!A:A,RECIBO!CF:CF,"",0))-2)&amp;".pdf"</f>
        <v>Unidad LOCAL 5 BANCO BICENTENARIO.pdf</v>
      </c>
    </row>
    <row r="29" spans="1:3">
      <c r="A29" s="264" t="s">
        <v>273</v>
      </c>
      <c r="B29" s="265" t="str">
        <f>IF(_xlfn.XLOOKUP(A29,RECIBO!A:A,RECIBO!BU:BU,"",0)&lt;&gt;0,_xlfn.XLOOKUP(A29,RECIBO!A:A,RECIBO!BU:BU,"",0),"")</f>
        <v>rep.comercializadora2122@gmail.com </v>
      </c>
      <c r="C29" s="263" t="str">
        <f>"Unidad "&amp;MID(_xlfn.XLOOKUP(A29,RECIBO!A:A,RECIBO!CF:CF,"",0),2,LEN(_xlfn.XLOOKUP(A29,RECIBO!A:A,RECIBO!CF:CF,"",0))-2)&amp;".pdf"</f>
        <v>Unidad LOCAL 6 REP. COMERCIALIZADORA .pdf</v>
      </c>
    </row>
    <row r="30" spans="1:3">
      <c r="A30" s="264" t="s">
        <v>51</v>
      </c>
      <c r="B30" s="265" t="str">
        <f>IF(_xlfn.XLOOKUP(A30,RECIBO!A:A,RECIBO!BU:BU,"",0)&lt;&gt;0,_xlfn.XLOOKUP(A30,RECIBO!A:A,RECIBO!BU:BU,"",0),"")</f>
        <v>TRANSPORTEBOTARDO@hotmail.com</v>
      </c>
      <c r="C30" s="263" t="str">
        <f>"Unidad "&amp;MID(_xlfn.XLOOKUP(A30,RECIBO!A:A,RECIBO!CF:CF,"",0),2,LEN(_xlfn.XLOOKUP(A30,RECIBO!A:A,RECIBO!CF:CF,"",0))-2)&amp;".pdf"</f>
        <v>Unidad OFICINA 1 JUDITH BOTARDO.pdf</v>
      </c>
    </row>
    <row r="31" spans="1:3">
      <c r="A31" s="264" t="s">
        <v>53</v>
      </c>
      <c r="B31" s="265" t="str">
        <f>IF(_xlfn.XLOOKUP(A31,RECIBO!A:A,RECIBO!BU:BU,"",0)&lt;&gt;0,_xlfn.XLOOKUP(A31,RECIBO!A:A,RECIBO!BU:BU,"",0),"")</f>
        <v>TRANSPORTEBOTARDO@hotmail.com</v>
      </c>
      <c r="C31" s="263" t="str">
        <f>"Unidad "&amp;MID(_xlfn.XLOOKUP(A31,RECIBO!A:A,RECIBO!CF:CF,"",0),2,LEN(_xlfn.XLOOKUP(A31,RECIBO!A:A,RECIBO!CF:CF,"",0))-2)&amp;".pdf"</f>
        <v>Unidad OFICINA 2 JUDITH BOTARDO.pdf</v>
      </c>
    </row>
    <row r="32" spans="1:3">
      <c r="A32" s="264" t="s">
        <v>54</v>
      </c>
      <c r="B32" s="265" t="str">
        <f>IF(_xlfn.XLOOKUP(A32,RECIBO!A:A,RECIBO!BU:BU,"",0)&lt;&gt;0,_xlfn.XLOOKUP(A32,RECIBO!A:A,RECIBO!BU:BU,"",0),"")</f>
        <v>jennysreyesb@gmail.com</v>
      </c>
      <c r="C32" s="263" t="str">
        <f>"Unidad "&amp;MID(_xlfn.XLOOKUP(A32,RECIBO!A:A,RECIBO!CF:CF,"",0),2,LEN(_xlfn.XLOOKUP(A32,RECIBO!A:A,RECIBO!CF:CF,"",0))-2)&amp;".pdf"</f>
        <v>Unidad OFICINA 3 V.C. CONSTRUCCIONES.pdf</v>
      </c>
    </row>
    <row r="33" spans="1:3">
      <c r="A33" s="264" t="s">
        <v>56</v>
      </c>
      <c r="B33" s="265" t="str">
        <f>IF(_xlfn.XLOOKUP(A33,RECIBO!A:A,RECIBO!BU:BU,"",0)&lt;&gt;0,_xlfn.XLOOKUP(A33,RECIBO!A:A,RECIBO!BU:BU,"",0),"")</f>
        <v>jennysreyesb@gmail.com</v>
      </c>
      <c r="C33" s="263" t="str">
        <f>"Unidad "&amp;MID(_xlfn.XLOOKUP(A33,RECIBO!A:A,RECIBO!CF:CF,"",0),2,LEN(_xlfn.XLOOKUP(A33,RECIBO!A:A,RECIBO!CF:CF,"",0))-2)&amp;".pdf"</f>
        <v>Unidad OFICINA 4 ELEAZAR ROSA AREVALO.pdf</v>
      </c>
    </row>
    <row r="34" spans="1:3">
      <c r="A34" s="264" t="s">
        <v>58</v>
      </c>
      <c r="B34" s="265" t="str">
        <f>IF(_xlfn.XLOOKUP(A34,RECIBO!A:A,RECIBO!BU:BU,"",0)&lt;&gt;0,_xlfn.XLOOKUP(A34,RECIBO!A:A,RECIBO!BU:BU,"",0),"")</f>
        <v>divinadivinin@hotmail.com</v>
      </c>
      <c r="C34" s="263" t="str">
        <f>"Unidad "&amp;MID(_xlfn.XLOOKUP(A34,RECIBO!A:A,RECIBO!CF:CF,"",0),2,LEN(_xlfn.XLOOKUP(A34,RECIBO!A:A,RECIBO!CF:CF,"",0))-2)&amp;".pdf"</f>
        <v>Unidad OFICINA 5 DIVINA DIVININ C.A..pdf</v>
      </c>
    </row>
    <row r="35" spans="1:3">
      <c r="A35" s="264" t="s">
        <v>60</v>
      </c>
      <c r="B35" s="265" t="str">
        <f>IF(_xlfn.XLOOKUP(A35,RECIBO!A:A,RECIBO!BU:BU,"",0)&lt;&gt;0,_xlfn.XLOOKUP(A35,RECIBO!A:A,RECIBO!BU:BU,"",0),"")</f>
        <v>divinadivinin@hotmail.com</v>
      </c>
      <c r="C35" s="263" t="str">
        <f>"Unidad "&amp;MID(_xlfn.XLOOKUP(A35,RECIBO!A:A,RECIBO!CF:CF,"",0),2,LEN(_xlfn.XLOOKUP(A35,RECIBO!A:A,RECIBO!CF:CF,"",0))-2)&amp;".pdf"</f>
        <v>Unidad OFICINA 6 DIVINA DIVININ C.A..pdf</v>
      </c>
    </row>
    <row r="36" spans="1:3">
      <c r="A36" s="264" t="s">
        <v>61</v>
      </c>
      <c r="B36" s="265" t="str">
        <f>IF(_xlfn.XLOOKUP(A36,RECIBO!A:A,RECIBO!BU:BU,"",0)&lt;&gt;0,_xlfn.XLOOKUP(A36,RECIBO!A:A,RECIBO!BU:BU,"",0),"")</f>
        <v>bettygonz193@gmail.com</v>
      </c>
      <c r="C36" s="263" t="str">
        <f>"Unidad "&amp;MID(_xlfn.XLOOKUP(A36,RECIBO!A:A,RECIBO!CF:CF,"",0),2,LEN(_xlfn.XLOOKUP(A36,RECIBO!A:A,RECIBO!CF:CF,"",0))-2)&amp;".pdf"</f>
        <v>Unidad OFICINA 7 BETTY GONZALEZ.pdf</v>
      </c>
    </row>
    <row r="37" spans="1:3">
      <c r="B37" s="263" t="str">
        <f>IF(_xlfn.XLOOKUP(A37,RECIBO!A:A,RECIBO!BU:BU,"",0)&lt;&gt;0,_xlfn.XLOOKUP(A37,RECIBO!A:A,RECIBO!BU:BU,"",0),"")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nviar_Correos">
                <anchor moveWithCells="1" sizeWithCells="1">
                  <from>
                    <xdr:col>4</xdr:col>
                    <xdr:colOff>57150</xdr:colOff>
                    <xdr:row>5</xdr:row>
                    <xdr:rowOff>152400</xdr:rowOff>
                  </from>
                  <to>
                    <xdr:col>6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B5:N20"/>
  <sheetViews>
    <sheetView workbookViewId="0">
      <selection sqref="A1:XFD1048576"/>
    </sheetView>
  </sheetViews>
  <sheetFormatPr baseColWidth="10" defaultRowHeight="15"/>
  <cols>
    <col min="1" max="1" width="3.85546875" customWidth="1"/>
    <col min="9" max="9" width="8.85546875" customWidth="1"/>
    <col min="10" max="10" width="17.42578125" customWidth="1"/>
    <col min="11" max="11" width="8" customWidth="1"/>
    <col min="14" max="14" width="38.140625" customWidth="1"/>
  </cols>
  <sheetData>
    <row r="5" spans="2:14">
      <c r="M5" s="166" t="s">
        <v>298</v>
      </c>
      <c r="N5" s="167">
        <f ca="1">TODAY()</f>
        <v>46224</v>
      </c>
    </row>
    <row r="7" spans="2:14">
      <c r="N7">
        <f ca="1">MONTH(N5)</f>
        <v>7</v>
      </c>
    </row>
    <row r="9" spans="2:14" ht="23.25">
      <c r="B9" s="278" t="s">
        <v>299</v>
      </c>
      <c r="C9" s="278"/>
      <c r="D9" s="278"/>
      <c r="G9" t="s">
        <v>300</v>
      </c>
    </row>
    <row r="11" spans="2:14">
      <c r="E11">
        <v>19</v>
      </c>
      <c r="G11" s="279"/>
      <c r="H11" s="279"/>
      <c r="I11" s="53" t="s">
        <v>301</v>
      </c>
      <c r="J11" s="168"/>
    </row>
    <row r="13" spans="2:14">
      <c r="B13" s="169"/>
      <c r="C13" s="169"/>
      <c r="D13" s="169"/>
      <c r="E13" s="169"/>
      <c r="F13" s="170">
        <f>J11</f>
        <v>0</v>
      </c>
    </row>
    <row r="16" spans="2:14" ht="23.25">
      <c r="B16" s="278" t="s">
        <v>302</v>
      </c>
      <c r="C16" s="278"/>
      <c r="D16" s="278"/>
      <c r="G16" t="s">
        <v>300</v>
      </c>
    </row>
    <row r="18" spans="2:10">
      <c r="E18">
        <v>2</v>
      </c>
      <c r="G18" s="279"/>
      <c r="H18" s="279"/>
      <c r="I18" s="53" t="s">
        <v>303</v>
      </c>
      <c r="J18" s="168"/>
    </row>
    <row r="20" spans="2:10">
      <c r="B20" s="171"/>
      <c r="C20" s="171" t="e">
        <f>INDEX(GASTOS!$B$35:$B$44,#REF!)</f>
        <v>#REF!</v>
      </c>
      <c r="D20" s="171"/>
      <c r="E20" s="171"/>
      <c r="F20" s="172">
        <f>J18</f>
        <v>0</v>
      </c>
    </row>
  </sheetData>
  <mergeCells count="4">
    <mergeCell ref="B9:D9"/>
    <mergeCell ref="G11:H11"/>
    <mergeCell ref="B16:D16"/>
    <mergeCell ref="G18:H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2">
              <controlPr defaultSize="0" autoLine="0" autoPict="0" macro="[0]!Listadesplegable2_AlCambiar">
                <anchor moveWithCells="1">
                  <from>
                    <xdr:col>1</xdr:col>
                    <xdr:colOff>28575</xdr:colOff>
                    <xdr:row>16</xdr:row>
                    <xdr:rowOff>180975</xdr:rowOff>
                  </from>
                  <to>
                    <xdr:col>5</xdr:col>
                    <xdr:colOff>571500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3">
              <controlPr defaultSize="0" print="0" autoFill="0" autoPict="0" macro="[0]!IngGastoComun">
                <anchor moveWithCells="1" sizeWithCells="1">
                  <from>
                    <xdr:col>11</xdr:col>
                    <xdr:colOff>571500</xdr:colOff>
                    <xdr:row>9</xdr:row>
                    <xdr:rowOff>180975</xdr:rowOff>
                  </from>
                  <to>
                    <xdr:col>13</xdr:col>
                    <xdr:colOff>581025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4">
              <controlPr defaultSize="0" print="0" autoFill="0" autoPict="0" macro="[0]!IngGastoNoComun">
                <anchor moveWithCells="1" sizeWithCells="1">
                  <from>
                    <xdr:col>11</xdr:col>
                    <xdr:colOff>581025</xdr:colOff>
                    <xdr:row>16</xdr:row>
                    <xdr:rowOff>104775</xdr:rowOff>
                  </from>
                  <to>
                    <xdr:col>13</xdr:col>
                    <xdr:colOff>600075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AH78"/>
  <sheetViews>
    <sheetView topLeftCell="A43" workbookViewId="0">
      <selection activeCell="A59" sqref="A59"/>
    </sheetView>
  </sheetViews>
  <sheetFormatPr baseColWidth="10" defaultRowHeight="15"/>
  <cols>
    <col min="2" max="2" width="17.42578125" customWidth="1"/>
    <col min="3" max="3" width="13.5703125" customWidth="1"/>
    <col min="4" max="4" width="15.5703125" bestFit="1" customWidth="1"/>
    <col min="5" max="5" width="11.42578125" customWidth="1"/>
    <col min="6" max="6" width="9.140625" customWidth="1"/>
  </cols>
  <sheetData>
    <row r="1" spans="1:12" ht="15" customHeight="1">
      <c r="A1" s="280" t="s">
        <v>304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</row>
    <row r="2" spans="1:12" ht="15" customHeight="1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</row>
    <row r="3" spans="1:12">
      <c r="A3" s="173" t="s">
        <v>305</v>
      </c>
      <c r="B3" s="173" t="s">
        <v>77</v>
      </c>
      <c r="C3" s="173" t="s">
        <v>306</v>
      </c>
      <c r="D3" s="173" t="s">
        <v>307</v>
      </c>
      <c r="E3" s="173" t="s">
        <v>308</v>
      </c>
      <c r="F3" s="173" t="s">
        <v>309</v>
      </c>
      <c r="G3" s="173" t="s">
        <v>310</v>
      </c>
      <c r="H3" s="173" t="s">
        <v>311</v>
      </c>
      <c r="I3" s="173" t="s">
        <v>312</v>
      </c>
      <c r="J3" s="173" t="s">
        <v>313</v>
      </c>
      <c r="K3" s="173" t="s">
        <v>314</v>
      </c>
      <c r="L3" s="173" t="s">
        <v>136</v>
      </c>
    </row>
    <row r="4" spans="1:12">
      <c r="A4" s="173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</row>
    <row r="5" spans="1:12">
      <c r="A5" t="s">
        <v>81</v>
      </c>
      <c r="B5" t="s">
        <v>315</v>
      </c>
      <c r="L5">
        <f>C5+D5+E5+F5+G5+H5+I5+J5+K5</f>
        <v>0</v>
      </c>
    </row>
    <row r="6" spans="1:12">
      <c r="A6" t="s">
        <v>111</v>
      </c>
      <c r="B6" t="s">
        <v>112</v>
      </c>
      <c r="L6">
        <f t="shared" ref="L6:L29" si="0">C6+D6+E6+F6+G6+H6+I6+J6+K6</f>
        <v>0</v>
      </c>
    </row>
    <row r="7" spans="1:12">
      <c r="A7" t="s">
        <v>87</v>
      </c>
      <c r="B7" t="s">
        <v>316</v>
      </c>
      <c r="L7">
        <f t="shared" si="0"/>
        <v>0</v>
      </c>
    </row>
    <row r="8" spans="1:12">
      <c r="A8" t="s">
        <v>179</v>
      </c>
      <c r="B8" t="s">
        <v>317</v>
      </c>
      <c r="L8">
        <f t="shared" si="0"/>
        <v>0</v>
      </c>
    </row>
    <row r="9" spans="1:12">
      <c r="A9" t="s">
        <v>91</v>
      </c>
      <c r="B9" t="s">
        <v>90</v>
      </c>
      <c r="L9">
        <f t="shared" si="0"/>
        <v>0</v>
      </c>
    </row>
    <row r="10" spans="1:12">
      <c r="A10" t="s">
        <v>94</v>
      </c>
      <c r="B10" t="s">
        <v>318</v>
      </c>
      <c r="L10">
        <f t="shared" si="0"/>
        <v>0</v>
      </c>
    </row>
    <row r="11" spans="1:12">
      <c r="A11" t="s">
        <v>180</v>
      </c>
      <c r="B11" t="s">
        <v>319</v>
      </c>
      <c r="L11">
        <f t="shared" si="0"/>
        <v>0</v>
      </c>
    </row>
    <row r="12" spans="1:12">
      <c r="A12" t="s">
        <v>99</v>
      </c>
      <c r="B12" t="s">
        <v>320</v>
      </c>
      <c r="L12">
        <f t="shared" si="0"/>
        <v>0</v>
      </c>
    </row>
    <row r="13" spans="1:12">
      <c r="A13" t="s">
        <v>181</v>
      </c>
      <c r="B13" t="s">
        <v>321</v>
      </c>
      <c r="L13">
        <f t="shared" si="0"/>
        <v>0</v>
      </c>
    </row>
    <row r="14" spans="1:12">
      <c r="A14" t="s">
        <v>103</v>
      </c>
      <c r="B14" t="s">
        <v>104</v>
      </c>
      <c r="L14">
        <f t="shared" si="0"/>
        <v>0</v>
      </c>
    </row>
    <row r="15" spans="1:12">
      <c r="A15" t="s">
        <v>107</v>
      </c>
      <c r="B15" t="s">
        <v>108</v>
      </c>
      <c r="L15">
        <f t="shared" si="0"/>
        <v>0</v>
      </c>
    </row>
    <row r="16" spans="1:12">
      <c r="A16" t="s">
        <v>182</v>
      </c>
      <c r="B16" t="s">
        <v>322</v>
      </c>
      <c r="L16">
        <f t="shared" si="0"/>
        <v>0</v>
      </c>
    </row>
    <row r="17" spans="1:12">
      <c r="A17" t="s">
        <v>183</v>
      </c>
      <c r="B17" t="s">
        <v>323</v>
      </c>
      <c r="L17">
        <f t="shared" si="0"/>
        <v>0</v>
      </c>
    </row>
    <row r="18" spans="1:12">
      <c r="A18" t="s">
        <v>184</v>
      </c>
      <c r="B18" t="s">
        <v>324</v>
      </c>
      <c r="L18">
        <f t="shared" si="0"/>
        <v>0</v>
      </c>
    </row>
    <row r="19" spans="1:12">
      <c r="A19" t="s">
        <v>185</v>
      </c>
      <c r="B19" t="s">
        <v>325</v>
      </c>
      <c r="L19">
        <f t="shared" si="0"/>
        <v>0</v>
      </c>
    </row>
    <row r="20" spans="1:12">
      <c r="A20" t="s">
        <v>118</v>
      </c>
      <c r="B20" t="s">
        <v>326</v>
      </c>
      <c r="L20">
        <f t="shared" si="0"/>
        <v>0</v>
      </c>
    </row>
    <row r="21" spans="1:12">
      <c r="A21" t="s">
        <v>186</v>
      </c>
      <c r="L21">
        <f t="shared" si="0"/>
        <v>0</v>
      </c>
    </row>
    <row r="22" spans="1:12">
      <c r="A22" t="s">
        <v>187</v>
      </c>
      <c r="L22">
        <f t="shared" si="0"/>
        <v>0</v>
      </c>
    </row>
    <row r="23" spans="1:12">
      <c r="A23" t="s">
        <v>89</v>
      </c>
      <c r="B23" t="s">
        <v>327</v>
      </c>
      <c r="L23">
        <f t="shared" si="0"/>
        <v>0</v>
      </c>
    </row>
    <row r="24" spans="1:12">
      <c r="A24" t="s">
        <v>188</v>
      </c>
      <c r="B24" t="s">
        <v>327</v>
      </c>
      <c r="L24">
        <f t="shared" si="0"/>
        <v>0</v>
      </c>
    </row>
    <row r="25" spans="1:12">
      <c r="A25" t="s">
        <v>189</v>
      </c>
      <c r="B25" t="s">
        <v>327</v>
      </c>
      <c r="L25">
        <f t="shared" si="0"/>
        <v>0</v>
      </c>
    </row>
    <row r="26" spans="1:12">
      <c r="A26" t="s">
        <v>190</v>
      </c>
      <c r="B26" t="s">
        <v>327</v>
      </c>
      <c r="L26">
        <f t="shared" si="0"/>
        <v>0</v>
      </c>
    </row>
    <row r="27" spans="1:12">
      <c r="A27" t="s">
        <v>191</v>
      </c>
      <c r="B27" t="s">
        <v>327</v>
      </c>
      <c r="L27">
        <f t="shared" si="0"/>
        <v>0</v>
      </c>
    </row>
    <row r="28" spans="1:12">
      <c r="A28" t="s">
        <v>192</v>
      </c>
      <c r="B28" t="s">
        <v>327</v>
      </c>
      <c r="L28">
        <f t="shared" si="0"/>
        <v>0</v>
      </c>
    </row>
    <row r="29" spans="1:12">
      <c r="A29" t="s">
        <v>193</v>
      </c>
      <c r="B29" t="s">
        <v>327</v>
      </c>
      <c r="L29">
        <f t="shared" si="0"/>
        <v>0</v>
      </c>
    </row>
    <row r="30" spans="1:12">
      <c r="I30" s="281" t="s">
        <v>328</v>
      </c>
      <c r="J30" s="281"/>
      <c r="K30" s="281"/>
      <c r="L30" s="174">
        <f>SUM(L5:L29)</f>
        <v>0</v>
      </c>
    </row>
    <row r="31" spans="1:12">
      <c r="J31" s="2"/>
      <c r="K31" s="2"/>
      <c r="L31" s="174"/>
    </row>
    <row r="32" spans="1:12" ht="9.75" customHeight="1">
      <c r="J32" s="2"/>
      <c r="K32" s="2"/>
      <c r="L32" s="174"/>
    </row>
    <row r="33" spans="1:12" ht="15" customHeight="1">
      <c r="A33" s="282" t="s">
        <v>329</v>
      </c>
      <c r="B33" s="282"/>
      <c r="C33" s="282"/>
      <c r="D33" s="282"/>
      <c r="E33" s="282"/>
      <c r="F33" s="282"/>
      <c r="G33" s="282"/>
      <c r="H33" s="282"/>
      <c r="I33" s="282"/>
      <c r="J33" s="282"/>
      <c r="K33" s="282"/>
      <c r="L33" s="282"/>
    </row>
    <row r="34" spans="1:12" ht="15" customHeight="1">
      <c r="A34" s="282"/>
      <c r="B34" s="282"/>
      <c r="C34" s="282"/>
      <c r="D34" s="282"/>
      <c r="E34" s="282"/>
      <c r="F34" s="282"/>
      <c r="G34" s="282"/>
      <c r="H34" s="282"/>
      <c r="I34" s="282"/>
      <c r="J34" s="282"/>
      <c r="K34" s="282"/>
      <c r="L34" s="282"/>
    </row>
    <row r="35" spans="1:12">
      <c r="A35" t="s">
        <v>14</v>
      </c>
      <c r="B35" t="s">
        <v>101</v>
      </c>
      <c r="L35">
        <f t="shared" ref="L35:L44" si="1">C35+D35+E35+F35+G35+H35+I35+J35+K35</f>
        <v>0</v>
      </c>
    </row>
    <row r="36" spans="1:12">
      <c r="A36" t="s">
        <v>15</v>
      </c>
      <c r="B36" t="s">
        <v>330</v>
      </c>
      <c r="L36">
        <f t="shared" si="1"/>
        <v>0</v>
      </c>
    </row>
    <row r="37" spans="1:12">
      <c r="A37" t="s">
        <v>16</v>
      </c>
      <c r="B37" t="s">
        <v>331</v>
      </c>
      <c r="L37">
        <f t="shared" si="1"/>
        <v>0</v>
      </c>
    </row>
    <row r="38" spans="1:12">
      <c r="A38" t="s">
        <v>194</v>
      </c>
      <c r="B38" t="s">
        <v>332</v>
      </c>
      <c r="L38">
        <f t="shared" si="1"/>
        <v>0</v>
      </c>
    </row>
    <row r="39" spans="1:12">
      <c r="A39" t="s">
        <v>195</v>
      </c>
      <c r="L39">
        <f t="shared" si="1"/>
        <v>0</v>
      </c>
    </row>
    <row r="40" spans="1:12">
      <c r="A40" t="s">
        <v>196</v>
      </c>
      <c r="L40">
        <f t="shared" si="1"/>
        <v>0</v>
      </c>
    </row>
    <row r="41" spans="1:12">
      <c r="A41" t="s">
        <v>197</v>
      </c>
      <c r="L41">
        <f t="shared" si="1"/>
        <v>0</v>
      </c>
    </row>
    <row r="42" spans="1:12">
      <c r="A42" t="s">
        <v>198</v>
      </c>
      <c r="L42">
        <f t="shared" si="1"/>
        <v>0</v>
      </c>
    </row>
    <row r="43" spans="1:12">
      <c r="A43" t="s">
        <v>199</v>
      </c>
      <c r="L43">
        <f t="shared" si="1"/>
        <v>0</v>
      </c>
    </row>
    <row r="44" spans="1:12">
      <c r="A44" t="s">
        <v>200</v>
      </c>
      <c r="L44">
        <f t="shared" si="1"/>
        <v>0</v>
      </c>
    </row>
    <row r="45" spans="1:12">
      <c r="I45" s="283" t="s">
        <v>333</v>
      </c>
      <c r="J45" s="283"/>
      <c r="K45" s="283"/>
      <c r="L45" s="174">
        <f>SUM(L35:L44)</f>
        <v>0</v>
      </c>
    </row>
    <row r="49" spans="1:34">
      <c r="B49" s="253" t="s">
        <v>607</v>
      </c>
      <c r="C49" s="253" t="s">
        <v>80</v>
      </c>
      <c r="D49" s="253" t="s">
        <v>605</v>
      </c>
      <c r="E49" s="253" t="s">
        <v>608</v>
      </c>
      <c r="F49" s="253" t="s">
        <v>136</v>
      </c>
    </row>
    <row r="50" spans="1:34">
      <c r="B50" s="252">
        <v>2023</v>
      </c>
      <c r="C50" s="13" t="s">
        <v>83</v>
      </c>
      <c r="D50" s="18">
        <v>44.237942857142855</v>
      </c>
      <c r="E50" s="18">
        <v>0.22809485714285715</v>
      </c>
      <c r="F50" s="254">
        <f>+D50+E50</f>
        <v>44.466037714285712</v>
      </c>
      <c r="I50">
        <v>0.22809485714285715</v>
      </c>
      <c r="J50">
        <v>0.43632592857143215</v>
      </c>
      <c r="K50">
        <v>0.74165092857143211</v>
      </c>
      <c r="L50">
        <v>0.94672153571428919</v>
      </c>
      <c r="M50">
        <v>1.1317716428571465</v>
      </c>
      <c r="N50">
        <v>1.3216415000000035</v>
      </c>
      <c r="O50">
        <v>1.5208651071428607</v>
      </c>
      <c r="P50">
        <v>1.7719087142857179</v>
      </c>
      <c r="Q50">
        <v>1.9803160714285752</v>
      </c>
      <c r="R50">
        <v>2.1831621785714326</v>
      </c>
      <c r="S50">
        <v>2.3674707857142896</v>
      </c>
      <c r="T50">
        <v>2.6014598928571466</v>
      </c>
      <c r="U50">
        <v>2.9027892500000041</v>
      </c>
      <c r="V50">
        <v>3.1749656071428616</v>
      </c>
      <c r="W50">
        <v>3.422121464285719</v>
      </c>
      <c r="X50">
        <v>3.6501785714285764</v>
      </c>
      <c r="Y50">
        <v>3.8559906785714335</v>
      </c>
      <c r="Z50">
        <v>4.0970240357142904</v>
      </c>
      <c r="AA50">
        <v>4.4066461428571477</v>
      </c>
      <c r="AB50">
        <v>4.6421182500000047</v>
      </c>
      <c r="AC50">
        <v>4.8775903571428625</v>
      </c>
      <c r="AD50">
        <v>5.1056474642857195</v>
      </c>
      <c r="AE50">
        <v>5.3490328214285761</v>
      </c>
      <c r="AF50">
        <v>5.6479031785714335</v>
      </c>
      <c r="AG50">
        <v>5.8633547857142911</v>
      </c>
      <c r="AH50">
        <v>6.1548101428571487</v>
      </c>
    </row>
    <row r="51" spans="1:34">
      <c r="B51" s="252">
        <v>2023</v>
      </c>
      <c r="C51" s="13" t="s">
        <v>124</v>
      </c>
      <c r="D51" s="18">
        <v>130.29242857143001</v>
      </c>
      <c r="E51" s="18">
        <v>0.43632592857143215</v>
      </c>
      <c r="F51" s="254">
        <f t="shared" ref="F51:F76" si="2">+D51+E51</f>
        <v>130.72875450000143</v>
      </c>
    </row>
    <row r="52" spans="1:34">
      <c r="B52" s="252">
        <v>2024</v>
      </c>
      <c r="C52" s="13" t="s">
        <v>85</v>
      </c>
      <c r="D52" s="18">
        <v>122.13</v>
      </c>
      <c r="E52" s="18">
        <v>0.74165092857143211</v>
      </c>
      <c r="F52" s="254">
        <f t="shared" si="2"/>
        <v>122.87165092857143</v>
      </c>
    </row>
    <row r="53" spans="1:34">
      <c r="B53" s="252">
        <v>2024</v>
      </c>
      <c r="C53" s="13" t="s">
        <v>121</v>
      </c>
      <c r="D53" s="18">
        <v>82.028242857142857</v>
      </c>
      <c r="E53" s="18">
        <v>0.94672153571428919</v>
      </c>
      <c r="F53" s="254">
        <f t="shared" si="2"/>
        <v>82.974964392857146</v>
      </c>
    </row>
    <row r="54" spans="1:34">
      <c r="B54" s="252">
        <v>2024</v>
      </c>
      <c r="C54" s="13" t="s">
        <v>125</v>
      </c>
      <c r="D54" s="18">
        <v>74.020042857142855</v>
      </c>
      <c r="E54" s="18">
        <v>1.1317716428571465</v>
      </c>
      <c r="F54" s="254">
        <f t="shared" si="2"/>
        <v>75.1518145</v>
      </c>
    </row>
    <row r="55" spans="1:34">
      <c r="B55" s="252">
        <v>2024</v>
      </c>
      <c r="C55" s="13" t="s">
        <v>126</v>
      </c>
      <c r="D55" s="18">
        <v>75.947942857142877</v>
      </c>
      <c r="E55" s="18">
        <v>1.3216415000000035</v>
      </c>
      <c r="F55" s="254">
        <f t="shared" si="2"/>
        <v>77.269584357142875</v>
      </c>
    </row>
    <row r="56" spans="1:34">
      <c r="B56" s="252">
        <v>2024</v>
      </c>
      <c r="C56" s="13" t="s">
        <v>127</v>
      </c>
      <c r="D56" s="18">
        <v>79.689442857142865</v>
      </c>
      <c r="E56" s="18">
        <v>1.5208651071428607</v>
      </c>
      <c r="F56" s="254">
        <f t="shared" si="2"/>
        <v>81.210307964285732</v>
      </c>
    </row>
    <row r="57" spans="1:34">
      <c r="B57" s="252">
        <v>2024</v>
      </c>
      <c r="C57" s="13" t="s">
        <v>128</v>
      </c>
      <c r="D57" s="18">
        <v>100.41744285714287</v>
      </c>
      <c r="E57" s="18">
        <v>1.7719087142857179</v>
      </c>
      <c r="F57" s="254">
        <f t="shared" si="2"/>
        <v>102.18935157142859</v>
      </c>
    </row>
    <row r="58" spans="1:34">
      <c r="A58" t="s">
        <v>120</v>
      </c>
      <c r="B58" s="252">
        <v>2024</v>
      </c>
      <c r="C58" s="13" t="s">
        <v>120</v>
      </c>
      <c r="D58" s="18">
        <v>83.362942857142869</v>
      </c>
      <c r="E58" s="18">
        <v>1.9803160714285752</v>
      </c>
      <c r="F58" s="254">
        <f t="shared" si="2"/>
        <v>85.343258928571444</v>
      </c>
    </row>
    <row r="59" spans="1:34">
      <c r="B59" s="252">
        <v>2024</v>
      </c>
      <c r="C59" s="13" t="s">
        <v>146</v>
      </c>
      <c r="D59" s="18">
        <v>81.138442857142863</v>
      </c>
      <c r="E59" s="18">
        <v>2.1831621785714326</v>
      </c>
      <c r="F59" s="254">
        <f t="shared" si="2"/>
        <v>83.321605035714299</v>
      </c>
    </row>
    <row r="60" spans="1:34">
      <c r="B60" s="252">
        <v>2024</v>
      </c>
      <c r="C60" s="13" t="s">
        <v>149</v>
      </c>
      <c r="D60" s="18">
        <v>73.723442857142857</v>
      </c>
      <c r="E60" s="18">
        <v>2.3674707857142896</v>
      </c>
      <c r="F60" s="254">
        <f t="shared" si="2"/>
        <v>76.090913642857146</v>
      </c>
    </row>
    <row r="61" spans="1:34">
      <c r="B61" s="252">
        <v>2024</v>
      </c>
      <c r="C61" s="13" t="s">
        <v>152</v>
      </c>
      <c r="D61" s="18">
        <v>93.595642857142863</v>
      </c>
      <c r="E61" s="18">
        <v>2.6014598928571466</v>
      </c>
      <c r="F61" s="254">
        <f t="shared" si="2"/>
        <v>96.197102750000013</v>
      </c>
    </row>
    <row r="62" spans="1:34">
      <c r="B62" s="252">
        <v>2024</v>
      </c>
      <c r="C62" s="13" t="s">
        <v>83</v>
      </c>
      <c r="D62" s="18">
        <v>120.53174285714287</v>
      </c>
      <c r="E62" s="18">
        <v>2.9027892500000041</v>
      </c>
      <c r="F62" s="254">
        <f t="shared" si="2"/>
        <v>123.43453210714287</v>
      </c>
    </row>
    <row r="63" spans="1:34">
      <c r="B63" s="252">
        <v>2024</v>
      </c>
      <c r="C63" s="13" t="s">
        <v>124</v>
      </c>
      <c r="D63" s="18">
        <v>108.87054285714287</v>
      </c>
      <c r="E63" s="18">
        <v>3.1749656071428616</v>
      </c>
      <c r="F63" s="254">
        <f t="shared" si="2"/>
        <v>112.04550846428573</v>
      </c>
    </row>
    <row r="64" spans="1:34">
      <c r="B64" s="252">
        <v>2025</v>
      </c>
      <c r="C64" s="13" t="s">
        <v>85</v>
      </c>
      <c r="D64" s="18">
        <v>98.862342857142863</v>
      </c>
      <c r="E64" s="18">
        <v>3.422121464285719</v>
      </c>
      <c r="F64" s="254">
        <f t="shared" si="2"/>
        <v>102.28446432142859</v>
      </c>
    </row>
    <row r="65" spans="2:6">
      <c r="B65" s="252">
        <v>2025</v>
      </c>
      <c r="C65" s="13" t="s">
        <v>121</v>
      </c>
      <c r="D65" s="18">
        <v>91.222842857142851</v>
      </c>
      <c r="E65" s="18">
        <v>3.6501785714285764</v>
      </c>
      <c r="F65" s="254">
        <f t="shared" si="2"/>
        <v>94.873021428571434</v>
      </c>
    </row>
    <row r="66" spans="2:6">
      <c r="B66" s="252">
        <v>2025</v>
      </c>
      <c r="C66" s="13" t="s">
        <v>125</v>
      </c>
      <c r="D66" s="18">
        <v>82.324842857142855</v>
      </c>
      <c r="E66" s="18">
        <v>3.8559906785714335</v>
      </c>
      <c r="F66" s="254">
        <f t="shared" si="2"/>
        <v>86.180833535714285</v>
      </c>
    </row>
    <row r="67" spans="2:6">
      <c r="B67" s="252">
        <v>2025</v>
      </c>
      <c r="C67" s="13" t="s">
        <v>126</v>
      </c>
      <c r="D67" s="18">
        <v>96.413342857142865</v>
      </c>
      <c r="E67" s="18">
        <v>4.0970240357142904</v>
      </c>
      <c r="F67" s="254">
        <f t="shared" si="2"/>
        <v>100.51036689285715</v>
      </c>
    </row>
    <row r="68" spans="2:6">
      <c r="B68" s="252">
        <v>2025</v>
      </c>
      <c r="C68" s="13" t="s">
        <v>127</v>
      </c>
      <c r="D68" s="18">
        <v>123.84884285714286</v>
      </c>
      <c r="E68" s="18">
        <v>4.4066461428571477</v>
      </c>
      <c r="F68" s="254">
        <f t="shared" si="2"/>
        <v>128.25548900000001</v>
      </c>
    </row>
    <row r="69" spans="2:6">
      <c r="B69" s="252">
        <v>2025</v>
      </c>
      <c r="C69" s="13" t="s">
        <v>128</v>
      </c>
      <c r="D69" s="18">
        <v>94.188842857142859</v>
      </c>
      <c r="E69" s="18">
        <v>4.6421182500000047</v>
      </c>
      <c r="F69" s="254">
        <f t="shared" si="2"/>
        <v>98.830961107142869</v>
      </c>
    </row>
    <row r="70" spans="2:6">
      <c r="B70" s="252">
        <v>2025</v>
      </c>
      <c r="C70" s="13" t="s">
        <v>120</v>
      </c>
      <c r="D70" s="18">
        <v>94.188842857142873</v>
      </c>
      <c r="E70" s="18">
        <v>4.8775903571428625</v>
      </c>
      <c r="F70" s="254">
        <f t="shared" si="2"/>
        <v>99.066433214285738</v>
      </c>
    </row>
    <row r="71" spans="2:6">
      <c r="B71" s="252">
        <v>2025</v>
      </c>
      <c r="C71" s="13" t="s">
        <v>146</v>
      </c>
      <c r="D71" s="18">
        <v>91.222842857142851</v>
      </c>
      <c r="E71" s="18">
        <v>5.1056474642857195</v>
      </c>
      <c r="F71" s="254">
        <f t="shared" si="2"/>
        <v>96.328490321428575</v>
      </c>
    </row>
    <row r="72" spans="2:6">
      <c r="B72" s="252">
        <v>2025</v>
      </c>
      <c r="C72" s="13" t="s">
        <v>149</v>
      </c>
      <c r="D72" s="18">
        <v>97.354142857142861</v>
      </c>
      <c r="E72" s="18">
        <v>5.3490328214285761</v>
      </c>
      <c r="F72" s="254">
        <f t="shared" si="2"/>
        <v>102.70317567857144</v>
      </c>
    </row>
    <row r="73" spans="2:6">
      <c r="B73" s="252">
        <v>2025</v>
      </c>
      <c r="C73" s="13" t="s">
        <v>152</v>
      </c>
      <c r="D73" s="18">
        <v>119.54814285714286</v>
      </c>
      <c r="E73" s="18">
        <v>5.6479031785714335</v>
      </c>
      <c r="F73" s="254">
        <f t="shared" si="2"/>
        <v>125.1960460357143</v>
      </c>
    </row>
    <row r="74" spans="2:6">
      <c r="B74" s="252">
        <v>2025</v>
      </c>
      <c r="C74" s="13" t="s">
        <v>83</v>
      </c>
      <c r="D74" s="18">
        <v>86.180642857142857</v>
      </c>
      <c r="E74" s="18">
        <v>5.8633547857142911</v>
      </c>
      <c r="F74" s="254">
        <f t="shared" si="2"/>
        <v>92.04399764285715</v>
      </c>
    </row>
    <row r="75" spans="2:6">
      <c r="B75" s="252">
        <v>2025</v>
      </c>
      <c r="C75" s="13" t="s">
        <v>124</v>
      </c>
      <c r="D75" s="18">
        <v>116.58214285714286</v>
      </c>
      <c r="E75" s="18">
        <v>6.1548101428571487</v>
      </c>
      <c r="F75" s="254">
        <f t="shared" si="2"/>
        <v>122.736953</v>
      </c>
    </row>
    <row r="76" spans="2:6">
      <c r="B76" s="252">
        <v>2026</v>
      </c>
      <c r="C76" s="13" t="s">
        <v>85</v>
      </c>
      <c r="D76" s="18">
        <v>100.95621428571428</v>
      </c>
      <c r="E76" s="13"/>
      <c r="F76" s="254">
        <f t="shared" si="2"/>
        <v>100.95621428571428</v>
      </c>
    </row>
    <row r="77" spans="2:6">
      <c r="B77" s="13"/>
      <c r="C77" s="13"/>
      <c r="D77" s="255">
        <f>SUM(D50:D76)</f>
        <v>2562.8802714285739</v>
      </c>
      <c r="E77" s="255">
        <f>SUM(E50:E76)</f>
        <v>80.381561892857249</v>
      </c>
      <c r="F77" s="256">
        <f>SUM(F50:F76)</f>
        <v>2643.2618333214305</v>
      </c>
    </row>
    <row r="78" spans="2:6">
      <c r="B78" s="13"/>
      <c r="C78" s="13"/>
      <c r="D78" s="13"/>
      <c r="E78" s="13" t="s">
        <v>606</v>
      </c>
      <c r="F78" s="256">
        <f>+F77</f>
        <v>2643.2618333214305</v>
      </c>
    </row>
  </sheetData>
  <mergeCells count="4">
    <mergeCell ref="A1:L2"/>
    <mergeCell ref="I30:K30"/>
    <mergeCell ref="A33:L34"/>
    <mergeCell ref="I45:K45"/>
  </mergeCells>
  <phoneticPr fontId="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PROPIETARIOS</vt:lpstr>
      <vt:lpstr>Hoja3</vt:lpstr>
      <vt:lpstr>EGRESOS</vt:lpstr>
      <vt:lpstr>Hoja1</vt:lpstr>
      <vt:lpstr>RECIBO</vt:lpstr>
      <vt:lpstr>Hoja6</vt:lpstr>
      <vt:lpstr>Hoja2</vt:lpstr>
      <vt:lpstr>Hoja7</vt:lpstr>
      <vt:lpstr>CONVERSION</vt:lpstr>
      <vt:lpstr>INICIO</vt:lpstr>
      <vt:lpstr>GASTOS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Montañez</dc:creator>
  <cp:lastModifiedBy>Jaime Montañez</cp:lastModifiedBy>
  <cp:lastPrinted>2026-07-21T13:07:57Z</cp:lastPrinted>
  <dcterms:created xsi:type="dcterms:W3CDTF">2019-01-17T23:29:27Z</dcterms:created>
  <dcterms:modified xsi:type="dcterms:W3CDTF">2026-07-21T13:14:10Z</dcterms:modified>
</cp:coreProperties>
</file>